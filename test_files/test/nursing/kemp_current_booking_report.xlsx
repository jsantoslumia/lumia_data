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hnSantos\Desktop\lumia_data\test_files\test\nursing\"/>
    </mc:Choice>
  </mc:AlternateContent>
  <xr:revisionPtr revIDLastSave="0" documentId="13_ncr:1_{0E4AEBA5-2776-484D-A8BD-394800583DB2}" xr6:coauthVersionLast="47" xr6:coauthVersionMax="47" xr10:uidLastSave="{00000000-0000-0000-0000-000000000000}"/>
  <bookViews>
    <workbookView xWindow="19090" yWindow="-10780" windowWidth="38620" windowHeight="21100" activeTab="1" xr2:uid="{42901594-B54F-40E4-A46E-D632007C8982}"/>
  </bookViews>
  <sheets>
    <sheet name="Current Booking Report"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a="1"/>
  <c r="G2" i="2" s="1"/>
  <c r="A1" i="2" a="1"/>
  <c r="A1" i="2" s="1"/>
  <c r="Y2" i="1"/>
  <c r="Y3" i="1"/>
  <c r="Y4" i="1"/>
  <c r="Y5" i="1"/>
  <c r="Y6" i="1"/>
  <c r="Y7" i="1"/>
  <c r="Y8" i="1"/>
  <c r="Y9" i="1"/>
  <c r="Y10" i="1"/>
  <c r="Y11" i="1"/>
  <c r="Y12" i="1"/>
  <c r="Y13" i="1"/>
  <c r="Y14" i="1"/>
  <c r="Y15" i="1"/>
  <c r="Y16" i="1"/>
  <c r="Y17" i="1"/>
  <c r="Y18" i="1"/>
  <c r="Y19" i="1"/>
  <c r="AJ19" i="1"/>
  <c r="Y20" i="1"/>
  <c r="Y21" i="1"/>
  <c r="Y22" i="1"/>
  <c r="Y23" i="1"/>
  <c r="Y24" i="1"/>
  <c r="Y25" i="1"/>
  <c r="Y26" i="1"/>
  <c r="Y27" i="1"/>
  <c r="Y28" i="1"/>
  <c r="Y29" i="1"/>
  <c r="Y30" i="1"/>
  <c r="Y31" i="1"/>
  <c r="Y32" i="1"/>
  <c r="AJ32" i="1"/>
  <c r="Y33" i="1"/>
  <c r="Y34" i="1"/>
  <c r="Y35" i="1"/>
  <c r="Y36" i="1"/>
  <c r="Y37" i="1"/>
  <c r="Y38" i="1"/>
  <c r="Y39" i="1"/>
  <c r="Y40" i="1"/>
  <c r="Y41" i="1"/>
  <c r="Y42" i="1"/>
  <c r="Y43" i="1"/>
  <c r="Y44" i="1"/>
  <c r="Y45" i="1"/>
  <c r="Y46" i="1"/>
  <c r="Y47" i="1"/>
  <c r="Y48" i="1"/>
  <c r="Y49" i="1"/>
  <c r="Y50" i="1"/>
  <c r="Y51" i="1"/>
  <c r="Y52" i="1"/>
  <c r="Y53" i="1"/>
  <c r="AJ53" i="1"/>
  <c r="Y54" i="1"/>
  <c r="AJ54" i="1"/>
  <c r="Y55" i="1"/>
  <c r="AJ55" i="1"/>
  <c r="Y56" i="1"/>
  <c r="AJ56" i="1"/>
  <c r="Y57" i="1"/>
  <c r="AJ57" i="1"/>
  <c r="Y58" i="1"/>
  <c r="Y59" i="1"/>
  <c r="Y60" i="1"/>
  <c r="Y61" i="1"/>
  <c r="Y62" i="1"/>
  <c r="Y63" i="1"/>
  <c r="Y64" i="1"/>
  <c r="Y65" i="1"/>
  <c r="Y66" i="1"/>
  <c r="Y67" i="1"/>
  <c r="AJ67" i="1"/>
  <c r="Y68" i="1"/>
  <c r="AJ68" i="1"/>
  <c r="Y69" i="1"/>
  <c r="Y70" i="1"/>
  <c r="Y71" i="1"/>
  <c r="Y72" i="1"/>
  <c r="Y73" i="1"/>
  <c r="AJ73" i="1"/>
  <c r="Y74" i="1"/>
  <c r="Y75" i="1"/>
  <c r="Y76" i="1"/>
  <c r="Y77" i="1"/>
  <c r="Y78" i="1"/>
  <c r="Y79" i="1"/>
  <c r="Y80" i="1"/>
  <c r="Y81" i="1"/>
  <c r="Y82" i="1"/>
  <c r="Y83" i="1"/>
  <c r="Y84" i="1"/>
  <c r="Y85" i="1"/>
  <c r="Y86" i="1"/>
  <c r="Y87" i="1"/>
  <c r="Y88" i="1"/>
  <c r="Y89" i="1"/>
  <c r="Y90" i="1"/>
  <c r="Y91" i="1"/>
  <c r="Y92" i="1"/>
  <c r="Y93" i="1"/>
  <c r="Y94" i="1"/>
  <c r="AJ94" i="1"/>
  <c r="Y95" i="1"/>
  <c r="Y96" i="1"/>
  <c r="AJ96" i="1"/>
  <c r="Y97" i="1"/>
  <c r="Y98" i="1"/>
  <c r="Y99" i="1"/>
  <c r="Y100" i="1"/>
  <c r="Y101" i="1"/>
  <c r="Y102" i="1"/>
  <c r="Y103" i="1"/>
  <c r="Y104" i="1"/>
  <c r="Y105" i="1"/>
  <c r="Y106" i="1"/>
  <c r="Y107" i="1"/>
  <c r="Y108" i="1"/>
  <c r="Y109" i="1"/>
  <c r="Y110" i="1"/>
  <c r="Y111" i="1"/>
  <c r="Y112" i="1"/>
  <c r="Y113" i="1"/>
  <c r="Y114" i="1"/>
  <c r="Y115" i="1"/>
  <c r="AJ115" i="1"/>
  <c r="Y116" i="1"/>
  <c r="Y117" i="1"/>
  <c r="Y118" i="1"/>
  <c r="Y119" i="1"/>
  <c r="Y120" i="1"/>
  <c r="Y121" i="1"/>
  <c r="Y122" i="1"/>
  <c r="Y123" i="1"/>
  <c r="Y124" i="1"/>
  <c r="Y125" i="1"/>
  <c r="Y126" i="1"/>
  <c r="Y127" i="1"/>
  <c r="Y128" i="1"/>
  <c r="Y129" i="1"/>
  <c r="Y130" i="1"/>
  <c r="Y131" i="1"/>
  <c r="Y132" i="1"/>
  <c r="Y133" i="1"/>
  <c r="Y134" i="1"/>
  <c r="Y135" i="1"/>
  <c r="Y136" i="1"/>
  <c r="Y137" i="1"/>
  <c r="Y138" i="1"/>
  <c r="Y139" i="1"/>
  <c r="AJ139" i="1"/>
  <c r="Y140" i="1"/>
  <c r="Y141" i="1"/>
  <c r="Y142" i="1"/>
  <c r="Y143" i="1"/>
  <c r="Y144" i="1"/>
  <c r="Y145" i="1"/>
  <c r="Y146" i="1"/>
  <c r="Y147" i="1"/>
  <c r="Y148" i="1"/>
  <c r="Y149" i="1"/>
  <c r="Y150" i="1"/>
  <c r="AJ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AJ177" i="1"/>
  <c r="Y178" i="1"/>
  <c r="Y179" i="1"/>
  <c r="Y180" i="1"/>
  <c r="Y181" i="1"/>
  <c r="Y182" i="1"/>
  <c r="Y183" i="1"/>
  <c r="Y184" i="1"/>
  <c r="Y185" i="1"/>
  <c r="AJ185" i="1"/>
  <c r="Y186" i="1"/>
  <c r="Y187" i="1"/>
  <c r="AJ187" i="1"/>
  <c r="Y188" i="1"/>
  <c r="AJ188" i="1"/>
  <c r="Y189" i="1"/>
  <c r="AJ189" i="1"/>
  <c r="Y190" i="1"/>
  <c r="Y191" i="1"/>
  <c r="Y192" i="1"/>
  <c r="Y193" i="1"/>
  <c r="Y194" i="1"/>
  <c r="Y195" i="1"/>
  <c r="Y196" i="1"/>
  <c r="Y197" i="1"/>
  <c r="Y198" i="1"/>
  <c r="Y199" i="1"/>
  <c r="Y200" i="1"/>
  <c r="Y201" i="1"/>
  <c r="Y202" i="1"/>
  <c r="Y203" i="1"/>
  <c r="Y204" i="1"/>
  <c r="Y205" i="1"/>
  <c r="Y206" i="1"/>
  <c r="AJ206" i="1"/>
  <c r="Y207" i="1"/>
  <c r="Y208" i="1"/>
  <c r="Y209" i="1"/>
  <c r="Y210" i="1"/>
  <c r="Y211" i="1"/>
  <c r="Y212" i="1"/>
  <c r="Y213" i="1"/>
  <c r="AJ213" i="1"/>
  <c r="Y214" i="1"/>
  <c r="Y215" i="1"/>
  <c r="Y216" i="1"/>
  <c r="Y217" i="1"/>
  <c r="Y218" i="1"/>
  <c r="Y219" i="1"/>
  <c r="Y220" i="1"/>
  <c r="Y221" i="1"/>
  <c r="Y222" i="1"/>
  <c r="Y223" i="1"/>
  <c r="Y224" i="1"/>
  <c r="Y225" i="1"/>
  <c r="AJ225" i="1"/>
  <c r="Y226" i="1"/>
  <c r="Y227" i="1"/>
  <c r="Y228" i="1"/>
  <c r="Y229" i="1"/>
  <c r="Y230" i="1"/>
  <c r="Y231" i="1"/>
  <c r="Y232" i="1"/>
  <c r="Y233" i="1"/>
  <c r="Y234" i="1"/>
  <c r="AJ234" i="1"/>
  <c r="Y235" i="1"/>
  <c r="Y236" i="1"/>
  <c r="AJ236" i="1"/>
  <c r="Y237" i="1"/>
  <c r="Y238" i="1"/>
  <c r="Y239" i="1"/>
  <c r="Y240" i="1"/>
  <c r="Y241" i="1"/>
  <c r="Y242" i="1"/>
  <c r="Y243" i="1"/>
  <c r="Y244" i="1"/>
  <c r="Y245" i="1"/>
  <c r="Y246" i="1"/>
  <c r="Y247" i="1"/>
  <c r="Y248" i="1"/>
  <c r="Y249" i="1"/>
  <c r="AJ249" i="1"/>
  <c r="Y250" i="1"/>
  <c r="AJ250" i="1"/>
  <c r="Y251" i="1"/>
  <c r="Y252" i="1"/>
  <c r="AJ252" i="1"/>
  <c r="Y253" i="1"/>
  <c r="Y254" i="1"/>
  <c r="Y255" i="1"/>
  <c r="Y256" i="1"/>
  <c r="Y257" i="1"/>
  <c r="Y258" i="1"/>
  <c r="Y259" i="1"/>
  <c r="Y260" i="1"/>
  <c r="Y261" i="1"/>
  <c r="Y262" i="1"/>
  <c r="Y263" i="1"/>
  <c r="Y264" i="1"/>
  <c r="AJ264" i="1"/>
  <c r="Y265" i="1"/>
  <c r="Y266" i="1"/>
  <c r="AJ266" i="1"/>
  <c r="Y267" i="1"/>
  <c r="AJ267" i="1"/>
  <c r="Y268" i="1"/>
  <c r="AJ268" i="1"/>
  <c r="Y269" i="1"/>
  <c r="Y270" i="1"/>
  <c r="Y271" i="1"/>
  <c r="Y272" i="1"/>
  <c r="Y273" i="1"/>
  <c r="Y274" i="1"/>
  <c r="Y275" i="1"/>
  <c r="Y276" i="1"/>
  <c r="Y277" i="1"/>
  <c r="AJ277" i="1"/>
  <c r="Y278" i="1"/>
  <c r="Y279" i="1"/>
  <c r="Y280" i="1"/>
  <c r="AJ280" i="1"/>
  <c r="Y281" i="1"/>
  <c r="Y282" i="1"/>
  <c r="Y283" i="1"/>
  <c r="Y284" i="1"/>
  <c r="Y285" i="1"/>
  <c r="Y286" i="1"/>
  <c r="Y287" i="1"/>
  <c r="Y288" i="1"/>
  <c r="Y289" i="1"/>
  <c r="AJ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AJ317" i="1"/>
  <c r="Y318" i="1"/>
  <c r="Y319" i="1"/>
  <c r="Y320" i="1"/>
  <c r="Y321" i="1"/>
  <c r="Y322" i="1"/>
  <c r="Y323" i="1"/>
  <c r="Y324" i="1"/>
  <c r="Y325" i="1"/>
  <c r="Y326" i="1"/>
  <c r="Y327" i="1"/>
  <c r="Y328" i="1"/>
  <c r="Y329" i="1"/>
  <c r="Y330" i="1"/>
  <c r="Y331" i="1"/>
  <c r="Y332" i="1"/>
  <c r="Y333" i="1"/>
  <c r="AJ333" i="1"/>
  <c r="Y334" i="1"/>
  <c r="Y335" i="1"/>
  <c r="Y336" i="1"/>
  <c r="Y337" i="1"/>
  <c r="Y338" i="1"/>
  <c r="Y339" i="1"/>
  <c r="Y340" i="1"/>
  <c r="Y341" i="1"/>
  <c r="Y342" i="1"/>
  <c r="Y343" i="1"/>
  <c r="Y344" i="1"/>
  <c r="Y345" i="1"/>
  <c r="Y346" i="1"/>
  <c r="Y347" i="1"/>
  <c r="AJ347" i="1"/>
  <c r="Y348" i="1"/>
  <c r="Y349" i="1"/>
  <c r="Y350" i="1"/>
  <c r="Y351" i="1"/>
  <c r="Y352" i="1"/>
  <c r="Y353" i="1"/>
  <c r="Y354" i="1"/>
  <c r="Y355" i="1"/>
  <c r="Y356" i="1"/>
  <c r="Y357" i="1"/>
  <c r="Y358" i="1"/>
  <c r="Y359" i="1"/>
  <c r="AJ359" i="1"/>
  <c r="Y360" i="1"/>
  <c r="Y361" i="1"/>
  <c r="Y362" i="1"/>
  <c r="Y363" i="1"/>
  <c r="Y364" i="1"/>
  <c r="Y365" i="1"/>
  <c r="AJ365" i="1"/>
  <c r="Y366" i="1"/>
  <c r="Y367" i="1"/>
  <c r="Y368" i="1"/>
  <c r="Y369" i="1"/>
  <c r="Y370" i="1"/>
  <c r="Y371" i="1"/>
  <c r="Y372" i="1"/>
  <c r="Y373" i="1"/>
  <c r="Y374" i="1"/>
  <c r="Y375" i="1"/>
  <c r="AJ375" i="1"/>
  <c r="Y376" i="1"/>
  <c r="Y377" i="1"/>
  <c r="Y378" i="1"/>
  <c r="Y379" i="1"/>
  <c r="Y380" i="1"/>
  <c r="Y381" i="1"/>
  <c r="AJ381" i="1"/>
  <c r="Y382" i="1"/>
  <c r="Y383" i="1"/>
  <c r="Y384" i="1"/>
  <c r="Y385" i="1"/>
  <c r="Y386" i="1"/>
  <c r="Y387" i="1"/>
  <c r="Y388" i="1"/>
  <c r="Y389" i="1"/>
  <c r="Y390" i="1"/>
  <c r="Y391" i="1"/>
  <c r="Y392" i="1"/>
  <c r="AJ392" i="1"/>
  <c r="Y393" i="1"/>
  <c r="AJ393" i="1"/>
  <c r="Y394" i="1"/>
  <c r="AJ394" i="1"/>
  <c r="Y395" i="1"/>
  <c r="AJ395" i="1"/>
  <c r="Y396" i="1"/>
  <c r="AJ396" i="1"/>
  <c r="Y397" i="1"/>
  <c r="AJ397" i="1"/>
  <c r="Y398" i="1"/>
  <c r="Y399" i="1"/>
  <c r="Y400" i="1"/>
  <c r="Y401" i="1"/>
  <c r="Y402" i="1"/>
  <c r="Y403" i="1"/>
  <c r="Y404" i="1"/>
  <c r="Y405" i="1"/>
  <c r="Y406" i="1"/>
  <c r="Y407" i="1"/>
  <c r="Y408" i="1"/>
  <c r="Y409" i="1"/>
  <c r="Y410" i="1"/>
  <c r="Y411" i="1"/>
  <c r="Y412" i="1"/>
  <c r="Y413" i="1"/>
  <c r="AJ413" i="1"/>
  <c r="Y414" i="1"/>
  <c r="Y415" i="1"/>
  <c r="Y416" i="1"/>
  <c r="Y417" i="1"/>
  <c r="Y418" i="1"/>
  <c r="Y419" i="1"/>
  <c r="Y420" i="1"/>
  <c r="Y421" i="1"/>
  <c r="Y422" i="1"/>
  <c r="Y423" i="1"/>
  <c r="Y424" i="1"/>
  <c r="Y425" i="1"/>
  <c r="Y426" i="1"/>
  <c r="Y427" i="1"/>
  <c r="AJ427" i="1"/>
  <c r="Y428" i="1"/>
  <c r="Y429" i="1"/>
  <c r="Y430" i="1"/>
  <c r="Y431" i="1"/>
  <c r="Y432" i="1"/>
  <c r="Y433" i="1"/>
  <c r="Y434" i="1"/>
  <c r="Y435" i="1"/>
  <c r="Y436" i="1"/>
  <c r="AJ436" i="1"/>
  <c r="Y437" i="1"/>
  <c r="Y438" i="1"/>
  <c r="Y439" i="1"/>
  <c r="Y440" i="1"/>
  <c r="Y441" i="1"/>
  <c r="Y442" i="1"/>
  <c r="Y443" i="1"/>
  <c r="Y444" i="1"/>
  <c r="Y445" i="1"/>
  <c r="Y446" i="1"/>
  <c r="Y447" i="1"/>
  <c r="AJ447" i="1"/>
  <c r="Y448" i="1"/>
  <c r="Y449" i="1"/>
  <c r="Y450" i="1"/>
  <c r="Y451" i="1"/>
  <c r="Y452" i="1"/>
  <c r="Y453" i="1"/>
  <c r="Y454" i="1"/>
  <c r="Y455" i="1"/>
  <c r="AJ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AJ482" i="1"/>
  <c r="Y483" i="1"/>
  <c r="Y484" i="1"/>
  <c r="Y485" i="1"/>
  <c r="Y486" i="1"/>
  <c r="Y487" i="1"/>
  <c r="Y488" i="1"/>
  <c r="Y489" i="1"/>
  <c r="Y490" i="1"/>
  <c r="AJ490" i="1"/>
  <c r="Y491" i="1"/>
  <c r="Y492" i="1"/>
  <c r="Y493" i="1"/>
  <c r="Y494" i="1"/>
  <c r="Y495" i="1"/>
  <c r="Y496" i="1"/>
  <c r="Y497" i="1"/>
  <c r="Y498" i="1"/>
  <c r="Y499" i="1"/>
  <c r="Y500" i="1"/>
  <c r="AJ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AJ535" i="1"/>
  <c r="Y536" i="1"/>
  <c r="Y537" i="1"/>
  <c r="AJ537" i="1"/>
  <c r="Y538" i="1"/>
  <c r="AJ538" i="1"/>
  <c r="Y539" i="1"/>
  <c r="AJ539" i="1"/>
  <c r="Y540" i="1"/>
  <c r="Y541" i="1"/>
  <c r="Y542" i="1"/>
  <c r="Y543" i="1"/>
  <c r="Y544" i="1"/>
  <c r="Y545" i="1"/>
  <c r="Y546" i="1"/>
  <c r="Y547" i="1"/>
  <c r="Y548" i="1"/>
  <c r="Y549" i="1"/>
  <c r="Y550" i="1"/>
  <c r="Y551" i="1"/>
  <c r="AJ551" i="1"/>
  <c r="Y552" i="1"/>
  <c r="Y553" i="1"/>
  <c r="Y554" i="1"/>
  <c r="Y555" i="1"/>
  <c r="Y556" i="1"/>
  <c r="Y557" i="1"/>
  <c r="Y558" i="1"/>
  <c r="AJ558" i="1"/>
  <c r="Y559" i="1"/>
  <c r="Y560" i="1"/>
  <c r="Y561" i="1"/>
  <c r="Y562" i="1"/>
  <c r="Y563" i="1"/>
  <c r="Y564" i="1"/>
  <c r="Y565" i="1"/>
  <c r="Y566" i="1"/>
  <c r="Y567" i="1"/>
  <c r="Y568" i="1"/>
  <c r="Y569" i="1"/>
  <c r="Y570" i="1"/>
  <c r="AJ570" i="1"/>
  <c r="Y571" i="1"/>
  <c r="Y572" i="1"/>
  <c r="Y573" i="1"/>
  <c r="Y574" i="1"/>
  <c r="Y575" i="1"/>
  <c r="Y576" i="1"/>
  <c r="Y577" i="1"/>
  <c r="Y578" i="1"/>
  <c r="Y579" i="1"/>
  <c r="Y580" i="1"/>
  <c r="Y581" i="1"/>
  <c r="AJ581" i="1"/>
  <c r="Y582" i="1"/>
  <c r="Y583" i="1"/>
  <c r="Y584" i="1"/>
  <c r="Y585" i="1"/>
  <c r="Y586" i="1"/>
  <c r="Y587" i="1"/>
  <c r="Y588" i="1"/>
  <c r="Y589" i="1"/>
  <c r="Y590" i="1"/>
  <c r="Y591" i="1"/>
  <c r="Y592" i="1"/>
  <c r="Y593" i="1"/>
  <c r="Y594" i="1"/>
  <c r="Y595" i="1"/>
  <c r="Y596" i="1"/>
  <c r="Y597" i="1"/>
  <c r="Y598" i="1"/>
  <c r="Y599" i="1"/>
  <c r="Y600" i="1"/>
  <c r="AJ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AJ629" i="1"/>
  <c r="Y630" i="1"/>
  <c r="AJ630" i="1"/>
  <c r="Y631" i="1"/>
  <c r="Y632" i="1"/>
  <c r="Y633" i="1"/>
  <c r="Y634" i="1"/>
  <c r="Y635" i="1"/>
  <c r="Y636" i="1"/>
  <c r="Y637" i="1"/>
  <c r="Y638" i="1"/>
  <c r="Y639" i="1"/>
  <c r="Y640" i="1"/>
  <c r="Y641" i="1"/>
  <c r="Y642" i="1"/>
  <c r="AJ642" i="1"/>
  <c r="Y643" i="1"/>
  <c r="Y644" i="1"/>
  <c r="Y645" i="1"/>
  <c r="Y646" i="1"/>
  <c r="Y647" i="1"/>
  <c r="Y648" i="1"/>
  <c r="Y649" i="1"/>
  <c r="Y650" i="1"/>
  <c r="Y651" i="1"/>
  <c r="Y652" i="1"/>
  <c r="Y653" i="1"/>
  <c r="Y654" i="1"/>
  <c r="Y655" i="1"/>
  <c r="Y656" i="1"/>
  <c r="Y657" i="1"/>
  <c r="AJ657" i="1"/>
  <c r="Y658" i="1"/>
  <c r="Y659" i="1"/>
  <c r="Y660" i="1"/>
  <c r="Y661" i="1"/>
  <c r="Y662" i="1"/>
  <c r="Y663" i="1"/>
  <c r="AJ663" i="1"/>
  <c r="Y664" i="1"/>
  <c r="Y665" i="1"/>
  <c r="Y666" i="1"/>
  <c r="Y667" i="1"/>
  <c r="Y668" i="1"/>
  <c r="Y669" i="1"/>
  <c r="Y670" i="1"/>
  <c r="Y671" i="1"/>
  <c r="Y672" i="1"/>
  <c r="Y673" i="1"/>
  <c r="Y674" i="1"/>
  <c r="Y675" i="1"/>
  <c r="Y676" i="1"/>
  <c r="Y677" i="1"/>
  <c r="Y678" i="1"/>
  <c r="Y679" i="1"/>
  <c r="Y680" i="1"/>
  <c r="AJ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AJ709" i="1"/>
  <c r="Y710" i="1"/>
  <c r="Y711" i="1"/>
  <c r="Y712" i="1"/>
  <c r="Y713" i="1"/>
  <c r="Y714" i="1"/>
  <c r="AJ714" i="1"/>
  <c r="Y715" i="1"/>
  <c r="Y716" i="1"/>
  <c r="Y717" i="1"/>
  <c r="Y718" i="1"/>
  <c r="Y719" i="1"/>
  <c r="Y720" i="1"/>
  <c r="Y721" i="1"/>
  <c r="Y722" i="1"/>
  <c r="Y723" i="1"/>
  <c r="Y724" i="1"/>
  <c r="Y725" i="1"/>
  <c r="Y726" i="1"/>
  <c r="Y727" i="1"/>
  <c r="Y728" i="1"/>
  <c r="Y729" i="1"/>
  <c r="AJ729" i="1"/>
  <c r="Y730" i="1"/>
  <c r="Y731" i="1"/>
  <c r="AJ731" i="1"/>
  <c r="Y732" i="1"/>
  <c r="Y733" i="1"/>
  <c r="Y734" i="1"/>
  <c r="Y735" i="1"/>
  <c r="Y736" i="1"/>
  <c r="Y737" i="1"/>
  <c r="Y738" i="1"/>
  <c r="Y739" i="1"/>
  <c r="Y740" i="1"/>
  <c r="Y741" i="1"/>
  <c r="Y742" i="1"/>
  <c r="Y743" i="1"/>
  <c r="Y744" i="1"/>
  <c r="Y745" i="1"/>
  <c r="Y746" i="1"/>
  <c r="AJ746" i="1"/>
  <c r="Y747" i="1"/>
  <c r="AJ747" i="1"/>
  <c r="Y748" i="1"/>
  <c r="AJ748" i="1"/>
  <c r="Y749" i="1"/>
  <c r="AJ749" i="1"/>
  <c r="Y750" i="1"/>
  <c r="AJ750" i="1"/>
  <c r="Y751" i="1"/>
  <c r="AJ751" i="1"/>
  <c r="Y752" i="1"/>
  <c r="AJ752" i="1"/>
  <c r="Y753" i="1"/>
  <c r="Y754" i="1"/>
  <c r="Y755" i="1"/>
  <c r="AJ755" i="1"/>
  <c r="Y756" i="1"/>
  <c r="Y757" i="1"/>
  <c r="Y758" i="1"/>
  <c r="Y759" i="1"/>
  <c r="Y760" i="1"/>
  <c r="Y761" i="1"/>
  <c r="Y762" i="1"/>
  <c r="AJ762" i="1"/>
  <c r="Y763" i="1"/>
  <c r="Y764" i="1"/>
  <c r="Y765" i="1"/>
  <c r="Y766" i="1"/>
  <c r="Y767" i="1"/>
  <c r="Y768" i="1"/>
  <c r="Y769" i="1"/>
  <c r="Y770" i="1"/>
  <c r="Y771" i="1"/>
  <c r="Y772" i="1"/>
  <c r="Y773" i="1"/>
  <c r="Y774" i="1"/>
  <c r="AJ774" i="1"/>
  <c r="Y775" i="1"/>
  <c r="Y776" i="1"/>
  <c r="AJ776" i="1"/>
  <c r="Y777" i="1"/>
  <c r="AJ777" i="1"/>
  <c r="Y778" i="1"/>
  <c r="AJ778" i="1"/>
  <c r="Y779" i="1"/>
  <c r="AJ779" i="1"/>
  <c r="Y780" i="1"/>
  <c r="AJ780" i="1"/>
  <c r="Y781" i="1"/>
  <c r="AJ781" i="1"/>
  <c r="Y782" i="1"/>
  <c r="Y783" i="1"/>
  <c r="Y784" i="1"/>
  <c r="Y785" i="1"/>
  <c r="Y786" i="1"/>
  <c r="Y787" i="1"/>
  <c r="AJ787" i="1"/>
  <c r="Y788" i="1"/>
  <c r="Y789" i="1"/>
  <c r="Y790" i="1"/>
  <c r="Y791" i="1"/>
  <c r="Y792" i="1"/>
  <c r="Y793" i="1"/>
  <c r="Y794" i="1"/>
  <c r="AJ794" i="1"/>
  <c r="Y795" i="1"/>
  <c r="Y796" i="1"/>
  <c r="Y797" i="1"/>
  <c r="Y798" i="1"/>
  <c r="Y799" i="1"/>
  <c r="Y800" i="1"/>
  <c r="Y801" i="1"/>
  <c r="Y802" i="1"/>
  <c r="AJ802" i="1"/>
  <c r="Y803" i="1"/>
  <c r="Y804" i="1"/>
  <c r="Y805" i="1"/>
  <c r="Y806" i="1"/>
  <c r="Y807" i="1"/>
  <c r="Y808" i="1"/>
  <c r="Y809" i="1"/>
  <c r="Y810" i="1"/>
  <c r="AJ810" i="1"/>
  <c r="Y811" i="1"/>
  <c r="AJ811" i="1"/>
  <c r="Y812" i="1"/>
  <c r="AJ812" i="1"/>
  <c r="Y813" i="1"/>
  <c r="AJ813" i="1"/>
  <c r="Y814" i="1"/>
  <c r="AJ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AJ841" i="1"/>
  <c r="Y842" i="1"/>
  <c r="Y843" i="1"/>
  <c r="Y844" i="1"/>
  <c r="Y845" i="1"/>
  <c r="Y846" i="1"/>
  <c r="Y847" i="1"/>
  <c r="Y848" i="1"/>
  <c r="Y849" i="1"/>
  <c r="Y850" i="1"/>
  <c r="Y851" i="1"/>
  <c r="AJ851" i="1"/>
  <c r="Y852" i="1"/>
  <c r="Y853" i="1"/>
  <c r="Y854" i="1"/>
  <c r="Y855" i="1"/>
  <c r="Y856" i="1"/>
  <c r="AJ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AJ886" i="1"/>
  <c r="Y887" i="1"/>
  <c r="AJ887" i="1"/>
  <c r="Y888" i="1"/>
  <c r="AJ888" i="1"/>
  <c r="Y889" i="1"/>
  <c r="AJ889" i="1"/>
  <c r="Y890" i="1"/>
  <c r="Y891" i="1"/>
  <c r="AJ891" i="1"/>
  <c r="Y892" i="1"/>
  <c r="Y893" i="1"/>
  <c r="Y894" i="1"/>
  <c r="Y895" i="1"/>
  <c r="Y896" i="1"/>
  <c r="Y897" i="1"/>
  <c r="Y898" i="1"/>
  <c r="Y899" i="1"/>
  <c r="Y900" i="1"/>
  <c r="Y901" i="1"/>
  <c r="AJ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AJ930" i="1"/>
  <c r="Y931" i="1"/>
  <c r="Y932" i="1"/>
  <c r="Y933" i="1"/>
  <c r="AJ933" i="1"/>
  <c r="Y934" i="1"/>
  <c r="Y935" i="1"/>
  <c r="Y936" i="1"/>
  <c r="AJ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AJ1008" i="1"/>
  <c r="Y1009" i="1"/>
  <c r="Y1010" i="1"/>
  <c r="Y1011" i="1"/>
  <c r="Y1012" i="1"/>
  <c r="AJ1012" i="1"/>
  <c r="Y1013" i="1"/>
  <c r="Y1014" i="1"/>
  <c r="AJ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AJ1044" i="1"/>
  <c r="Y1045" i="1"/>
  <c r="Y1046" i="1"/>
  <c r="Y1047" i="1"/>
  <c r="Y1048" i="1"/>
  <c r="Y1049" i="1"/>
  <c r="Y1050" i="1"/>
  <c r="Y1051" i="1"/>
  <c r="Y1052" i="1"/>
  <c r="Y1053" i="1"/>
  <c r="Y1054" i="1"/>
  <c r="AJ1054" i="1"/>
  <c r="Y1055" i="1"/>
  <c r="Y1056" i="1"/>
  <c r="Y1057" i="1"/>
  <c r="AJ1057" i="1"/>
  <c r="Y1058" i="1"/>
  <c r="Y1059" i="1"/>
  <c r="Y1060" i="1"/>
  <c r="Y1061" i="1"/>
  <c r="AJ1061" i="1"/>
  <c r="Y1062" i="1"/>
  <c r="Y1063" i="1"/>
  <c r="AJ1063" i="1"/>
  <c r="Y1064" i="1"/>
  <c r="AJ1064" i="1"/>
  <c r="Y1065" i="1"/>
  <c r="AJ1065" i="1"/>
  <c r="Y1066" i="1"/>
  <c r="AJ1066" i="1"/>
  <c r="Y1067" i="1"/>
  <c r="AJ1067" i="1"/>
  <c r="Y1068" i="1"/>
  <c r="AJ1068" i="1"/>
  <c r="Y1069" i="1"/>
  <c r="Y1070" i="1"/>
  <c r="Y1071" i="1"/>
  <c r="Y1072" i="1"/>
  <c r="Y1073" i="1"/>
  <c r="Y1074" i="1"/>
  <c r="Y1075" i="1"/>
  <c r="Y1076" i="1"/>
  <c r="Y1077" i="1"/>
  <c r="Y1078" i="1"/>
  <c r="Y1079" i="1"/>
  <c r="AJ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AJ1105" i="1"/>
  <c r="Y1106" i="1"/>
  <c r="Y1107" i="1"/>
  <c r="Y1108" i="1"/>
  <c r="Y1109" i="1"/>
  <c r="Y1110" i="1"/>
  <c r="Y1111" i="1"/>
  <c r="Y1112" i="1"/>
  <c r="Y1113" i="1"/>
  <c r="Y1114" i="1"/>
  <c r="Y1115" i="1"/>
  <c r="Y1116" i="1"/>
  <c r="Y1117" i="1"/>
  <c r="Y1118" i="1"/>
  <c r="Y1119" i="1"/>
  <c r="Y1120" i="1"/>
  <c r="Y1121" i="1"/>
  <c r="AJ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AJ1152" i="1"/>
  <c r="Y1153" i="1"/>
  <c r="Y1154" i="1"/>
  <c r="Y1155" i="1"/>
  <c r="AJ1155" i="1"/>
  <c r="Y1156" i="1"/>
  <c r="Y1157" i="1"/>
  <c r="AJ1157" i="1"/>
  <c r="Y1158" i="1"/>
  <c r="AJ1158" i="1"/>
  <c r="Y1159" i="1"/>
  <c r="AJ1159" i="1"/>
  <c r="Y1160" i="1"/>
  <c r="AJ1160" i="1"/>
  <c r="Y1161" i="1"/>
  <c r="AJ1161" i="1"/>
  <c r="Y1162" i="1"/>
  <c r="Y1163" i="1"/>
  <c r="Y1164" i="1"/>
  <c r="Y1165" i="1"/>
  <c r="Y1166" i="1"/>
  <c r="Y1167" i="1"/>
  <c r="Y1168" i="1"/>
  <c r="Y1169" i="1"/>
  <c r="Y1170" i="1"/>
  <c r="Y1171" i="1"/>
  <c r="Y1172" i="1"/>
  <c r="Y1173" i="1"/>
  <c r="AJ1173" i="1"/>
  <c r="Y1174" i="1"/>
  <c r="Y1175" i="1"/>
  <c r="Y1176" i="1"/>
  <c r="Y1177" i="1"/>
  <c r="Y1178" i="1"/>
  <c r="Y1179" i="1"/>
  <c r="Y1180" i="1"/>
  <c r="Y1181" i="1"/>
  <c r="Y1182" i="1"/>
  <c r="Y1183" i="1"/>
  <c r="Y1184" i="1"/>
  <c r="Y1185" i="1"/>
  <c r="Y1186" i="1"/>
  <c r="AJ1186" i="1"/>
  <c r="Y1187" i="1"/>
  <c r="Y1188" i="1"/>
  <c r="Y1189" i="1"/>
  <c r="Y1190" i="1"/>
  <c r="Y1191" i="1"/>
  <c r="Y1192" i="1"/>
  <c r="Y1193" i="1"/>
  <c r="Y1194" i="1"/>
  <c r="Y1195" i="1"/>
  <c r="Y1196" i="1"/>
  <c r="Y1197" i="1"/>
  <c r="Y1198" i="1"/>
  <c r="Y1199" i="1"/>
  <c r="Y1200" i="1"/>
  <c r="AJ1200" i="1"/>
  <c r="Y1201" i="1"/>
  <c r="Y1202" i="1"/>
  <c r="Y1203" i="1"/>
  <c r="Y1204" i="1"/>
  <c r="AJ1204" i="1"/>
  <c r="Y1205" i="1"/>
  <c r="Y1206" i="1"/>
  <c r="Y1207" i="1"/>
  <c r="Y1208" i="1"/>
  <c r="Y1209" i="1"/>
  <c r="Y1210" i="1"/>
  <c r="Y1211" i="1"/>
  <c r="Y1212" i="1"/>
  <c r="Y1213" i="1"/>
  <c r="Y1214" i="1"/>
  <c r="Y1215" i="1"/>
  <c r="Y1216" i="1"/>
  <c r="Y1217" i="1"/>
  <c r="Y1218" i="1"/>
  <c r="Y1219" i="1"/>
  <c r="Y1220" i="1"/>
  <c r="Y1221" i="1"/>
  <c r="Y1222" i="1"/>
  <c r="Y1223" i="1"/>
  <c r="AJ1223" i="1"/>
  <c r="Y1224" i="1"/>
  <c r="Y1225" i="1"/>
  <c r="Y1226" i="1"/>
  <c r="Y1227" i="1"/>
  <c r="Y1228" i="1"/>
  <c r="Y1229" i="1"/>
  <c r="Y1230" i="1"/>
  <c r="Y1231" i="1"/>
  <c r="Y1232" i="1"/>
  <c r="Y1233" i="1"/>
  <c r="Y1234" i="1"/>
  <c r="Y1235" i="1"/>
  <c r="Y1236" i="1"/>
  <c r="Y1237" i="1"/>
  <c r="Y1238" i="1"/>
  <c r="Y1239" i="1"/>
  <c r="AJ1239" i="1"/>
  <c r="Y1240" i="1"/>
  <c r="AJ1240" i="1"/>
  <c r="Y1241" i="1"/>
  <c r="AJ1241" i="1"/>
  <c r="Y1242" i="1"/>
  <c r="AJ1242" i="1"/>
  <c r="Y1243" i="1"/>
  <c r="AJ1243" i="1"/>
  <c r="Y1244" i="1"/>
  <c r="Y1245" i="1"/>
  <c r="AJ1245" i="1"/>
  <c r="Y1246" i="1"/>
  <c r="AJ1246" i="1"/>
  <c r="Y1247" i="1"/>
  <c r="Y1248" i="1"/>
  <c r="Y1249" i="1"/>
  <c r="Y1250" i="1"/>
  <c r="AJ1250" i="1"/>
  <c r="Y1251" i="1"/>
  <c r="Y1252" i="1"/>
  <c r="Y1253" i="1"/>
  <c r="Y1254" i="1"/>
  <c r="Y1255" i="1"/>
  <c r="Y1256" i="1"/>
  <c r="Y1257" i="1"/>
  <c r="Y1258" i="1"/>
  <c r="Y1259" i="1"/>
  <c r="Y1260" i="1"/>
  <c r="Y1261" i="1"/>
  <c r="Y1262" i="1"/>
  <c r="AJ1262" i="1"/>
  <c r="Y1263" i="1"/>
  <c r="Y1264" i="1"/>
  <c r="Y1265" i="1"/>
  <c r="Y1266" i="1"/>
  <c r="AJ1266" i="1"/>
  <c r="Y1267" i="1"/>
  <c r="Y1268" i="1"/>
  <c r="Y1269" i="1"/>
  <c r="AJ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AJ1296" i="1"/>
  <c r="Y1297" i="1"/>
  <c r="Y1298" i="1"/>
  <c r="Y1299" i="1"/>
  <c r="AJ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AJ1322" i="1"/>
  <c r="Y1323" i="1"/>
  <c r="Y1324" i="1"/>
  <c r="Y1325" i="1"/>
  <c r="Y1326" i="1"/>
  <c r="AJ1326" i="1"/>
  <c r="Y1327" i="1"/>
  <c r="Y1328" i="1"/>
  <c r="Y1329" i="1"/>
  <c r="Y1330" i="1"/>
  <c r="Y1331" i="1"/>
  <c r="Y1332" i="1"/>
  <c r="Y1333" i="1"/>
  <c r="Y1334" i="1"/>
  <c r="Y1335" i="1"/>
  <c r="Y1336" i="1"/>
  <c r="Y1337" i="1"/>
  <c r="Y1338" i="1"/>
  <c r="Y1339" i="1"/>
  <c r="Y1340" i="1"/>
  <c r="Y1341" i="1"/>
  <c r="Y1342" i="1"/>
  <c r="Y1343" i="1"/>
  <c r="Y1344" i="1"/>
  <c r="Y1345" i="1"/>
  <c r="Y1346" i="1"/>
  <c r="AJ1346" i="1"/>
  <c r="Y1347" i="1"/>
  <c r="AJ1347" i="1"/>
  <c r="Y1348" i="1"/>
  <c r="AJ1348" i="1"/>
  <c r="Y1349" i="1"/>
  <c r="AJ1349" i="1"/>
  <c r="Y1350" i="1"/>
  <c r="AJ1350" i="1"/>
  <c r="Y1351" i="1"/>
  <c r="AJ1351" i="1"/>
  <c r="Y1352" i="1"/>
  <c r="Y1353" i="1"/>
  <c r="AJ1353" i="1"/>
  <c r="Y1354" i="1"/>
  <c r="Y1355" i="1"/>
  <c r="Y1356" i="1"/>
  <c r="Y1357" i="1"/>
  <c r="Y1358" i="1"/>
  <c r="Y1359" i="1"/>
  <c r="AJ1359" i="1"/>
  <c r="Y1360" i="1"/>
  <c r="Y1361" i="1"/>
  <c r="Y1362" i="1"/>
  <c r="Y1363" i="1"/>
  <c r="Y1364" i="1"/>
  <c r="Y1365" i="1"/>
  <c r="Y1366" i="1"/>
  <c r="Y1367" i="1"/>
  <c r="Y1368" i="1"/>
  <c r="Y1369" i="1"/>
  <c r="Y1370" i="1"/>
  <c r="Y1371" i="1"/>
  <c r="Y1372" i="1"/>
  <c r="Y1373" i="1"/>
  <c r="Y1374" i="1"/>
  <c r="Y1375" i="1"/>
  <c r="Y1376" i="1"/>
  <c r="Y1377" i="1"/>
  <c r="AJ1377" i="1"/>
  <c r="Y1378" i="1"/>
  <c r="Y1379" i="1"/>
  <c r="Y1380" i="1"/>
  <c r="Y1381" i="1"/>
  <c r="Y1382" i="1"/>
  <c r="Y1383" i="1"/>
  <c r="Y1384" i="1"/>
  <c r="Y1385" i="1"/>
  <c r="Y1386" i="1"/>
  <c r="Y1387" i="1"/>
  <c r="Y1388" i="1"/>
  <c r="Y1389" i="1"/>
  <c r="Y1390" i="1"/>
  <c r="Y1391" i="1"/>
  <c r="Y1392" i="1"/>
  <c r="AJ1392" i="1"/>
  <c r="Y1393" i="1"/>
  <c r="Y1394" i="1"/>
  <c r="Y1395" i="1"/>
  <c r="Y1396" i="1"/>
  <c r="Y1397" i="1"/>
  <c r="Y1398" i="1"/>
  <c r="Y1399" i="1"/>
  <c r="Y1400" i="1"/>
  <c r="AJ1400" i="1"/>
  <c r="Y1401" i="1"/>
  <c r="Y1402" i="1"/>
  <c r="Y1403" i="1"/>
  <c r="Y1404" i="1"/>
  <c r="Y1405" i="1"/>
  <c r="Y1406" i="1"/>
  <c r="Y1407" i="1"/>
  <c r="Y1408" i="1"/>
  <c r="Y1409" i="1"/>
  <c r="Y1410" i="1"/>
  <c r="Y1411" i="1"/>
  <c r="Y1412" i="1"/>
  <c r="Y1413" i="1"/>
  <c r="Y1414" i="1"/>
  <c r="Y1415" i="1"/>
  <c r="Y1416" i="1"/>
  <c r="Y1417" i="1"/>
  <c r="Y1418" i="1"/>
  <c r="AJ1418" i="1"/>
  <c r="Y1419" i="1"/>
  <c r="Y1420" i="1"/>
  <c r="AJ1420" i="1"/>
  <c r="Y1421" i="1"/>
  <c r="AJ1421" i="1"/>
  <c r="Y1422" i="1"/>
  <c r="AJ1422" i="1"/>
  <c r="Y1423" i="1"/>
  <c r="Y1424" i="1"/>
  <c r="Y1425" i="1"/>
  <c r="AJ1425" i="1"/>
  <c r="Y1426" i="1"/>
  <c r="Y1427" i="1"/>
  <c r="Y1428" i="1"/>
  <c r="Y1429" i="1"/>
  <c r="Y1430" i="1"/>
  <c r="Y1431" i="1"/>
  <c r="AJ1431" i="1"/>
  <c r="Y1432" i="1"/>
  <c r="Y1433" i="1"/>
  <c r="Y1434" i="1"/>
  <c r="Y1435" i="1"/>
  <c r="Y1436" i="1"/>
  <c r="Y1437" i="1"/>
  <c r="Y1438" i="1"/>
  <c r="Y1439" i="1"/>
  <c r="Y1440" i="1"/>
  <c r="Y1441" i="1"/>
  <c r="Y1442" i="1"/>
  <c r="Y1443" i="1"/>
  <c r="AJ1443" i="1"/>
  <c r="Y1444" i="1"/>
  <c r="Y1445" i="1"/>
  <c r="Y1446" i="1"/>
  <c r="Y1447" i="1"/>
  <c r="Y1448" i="1"/>
  <c r="Y1449" i="1"/>
  <c r="AJ1449" i="1"/>
  <c r="Y1450" i="1"/>
  <c r="Y1451" i="1"/>
  <c r="Y1452" i="1"/>
  <c r="Y1453" i="1"/>
  <c r="Y1454" i="1"/>
  <c r="Y1455" i="1"/>
  <c r="Y1456" i="1"/>
  <c r="Y1457" i="1"/>
  <c r="AJ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AJ1502" i="1"/>
  <c r="Y1503" i="1"/>
  <c r="Y1504" i="1"/>
  <c r="Y1505" i="1"/>
  <c r="Y1506" i="1"/>
  <c r="AJ1506" i="1"/>
  <c r="Y1507" i="1"/>
  <c r="Y1508" i="1"/>
  <c r="Y1509" i="1"/>
  <c r="Y1510" i="1"/>
  <c r="Y1511" i="1"/>
  <c r="AJ1511" i="1"/>
  <c r="Y1512" i="1"/>
  <c r="AJ1512" i="1"/>
  <c r="Y1513" i="1"/>
  <c r="AJ1513" i="1"/>
  <c r="Y1514" i="1"/>
  <c r="AJ1514" i="1"/>
  <c r="Y1515" i="1"/>
  <c r="AJ1515" i="1"/>
  <c r="Y1516" i="1"/>
  <c r="Y1517" i="1"/>
  <c r="Y1518" i="1"/>
  <c r="Y1519" i="1"/>
  <c r="Y1520" i="1"/>
  <c r="Y1521" i="1"/>
  <c r="Y1522" i="1"/>
  <c r="Y1523" i="1"/>
  <c r="Y1524" i="1"/>
  <c r="Y1525" i="1"/>
  <c r="AJ1525" i="1"/>
  <c r="Y1526" i="1"/>
  <c r="Y1527" i="1"/>
  <c r="Y1528" i="1"/>
  <c r="Y1529" i="1"/>
  <c r="Y1530" i="1"/>
  <c r="Y1531" i="1"/>
  <c r="Y1532" i="1"/>
  <c r="Y1533" i="1"/>
  <c r="Y1534" i="1"/>
  <c r="Y1535" i="1"/>
  <c r="Y1536" i="1"/>
  <c r="Y1537" i="1"/>
  <c r="AJ1537" i="1"/>
  <c r="Y1538" i="1"/>
  <c r="Y1539" i="1"/>
  <c r="Y1540" i="1"/>
  <c r="Y1541" i="1"/>
  <c r="Y1542" i="1"/>
  <c r="Y1543" i="1"/>
  <c r="Y1544" i="1"/>
  <c r="Y1545" i="1"/>
  <c r="Y1546" i="1"/>
  <c r="Y1547" i="1"/>
  <c r="Y1548" i="1"/>
  <c r="Y1549" i="1"/>
  <c r="Y1550" i="1"/>
  <c r="Y1551" i="1"/>
  <c r="Y1552" i="1"/>
  <c r="Y1553" i="1"/>
  <c r="AJ1553" i="1"/>
  <c r="Y1554" i="1"/>
  <c r="Y1555" i="1"/>
  <c r="AJ1555" i="1"/>
  <c r="Y1556" i="1"/>
  <c r="Y1557" i="1"/>
  <c r="Y1558" i="1"/>
  <c r="AJ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AJ1594" i="1"/>
  <c r="Y1595" i="1"/>
  <c r="Y1596" i="1"/>
  <c r="Y1597" i="1"/>
  <c r="Y1598" i="1"/>
  <c r="Y1599" i="1"/>
  <c r="Y1600" i="1"/>
  <c r="Y1601" i="1"/>
  <c r="Y1602" i="1"/>
  <c r="Y1603" i="1"/>
  <c r="Y1604" i="1"/>
  <c r="AJ1604" i="1"/>
  <c r="Y1605" i="1"/>
  <c r="Y1606" i="1"/>
  <c r="Y1607" i="1"/>
  <c r="Y1608" i="1"/>
  <c r="Y1609" i="1"/>
  <c r="Y1610" i="1"/>
  <c r="Y1611" i="1"/>
  <c r="Y1612" i="1"/>
  <c r="Y1613" i="1"/>
  <c r="AJ1613" i="1"/>
  <c r="Y1614" i="1"/>
  <c r="Y1615" i="1"/>
  <c r="AJ1615" i="1"/>
  <c r="Y1616" i="1"/>
  <c r="Y1617" i="1"/>
  <c r="Y1618" i="1"/>
  <c r="Y1619" i="1"/>
  <c r="Y1620" i="1"/>
  <c r="Y1621" i="1"/>
  <c r="Y1622" i="1"/>
  <c r="AJ1622" i="1"/>
  <c r="Y1623" i="1"/>
  <c r="AJ1623" i="1"/>
  <c r="Y1624" i="1"/>
  <c r="AJ1624" i="1"/>
  <c r="Y1625" i="1"/>
  <c r="AJ1625" i="1"/>
  <c r="Y1626" i="1"/>
  <c r="AJ1626" i="1"/>
  <c r="Y1627" i="1"/>
  <c r="AJ1627" i="1"/>
  <c r="Y1628" i="1"/>
  <c r="AJ1628" i="1"/>
  <c r="Y1629" i="1"/>
  <c r="AJ1629" i="1"/>
  <c r="Y1630" i="1"/>
  <c r="AJ1630" i="1"/>
  <c r="Y1631" i="1"/>
  <c r="AJ1631" i="1"/>
  <c r="Y1632" i="1"/>
  <c r="AJ1632" i="1"/>
  <c r="Y1633" i="1"/>
  <c r="AJ1633" i="1"/>
  <c r="Y1634" i="1"/>
  <c r="Y1635" i="1"/>
  <c r="Y1636" i="1"/>
  <c r="Y1637" i="1"/>
  <c r="Y1638" i="1"/>
  <c r="Y1639" i="1"/>
  <c r="Y1640" i="1"/>
  <c r="AJ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AJ1663" i="1"/>
  <c r="Y1664" i="1"/>
  <c r="Y1665" i="1"/>
  <c r="Y1666" i="1"/>
  <c r="Y1667" i="1"/>
  <c r="Y1668" i="1"/>
  <c r="Y1669" i="1"/>
  <c r="AJ1669" i="1"/>
  <c r="Y1670" i="1"/>
  <c r="Y1671" i="1"/>
  <c r="Y1672" i="1"/>
  <c r="Y1673" i="1"/>
  <c r="Y1674" i="1"/>
  <c r="Y1675" i="1"/>
  <c r="Y1676" i="1"/>
  <c r="Y1677" i="1"/>
  <c r="Y1678" i="1"/>
  <c r="Y1679" i="1"/>
  <c r="Y1680" i="1"/>
  <c r="Y1681" i="1"/>
  <c r="Y1682" i="1"/>
  <c r="AJ1682" i="1"/>
  <c r="Y1683" i="1"/>
  <c r="AJ1683" i="1"/>
  <c r="Y1684" i="1"/>
  <c r="Y1685" i="1"/>
  <c r="AJ1685" i="1"/>
  <c r="Y1686" i="1"/>
  <c r="Y1687" i="1"/>
  <c r="Y1688" i="1"/>
  <c r="AJ1688" i="1"/>
  <c r="Y1689" i="1"/>
  <c r="Y1690" i="1"/>
  <c r="Y1691" i="1"/>
  <c r="Y1692" i="1"/>
  <c r="Y1693" i="1"/>
  <c r="AJ1693" i="1"/>
  <c r="Y1694" i="1"/>
  <c r="Y1695" i="1"/>
  <c r="Y1696" i="1"/>
  <c r="Y1697" i="1"/>
  <c r="Y1698" i="1"/>
  <c r="Y1699" i="1"/>
  <c r="Y1700" i="1"/>
  <c r="Y1701" i="1"/>
  <c r="AJ1701" i="1"/>
  <c r="Y1702" i="1"/>
  <c r="AJ1702" i="1"/>
  <c r="Y1703" i="1"/>
  <c r="Y1704" i="1"/>
  <c r="Y1705" i="1"/>
  <c r="Y1706" i="1"/>
  <c r="Y1707" i="1"/>
  <c r="Y1708" i="1"/>
  <c r="Y1709" i="1"/>
  <c r="Y1710" i="1"/>
  <c r="Y1711" i="1"/>
  <c r="Y1712" i="1"/>
  <c r="Y1713" i="1"/>
  <c r="Y1714" i="1"/>
  <c r="Y1715" i="1"/>
  <c r="Y1716" i="1"/>
  <c r="Y1717" i="1"/>
  <c r="AJ1717" i="1"/>
  <c r="Y1718" i="1"/>
  <c r="AJ1718" i="1"/>
  <c r="Y1719" i="1"/>
  <c r="Y1720" i="1"/>
  <c r="Y1721" i="1"/>
  <c r="Y1722" i="1"/>
  <c r="AJ1722" i="1"/>
  <c r="Y1723" i="1"/>
  <c r="AJ1723" i="1"/>
  <c r="Y1724" i="1"/>
  <c r="Y1725" i="1"/>
  <c r="Y1726" i="1"/>
  <c r="Y1727" i="1"/>
  <c r="Y1728" i="1"/>
  <c r="Y1729" i="1"/>
  <c r="Y1730" i="1"/>
  <c r="Y1731" i="1"/>
  <c r="Y1732" i="1"/>
  <c r="Y1733" i="1"/>
  <c r="Y1734" i="1"/>
  <c r="Y1735" i="1"/>
  <c r="Y1736" i="1"/>
  <c r="Y1737" i="1"/>
  <c r="AJ1737" i="1"/>
  <c r="Y1738" i="1"/>
  <c r="Y1739" i="1"/>
  <c r="AJ1739" i="1"/>
  <c r="Y1740" i="1"/>
  <c r="Y1741" i="1"/>
  <c r="AJ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AJ1768" i="1"/>
  <c r="Y1769" i="1"/>
  <c r="Y1770" i="1"/>
  <c r="Y1771" i="1"/>
  <c r="Y1772" i="1"/>
  <c r="Y1773" i="1"/>
  <c r="Y1774" i="1"/>
  <c r="Y1775" i="1"/>
  <c r="Y1776" i="1"/>
  <c r="AJ1776" i="1"/>
  <c r="Y1777" i="1"/>
  <c r="Y1778" i="1"/>
  <c r="Y1779" i="1"/>
  <c r="Y1780" i="1"/>
  <c r="Y1781" i="1"/>
  <c r="AJ1781" i="1"/>
  <c r="Y1782" i="1"/>
  <c r="AJ1782" i="1"/>
  <c r="Y1783" i="1"/>
  <c r="AJ1783" i="1"/>
  <c r="Y1784" i="1"/>
  <c r="AJ1784" i="1"/>
  <c r="Y1785" i="1"/>
  <c r="AJ1785" i="1"/>
  <c r="Y1786" i="1"/>
  <c r="AJ1786" i="1"/>
  <c r="Y1787" i="1"/>
  <c r="Y1788" i="1"/>
  <c r="Y1789" i="1"/>
  <c r="Y1790" i="1"/>
  <c r="Y1791" i="1"/>
  <c r="Y1792" i="1"/>
  <c r="Y1793" i="1"/>
  <c r="Y1794" i="1"/>
  <c r="Y1795" i="1"/>
  <c r="Y1796" i="1"/>
  <c r="Y1797" i="1"/>
  <c r="Y1798" i="1"/>
  <c r="AJ1798" i="1"/>
  <c r="Y1799" i="1"/>
  <c r="Y1800" i="1"/>
  <c r="Y1801" i="1"/>
  <c r="Y1802" i="1"/>
  <c r="Y1803" i="1"/>
  <c r="AJ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AJ1828" i="1"/>
  <c r="Y1829" i="1"/>
  <c r="Y1830" i="1"/>
  <c r="AJ1830" i="1"/>
  <c r="Y1831" i="1"/>
  <c r="AJ1831" i="1"/>
  <c r="Y1832" i="1"/>
  <c r="Y1833" i="1"/>
  <c r="Y1834" i="1"/>
  <c r="Y1835" i="1"/>
  <c r="Y1836" i="1"/>
  <c r="AJ1836" i="1"/>
  <c r="Y1837" i="1"/>
  <c r="Y1838" i="1"/>
  <c r="Y1839" i="1"/>
  <c r="Y1840" i="1"/>
  <c r="Y1841" i="1"/>
  <c r="Y1842" i="1"/>
  <c r="Y1843" i="1"/>
  <c r="Y1844" i="1"/>
  <c r="Y1845" i="1"/>
  <c r="Y1846" i="1"/>
  <c r="Y1847" i="1"/>
  <c r="Y1848" i="1"/>
  <c r="Y1849" i="1"/>
  <c r="AJ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AJ1884" i="1"/>
  <c r="Y1885" i="1"/>
  <c r="Y1886" i="1"/>
  <c r="Y1887" i="1"/>
  <c r="Y1888" i="1"/>
  <c r="Y1889" i="1"/>
  <c r="Y1890" i="1"/>
  <c r="Y1891" i="1"/>
  <c r="Y1892" i="1"/>
  <c r="Y1893" i="1"/>
  <c r="Y1894" i="1"/>
  <c r="Y1895" i="1"/>
  <c r="Y1896" i="1"/>
  <c r="Y1897" i="1"/>
  <c r="Y1898" i="1"/>
  <c r="Y1899" i="1"/>
  <c r="Y1900" i="1"/>
  <c r="Y1901" i="1"/>
  <c r="Y1902" i="1"/>
  <c r="Y1903" i="1"/>
  <c r="AJ1903" i="1"/>
  <c r="Y1904" i="1"/>
  <c r="Y1905" i="1"/>
  <c r="Y1906" i="1"/>
  <c r="Y1907" i="1"/>
  <c r="Y1908" i="1"/>
  <c r="Y1909" i="1"/>
  <c r="Y1910" i="1"/>
  <c r="Y1911" i="1"/>
  <c r="AJ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AJ1956" i="1"/>
  <c r="Y1957" i="1"/>
  <c r="AJ1957" i="1"/>
  <c r="Y1958" i="1"/>
  <c r="Y1959" i="1"/>
  <c r="Y1960" i="1"/>
  <c r="AJ1960" i="1"/>
  <c r="Y1961" i="1"/>
  <c r="Y1962" i="1"/>
  <c r="Y1963" i="1"/>
  <c r="Y1964" i="1"/>
  <c r="Y1965" i="1"/>
  <c r="Y1966" i="1"/>
  <c r="Y1967" i="1"/>
  <c r="Y1968" i="1"/>
  <c r="Y1969" i="1"/>
  <c r="Y1970" i="1"/>
  <c r="Y1971" i="1"/>
  <c r="Y1972" i="1"/>
  <c r="Y1973" i="1"/>
  <c r="Y1974" i="1"/>
  <c r="Y1975" i="1"/>
  <c r="Y1976" i="1"/>
  <c r="AJ1976" i="1"/>
  <c r="Y1977" i="1"/>
  <c r="AJ1977" i="1"/>
  <c r="Y1978" i="1"/>
  <c r="Y1979" i="1"/>
  <c r="AJ1979" i="1"/>
  <c r="Y1980" i="1"/>
  <c r="Y1981" i="1"/>
  <c r="Y1982" i="1"/>
  <c r="Y1983" i="1"/>
  <c r="Y1984" i="1"/>
  <c r="Y1985" i="1"/>
  <c r="Y1986" i="1"/>
  <c r="Y1987" i="1"/>
  <c r="Y1988" i="1"/>
  <c r="Y1989" i="1"/>
  <c r="Y1990" i="1"/>
  <c r="Y1991" i="1"/>
  <c r="Y1992" i="1"/>
  <c r="Y1993" i="1"/>
  <c r="Y1994" i="1"/>
  <c r="AJ1994" i="1"/>
  <c r="Y1995" i="1"/>
  <c r="Y1996" i="1"/>
  <c r="AJ1996" i="1"/>
  <c r="Y1997" i="1"/>
  <c r="Y1998" i="1"/>
  <c r="Y1999" i="1"/>
  <c r="Y2000" i="1"/>
  <c r="Y2001" i="1"/>
  <c r="Y2002" i="1"/>
  <c r="Y2003" i="1"/>
  <c r="Y2004" i="1"/>
  <c r="Y2005" i="1"/>
  <c r="Y2006" i="1"/>
  <c r="Y2007" i="1"/>
  <c r="Y2008" i="1"/>
  <c r="Y2009" i="1"/>
  <c r="Y2010" i="1"/>
  <c r="Y2011" i="1"/>
  <c r="Y2012" i="1"/>
  <c r="AJ2012" i="1"/>
  <c r="Y2013" i="1"/>
  <c r="Y2014" i="1"/>
  <c r="Y2015" i="1"/>
  <c r="Y2016" i="1"/>
  <c r="Y2017" i="1"/>
  <c r="Y2018" i="1"/>
  <c r="Y2019" i="1"/>
  <c r="Y2020" i="1"/>
  <c r="Y2021" i="1"/>
  <c r="AJ2021" i="1"/>
  <c r="Y2022" i="1"/>
  <c r="Y2023" i="1"/>
  <c r="Y2024" i="1"/>
  <c r="Y2025" i="1"/>
  <c r="AJ2025" i="1"/>
  <c r="Y2026" i="1"/>
  <c r="AJ2026" i="1"/>
  <c r="Y2027" i="1"/>
  <c r="AJ2027" i="1"/>
  <c r="Y2028" i="1"/>
  <c r="Y2029" i="1"/>
  <c r="Y2030" i="1"/>
  <c r="Y2031" i="1"/>
  <c r="Y2032" i="1"/>
  <c r="Y2033" i="1"/>
  <c r="Y2034" i="1"/>
  <c r="Y2035" i="1"/>
  <c r="Y2036" i="1"/>
  <c r="Y2037" i="1"/>
  <c r="Y2038" i="1"/>
  <c r="Y2039" i="1"/>
  <c r="Y2040" i="1"/>
  <c r="Y2041" i="1"/>
  <c r="AJ2041" i="1"/>
  <c r="Y2042" i="1"/>
  <c r="Y2043" i="1"/>
  <c r="Y2044" i="1"/>
  <c r="Y2045" i="1"/>
  <c r="Y2046" i="1"/>
  <c r="Y2047" i="1"/>
  <c r="Y2048" i="1"/>
  <c r="AJ2048" i="1"/>
  <c r="Y2049" i="1"/>
  <c r="Y2050" i="1"/>
  <c r="Y2051" i="1"/>
  <c r="Y2052" i="1"/>
  <c r="Y2053" i="1"/>
  <c r="Y2054" i="1"/>
  <c r="Y2055" i="1"/>
  <c r="Y2056" i="1"/>
  <c r="Y2057" i="1"/>
  <c r="Y2058" i="1"/>
  <c r="Y2059" i="1"/>
  <c r="Y2060" i="1"/>
  <c r="AJ2060" i="1"/>
  <c r="Y2061" i="1"/>
  <c r="Y2062" i="1"/>
  <c r="Y2063" i="1"/>
  <c r="Y2064" i="1"/>
  <c r="Y2065" i="1"/>
  <c r="AJ2065" i="1"/>
  <c r="Y2066" i="1"/>
  <c r="Y2067" i="1"/>
  <c r="Y2068" i="1"/>
  <c r="Y2069" i="1"/>
  <c r="Y2070" i="1"/>
  <c r="Y2071" i="1"/>
  <c r="Y2072" i="1"/>
  <c r="Y2073" i="1"/>
  <c r="Y2074" i="1"/>
  <c r="Y2075" i="1"/>
  <c r="Y2076" i="1"/>
  <c r="Y2077" i="1"/>
  <c r="AJ2077" i="1"/>
  <c r="Y2078" i="1"/>
  <c r="Y2079" i="1"/>
  <c r="Y2080" i="1"/>
  <c r="AJ2080" i="1"/>
  <c r="Y2081" i="1"/>
  <c r="Y2082" i="1"/>
  <c r="Y2083" i="1"/>
  <c r="AJ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AJ2134" i="1"/>
  <c r="Y2135" i="1"/>
  <c r="Y2136" i="1"/>
  <c r="Y2137" i="1"/>
  <c r="AJ2137" i="1"/>
  <c r="Y2138" i="1"/>
  <c r="Y2139" i="1"/>
  <c r="Y2140" i="1"/>
  <c r="Y2141" i="1"/>
  <c r="Y2142" i="1"/>
  <c r="Y2143" i="1"/>
  <c r="AJ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AJ2167" i="1"/>
  <c r="Y2168" i="1"/>
  <c r="Y2169" i="1"/>
  <c r="Y2170" i="1"/>
  <c r="Y2171" i="1"/>
  <c r="Y2172" i="1"/>
  <c r="Y2173" i="1"/>
  <c r="Y2174" i="1"/>
  <c r="Y2175" i="1"/>
  <c r="Y2176" i="1"/>
  <c r="Y2177" i="1"/>
  <c r="Y2178" i="1"/>
  <c r="Y2179" i="1"/>
  <c r="Y2180" i="1"/>
  <c r="AJ2180" i="1"/>
  <c r="Y2181" i="1"/>
  <c r="Y2182" i="1"/>
  <c r="Y2183" i="1"/>
  <c r="Y2184" i="1"/>
  <c r="Y2185" i="1"/>
  <c r="Y2186" i="1"/>
  <c r="Y2187" i="1"/>
  <c r="Y2188" i="1"/>
  <c r="Y2189" i="1"/>
  <c r="Y2190" i="1"/>
  <c r="Y2191" i="1"/>
  <c r="Y2192" i="1"/>
  <c r="Y2193" i="1"/>
  <c r="Y2194" i="1"/>
  <c r="Y2195" i="1"/>
  <c r="Y2196" i="1"/>
  <c r="Y2197" i="1"/>
  <c r="Y2198" i="1"/>
  <c r="Y2199" i="1"/>
  <c r="Y2200" i="1"/>
  <c r="Y2201" i="1"/>
  <c r="AJ2201" i="1"/>
  <c r="Y2202" i="1"/>
  <c r="AJ2202" i="1"/>
  <c r="Y2203" i="1"/>
  <c r="Y2204" i="1"/>
  <c r="Y2205" i="1"/>
  <c r="AJ2205" i="1"/>
  <c r="Y2206" i="1"/>
  <c r="Y2207" i="1"/>
  <c r="Y2208" i="1"/>
  <c r="Y2209" i="1"/>
  <c r="Y2210" i="1"/>
  <c r="Y2211" i="1"/>
  <c r="Y2212" i="1"/>
  <c r="Y2213" i="1"/>
  <c r="Y2214" i="1"/>
  <c r="Y2215" i="1"/>
  <c r="Y2216" i="1"/>
  <c r="Y2217" i="1"/>
  <c r="Y2218" i="1"/>
  <c r="Y2219" i="1"/>
  <c r="Y2220" i="1"/>
  <c r="Y2221" i="1"/>
  <c r="AJ2221" i="1"/>
  <c r="Y2222" i="1"/>
  <c r="Y2223" i="1"/>
  <c r="Y2224" i="1"/>
  <c r="Y2225" i="1"/>
  <c r="Y2226" i="1"/>
  <c r="Y2227" i="1"/>
  <c r="Y2228" i="1"/>
  <c r="Y2229" i="1"/>
  <c r="Y2230" i="1"/>
  <c r="Y2231" i="1"/>
  <c r="Y2232" i="1"/>
  <c r="Y2233" i="1"/>
  <c r="Y2234" i="1"/>
  <c r="Y2235" i="1"/>
  <c r="Y2236" i="1"/>
  <c r="Y2237" i="1"/>
  <c r="Y2238" i="1"/>
  <c r="Y2239" i="1"/>
  <c r="Y2240" i="1"/>
  <c r="Y2241" i="1"/>
  <c r="Y2242" i="1"/>
  <c r="AJ2242" i="1"/>
  <c r="Y2243" i="1"/>
  <c r="Y2244" i="1"/>
  <c r="Y2245" i="1"/>
  <c r="Y2246" i="1"/>
  <c r="Y2247" i="1"/>
  <c r="Y2248" i="1"/>
  <c r="AJ2248" i="1"/>
  <c r="Y2249" i="1"/>
  <c r="AJ2249" i="1"/>
  <c r="Y2250" i="1"/>
  <c r="AJ2250" i="1"/>
  <c r="Y2251" i="1"/>
  <c r="Y2252" i="1"/>
  <c r="Y2253" i="1"/>
  <c r="Y2254" i="1"/>
  <c r="Y2255" i="1"/>
  <c r="Y2256" i="1"/>
  <c r="Y2257" i="1"/>
  <c r="Y2258" i="1"/>
  <c r="Y2259" i="1"/>
  <c r="AJ2259" i="1"/>
  <c r="Y2260" i="1"/>
  <c r="AJ2260" i="1"/>
  <c r="Y2261" i="1"/>
  <c r="AJ2261" i="1"/>
  <c r="Y2262" i="1"/>
  <c r="AJ2262" i="1"/>
  <c r="Y2263" i="1"/>
  <c r="AJ2263" i="1"/>
  <c r="Y2264" i="1"/>
  <c r="AJ2264" i="1"/>
  <c r="Y2265" i="1"/>
  <c r="AJ2265" i="1"/>
  <c r="Y2266" i="1"/>
  <c r="AJ2266" i="1"/>
  <c r="Y2267" i="1"/>
  <c r="AJ2267" i="1"/>
  <c r="Y2268" i="1"/>
  <c r="Y2269" i="1"/>
  <c r="Y2270" i="1"/>
  <c r="Y2271" i="1"/>
  <c r="AJ2271" i="1"/>
  <c r="Y2272" i="1"/>
  <c r="Y2273" i="1"/>
  <c r="Y2274" i="1"/>
  <c r="Y2275" i="1"/>
  <c r="Y2276" i="1"/>
  <c r="Y2277" i="1"/>
  <c r="Y2278" i="1"/>
  <c r="Y2279" i="1"/>
  <c r="Y2280" i="1"/>
  <c r="Y2281" i="1"/>
  <c r="Y2282" i="1"/>
  <c r="AJ2282" i="1"/>
  <c r="Y2283" i="1"/>
  <c r="Y2284" i="1"/>
  <c r="AJ2284" i="1"/>
  <c r="Y2285" i="1"/>
  <c r="Y2286" i="1"/>
  <c r="Y2287" i="1"/>
  <c r="Y2288" i="1"/>
  <c r="Y2289" i="1"/>
  <c r="Y2290" i="1"/>
  <c r="Y2291" i="1"/>
  <c r="Y2292" i="1"/>
  <c r="Y2293" i="1"/>
  <c r="AJ2293" i="1"/>
  <c r="Y2294" i="1"/>
  <c r="Y2295" i="1"/>
  <c r="Y2296" i="1"/>
  <c r="Y2297" i="1"/>
  <c r="Y2298" i="1"/>
  <c r="Y2299" i="1"/>
  <c r="Y2300" i="1"/>
  <c r="AJ2300" i="1"/>
  <c r="Y2301" i="1"/>
  <c r="AJ2301" i="1"/>
  <c r="Y2302" i="1"/>
  <c r="AJ2302" i="1"/>
  <c r="Y2303" i="1"/>
  <c r="AJ2303" i="1"/>
  <c r="Y2304" i="1"/>
  <c r="AJ2304" i="1"/>
  <c r="Y2305" i="1"/>
  <c r="AJ2305" i="1"/>
  <c r="Y2306" i="1"/>
  <c r="AJ2306" i="1"/>
  <c r="Y2307" i="1"/>
  <c r="AJ2307" i="1"/>
  <c r="Y2308" i="1"/>
  <c r="Y2309" i="1"/>
  <c r="AJ2309" i="1"/>
  <c r="Y2310" i="1"/>
  <c r="Y2311" i="1"/>
  <c r="Y2312" i="1"/>
  <c r="Y2313" i="1"/>
  <c r="AJ2313" i="1"/>
  <c r="Y2314" i="1"/>
  <c r="AJ2314" i="1"/>
  <c r="Y2315" i="1"/>
  <c r="Y2316" i="1"/>
  <c r="Y2317" i="1"/>
  <c r="Y2318" i="1"/>
  <c r="Y2319" i="1"/>
  <c r="Y2320" i="1"/>
  <c r="Y2321" i="1"/>
  <c r="Y2322" i="1"/>
  <c r="Y2323" i="1"/>
  <c r="Y2324" i="1"/>
  <c r="Y2325" i="1"/>
  <c r="Y2326" i="1"/>
  <c r="Y2327" i="1"/>
  <c r="Y2328" i="1"/>
  <c r="Y2329" i="1"/>
  <c r="AJ2329" i="1"/>
  <c r="Y2330" i="1"/>
  <c r="Y2331" i="1"/>
  <c r="Y2332" i="1"/>
  <c r="AJ2332" i="1"/>
  <c r="Y2333" i="1"/>
  <c r="AJ2333" i="1"/>
  <c r="Y2334" i="1"/>
  <c r="AJ2334" i="1"/>
  <c r="Y2335" i="1"/>
  <c r="AJ2335" i="1"/>
  <c r="Y2336" i="1"/>
  <c r="AJ2336" i="1"/>
  <c r="Y2337" i="1"/>
  <c r="Y2338" i="1"/>
  <c r="Y2339" i="1"/>
  <c r="Y2340" i="1"/>
  <c r="Y2341" i="1"/>
  <c r="Y2342" i="1"/>
  <c r="Y2343" i="1"/>
  <c r="Y2344" i="1"/>
  <c r="Y2345" i="1"/>
  <c r="Y2346" i="1"/>
  <c r="Y2347" i="1"/>
  <c r="Y2348" i="1"/>
  <c r="AJ2348" i="1"/>
  <c r="Y2349" i="1"/>
  <c r="Y2350" i="1"/>
  <c r="Y2351" i="1"/>
  <c r="Y2352" i="1"/>
  <c r="Y2353" i="1"/>
  <c r="Y2354" i="1"/>
  <c r="Y2355" i="1"/>
  <c r="Y2356" i="1"/>
  <c r="Y2357" i="1"/>
  <c r="Y2358" i="1"/>
  <c r="Y2359" i="1"/>
  <c r="Y2360" i="1"/>
  <c r="Y2361" i="1"/>
  <c r="Y2362" i="1"/>
  <c r="Y2363" i="1"/>
  <c r="AJ2363" i="1"/>
  <c r="Y2364" i="1"/>
  <c r="Y2365" i="1"/>
  <c r="Y2366" i="1"/>
  <c r="Y2367" i="1"/>
  <c r="AJ2367" i="1"/>
  <c r="Y2368" i="1"/>
  <c r="Y2369" i="1"/>
  <c r="Y2370" i="1"/>
  <c r="Y2371" i="1"/>
  <c r="Y2372" i="1"/>
  <c r="Y2373" i="1"/>
  <c r="Y2374" i="1"/>
  <c r="Y2375" i="1"/>
  <c r="AJ237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<sst xmlns="http://schemas.openxmlformats.org/spreadsheetml/2006/main" count="55975" uniqueCount="4902">
  <si>
    <t>Relationship Office</t>
  </si>
  <si>
    <t>Service Location</t>
  </si>
  <si>
    <t>Delivery Location</t>
  </si>
  <si>
    <t>Client Group</t>
  </si>
  <si>
    <t>Start Date</t>
  </si>
  <si>
    <t>Shift Day</t>
  </si>
  <si>
    <t>Shift Type</t>
  </si>
  <si>
    <t>Start Time</t>
  </si>
  <si>
    <t>End Time</t>
  </si>
  <si>
    <t>Qualification</t>
  </si>
  <si>
    <t>Expertise</t>
  </si>
  <si>
    <t>Pay Level</t>
  </si>
  <si>
    <t>First Name</t>
  </si>
  <si>
    <t>Last Name</t>
  </si>
  <si>
    <t>Employee ID</t>
  </si>
  <si>
    <t>Order Number</t>
  </si>
  <si>
    <t>Professional Name</t>
  </si>
  <si>
    <t>Created By</t>
  </si>
  <si>
    <t>Shift Status</t>
  </si>
  <si>
    <t>Shift Status Reason</t>
  </si>
  <si>
    <t>Timesheet Number</t>
  </si>
  <si>
    <t>Order Date and Time</t>
  </si>
  <si>
    <t>Member ID</t>
  </si>
  <si>
    <t>Email ID</t>
  </si>
  <si>
    <t>Mobile Number</t>
  </si>
  <si>
    <t>Ratio</t>
  </si>
  <si>
    <t>End Date</t>
  </si>
  <si>
    <t>Address Line 1</t>
  </si>
  <si>
    <t>Address Line 2</t>
  </si>
  <si>
    <t>State</t>
  </si>
  <si>
    <t>Suburb</t>
  </si>
  <si>
    <t>Post Code</t>
  </si>
  <si>
    <t>Authorisation Name</t>
  </si>
  <si>
    <t>Reference Number</t>
  </si>
  <si>
    <t>Booking Type</t>
  </si>
  <si>
    <t>Job ID</t>
  </si>
  <si>
    <t>Allowances Name</t>
  </si>
  <si>
    <t>Shift Status Notes</t>
  </si>
  <si>
    <t>Booking Notes</t>
  </si>
  <si>
    <t>Last Action</t>
  </si>
  <si>
    <t>Allocator</t>
  </si>
  <si>
    <t>QLD</t>
  </si>
  <si>
    <t>BRISBANE SOUTH PRIVATE HOSPITAL</t>
  </si>
  <si>
    <t>OPERATING THEATRE</t>
  </si>
  <si>
    <t>WED</t>
  </si>
  <si>
    <t>AM</t>
  </si>
  <si>
    <t>REC</t>
  </si>
  <si>
    <t>REC RN Y5+</t>
  </si>
  <si>
    <t>NESTOR JUNIOR</t>
  </si>
  <si>
    <t>GUMIRAN</t>
  </si>
  <si>
    <t>trish</t>
  </si>
  <si>
    <t>EMILYS</t>
  </si>
  <si>
    <t>TIMESHEET SUBMITTED</t>
  </si>
  <si>
    <t>MBR0025767</t>
  </si>
  <si>
    <t>njgumiran@gmail.com</t>
  </si>
  <si>
    <t>2@2</t>
  </si>
  <si>
    <t>LEVEL 5 4 PAXTON STREET</t>
  </si>
  <si>
    <t>SPRINGWOOD</t>
  </si>
  <si>
    <t>TRISH</t>
  </si>
  <si>
    <t>Shift</t>
  </si>
  <si>
    <t xml:space="preserve">Member has Accepted. STCN WAS 1200 - HAS SCHOOL DROPOFF CANT START ANY EARLIER  LVM X1 NESTOR * STCH WAS 1200 Member has Accepted. . STFCH 0900-1400 TO 1200-1600 Member has Accepted. </t>
  </si>
  <si>
    <t>NSW</t>
  </si>
  <si>
    <t>NEPEAN PRIVATE HOSPITAL</t>
  </si>
  <si>
    <t>HEALTHSCOPE</t>
  </si>
  <si>
    <t>JASMINE</t>
  </si>
  <si>
    <t>NGUYEN</t>
  </si>
  <si>
    <t xml:space="preserve">JENCY </t>
  </si>
  <si>
    <t>EMMAS</t>
  </si>
  <si>
    <t>MBR0023714</t>
  </si>
  <si>
    <t>Jas.traj11@gmail.com</t>
  </si>
  <si>
    <t>1@1</t>
  </si>
  <si>
    <t>1-9 BARBER AVENUE</t>
  </si>
  <si>
    <t>KINGSWOOD</t>
  </si>
  <si>
    <t>JENCY</t>
  </si>
  <si>
    <t>Member has Accepted. EMAILED - STCH WAS 7 BOOKING REPORT SENT 10/2</t>
  </si>
  <si>
    <t>WA</t>
  </si>
  <si>
    <t>MOUNT HOSPITAL</t>
  </si>
  <si>
    <t>DPU-1ST STAGE RECOVERY</t>
  </si>
  <si>
    <t>JESSICA</t>
  </si>
  <si>
    <t>PAVLENKO</t>
  </si>
  <si>
    <t>BRIDGET BUITENDAG</t>
  </si>
  <si>
    <t>SHELBY</t>
  </si>
  <si>
    <t>MBR0025091</t>
  </si>
  <si>
    <t>Jess.pavlenko@gmail.com</t>
  </si>
  <si>
    <t>1@4</t>
  </si>
  <si>
    <t>150 MOUNTS BAY ROAD</t>
  </si>
  <si>
    <t>PERTH</t>
  </si>
  <si>
    <t xml:space="preserve">Member has Accepted. </t>
  </si>
  <si>
    <t>ST VINCENTS PRIVATE SYDNEY HOSPITAL</t>
  </si>
  <si>
    <t>ST VINCENTS LEVEL 3 DSU</t>
  </si>
  <si>
    <t>ST VINCENTS HEALTH</t>
  </si>
  <si>
    <t>NIAMH</t>
  </si>
  <si>
    <t>BRODER</t>
  </si>
  <si>
    <t>helen</t>
  </si>
  <si>
    <t>MBR0024212</t>
  </si>
  <si>
    <t>neebro17@gmail.com</t>
  </si>
  <si>
    <t>406 VICTORIA STREET</t>
  </si>
  <si>
    <t>DARLINGHURST</t>
  </si>
  <si>
    <t>EMPREVO</t>
  </si>
  <si>
    <t>CONFIRMED 10/2</t>
  </si>
  <si>
    <t>CSSD</t>
  </si>
  <si>
    <t>ANA</t>
  </si>
  <si>
    <t>REYES</t>
  </si>
  <si>
    <t>james</t>
  </si>
  <si>
    <t>MBR0011647</t>
  </si>
  <si>
    <t>anareyes.superjam@yahoo.com.au</t>
  </si>
  <si>
    <t>22@24</t>
  </si>
  <si>
    <t xml:space="preserve">SFTCH WAS 8AM - 16:30 </t>
  </si>
  <si>
    <t>BOOKING REPORT SENT 10/2</t>
  </si>
  <si>
    <t>JOHNSON AND JOHNSON WA</t>
  </si>
  <si>
    <t>HOLLYWOOD PRIVATE</t>
  </si>
  <si>
    <t>JOHNSON AND JOHNSON</t>
  </si>
  <si>
    <t>BED MAN</t>
  </si>
  <si>
    <t>BED MAN-DR MILNE</t>
  </si>
  <si>
    <t>TO S</t>
  </si>
  <si>
    <t>MARTIN</t>
  </si>
  <si>
    <t>FELETTI</t>
  </si>
  <si>
    <t>CASE REPRESENTATIVE</t>
  </si>
  <si>
    <t>REBECCAH</t>
  </si>
  <si>
    <t>SHIFT BOOKED</t>
  </si>
  <si>
    <t xml:space="preserve"> SHIFT BOOKED FROM NEW BOOKING SCREEN</t>
  </si>
  <si>
    <t>MBR0020779</t>
  </si>
  <si>
    <t>martinfelettimfa@gmail.com</t>
  </si>
  <si>
    <t>1@2</t>
  </si>
  <si>
    <t xml:space="preserve">UNIT 1/15 WALTERS DRIVE </t>
  </si>
  <si>
    <t>OSBORNE PARK</t>
  </si>
  <si>
    <t>FOCUS EYE CENTRE</t>
  </si>
  <si>
    <t>INDEPENDENT</t>
  </si>
  <si>
    <t>PM</t>
  </si>
  <si>
    <t>CLAIRE</t>
  </si>
  <si>
    <t>SCHOOTS</t>
  </si>
  <si>
    <t>DANIELLE HODGESON</t>
  </si>
  <si>
    <t>JENNIG</t>
  </si>
  <si>
    <t>MBR0021472</t>
  </si>
  <si>
    <t>claire.schoots1190@gmail.com</t>
  </si>
  <si>
    <t>10@18</t>
  </si>
  <si>
    <t>2 MIDDLE STREET</t>
  </si>
  <si>
    <t>KINGSFORD</t>
  </si>
  <si>
    <t>BRISBANE GIRLS GRAMMAR SCHOOL</t>
  </si>
  <si>
    <t>SCHOOL NURSE</t>
  </si>
  <si>
    <t>SCH</t>
  </si>
  <si>
    <t>CLI RN Y5+</t>
  </si>
  <si>
    <t>FRANCES</t>
  </si>
  <si>
    <t>MAGUIRE</t>
  </si>
  <si>
    <t>jody Forbes</t>
  </si>
  <si>
    <t>AEVANS</t>
  </si>
  <si>
    <t>MBR0023432</t>
  </si>
  <si>
    <t>maguirefa@hotmail.com</t>
  </si>
  <si>
    <t xml:space="preserve">70 GREGORY TERRACE  </t>
  </si>
  <si>
    <t>SPRING HILL QLD 4000</t>
  </si>
  <si>
    <t>SPRINGHILL</t>
  </si>
  <si>
    <t>JODY FORBES</t>
  </si>
  <si>
    <t>. Member has Accepted. rqst Frances</t>
  </si>
  <si>
    <t>ROLLY</t>
  </si>
  <si>
    <t>QUIAMBAO</t>
  </si>
  <si>
    <t>MBR0022627</t>
  </si>
  <si>
    <t>rolly96@icloud.com</t>
  </si>
  <si>
    <t>9@18</t>
  </si>
  <si>
    <t>ST LUKES PRIVATE HOSPITAL</t>
  </si>
  <si>
    <t>ANA RN Y5+</t>
  </si>
  <si>
    <t>CLODAGH</t>
  </si>
  <si>
    <t>FREYNE</t>
  </si>
  <si>
    <t>JASON KIERNAN</t>
  </si>
  <si>
    <t>MBR0026651</t>
  </si>
  <si>
    <t>itsclodaghfreyne@gmail.com</t>
  </si>
  <si>
    <t>13@14</t>
  </si>
  <si>
    <t>18 ROSLYN STREET</t>
  </si>
  <si>
    <t>POTTS POINT</t>
  </si>
  <si>
    <t>SA</t>
  </si>
  <si>
    <t>PARKVIEW DAY SURGERY</t>
  </si>
  <si>
    <t>DPU</t>
  </si>
  <si>
    <t>DPU-ADMISSIONS AND DISCHARGE</t>
  </si>
  <si>
    <t>ED RN Y5+</t>
  </si>
  <si>
    <t>ERIN</t>
  </si>
  <si>
    <t>TOTANI</t>
  </si>
  <si>
    <t>EMILY JOSEPH</t>
  </si>
  <si>
    <t>DION</t>
  </si>
  <si>
    <t>MBR0024320</t>
  </si>
  <si>
    <t>erintotani@outlook.com.au</t>
  </si>
  <si>
    <t>215 GREENHILL ROAD</t>
  </si>
  <si>
    <t>EASTWOOD</t>
  </si>
  <si>
    <t>Req Totani-booking report sent 22/01</t>
  </si>
  <si>
    <t>KAREENA PRIVATE HOSPITAL</t>
  </si>
  <si>
    <t>SCRUB SCOUT</t>
  </si>
  <si>
    <t>RAMSAY HEALTH CARE</t>
  </si>
  <si>
    <t>SCRUBSCOUT</t>
  </si>
  <si>
    <t>SS RN Y5+</t>
  </si>
  <si>
    <t>FIONA</t>
  </si>
  <si>
    <t>KUYSTERS</t>
  </si>
  <si>
    <t>BEN MITCHELL</t>
  </si>
  <si>
    <t>MBR0022569</t>
  </si>
  <si>
    <t>nurse.fiona1@gmail.com</t>
  </si>
  <si>
    <t>13@22</t>
  </si>
  <si>
    <t>86-88 KAREENA ROAD</t>
  </si>
  <si>
    <t>NORTH CARINGBAH</t>
  </si>
  <si>
    <t>HANNAH</t>
  </si>
  <si>
    <t>MANSILUNGAN</t>
  </si>
  <si>
    <t>EBONY THOMPSON</t>
  </si>
  <si>
    <t>MBR0027505</t>
  </si>
  <si>
    <t>hmansilu@gmail.com</t>
  </si>
  <si>
    <t xml:space="preserve">SHIFT EDITED BY USER NOREENM 11/02/2026 11:43 SHIFT EDITED BY USER SHELBY 10/02/2026 14:44 SHIFT EDITED BY USER SHELBY 10/02/2026 14:44 Declined from Mobile. </t>
  </si>
  <si>
    <t>OROMAX DAY SURGERY</t>
  </si>
  <si>
    <t>RECOVERY</t>
  </si>
  <si>
    <t>DPU-2ND  STAGE RECOVERY</t>
  </si>
  <si>
    <t>DPU RN Y5+</t>
  </si>
  <si>
    <t>MYFANWY</t>
  </si>
  <si>
    <t>BERRY</t>
  </si>
  <si>
    <t>LUKE</t>
  </si>
  <si>
    <t>SARAHC</t>
  </si>
  <si>
    <t>MBR0022262</t>
  </si>
  <si>
    <t>myfanwy.berry@icloud.com</t>
  </si>
  <si>
    <t xml:space="preserve">66 RUNDLE ST </t>
  </si>
  <si>
    <t>KENT TOWN</t>
  </si>
  <si>
    <t>LUKE BYRNE</t>
  </si>
  <si>
    <t xml:space="preserve">Member has Accepted. Declined from Mobile. </t>
  </si>
  <si>
    <t>BURNSIDE STEPNEY</t>
  </si>
  <si>
    <t>ANAESTHETICS DEPT</t>
  </si>
  <si>
    <t>NICOLE</t>
  </si>
  <si>
    <t>CLIFFORD</t>
  </si>
  <si>
    <t>SUE HENSCHKE</t>
  </si>
  <si>
    <t>MBR0011845</t>
  </si>
  <si>
    <t>NICOLECLIFF@HOTMAIL.COM</t>
  </si>
  <si>
    <t xml:space="preserve">32 PAYNEHAM ROAD </t>
  </si>
  <si>
    <t>STEPNEY</t>
  </si>
  <si>
    <t>Booking email sent 10/02</t>
  </si>
  <si>
    <t>WINDSOR GARDENS DAY SURGERY</t>
  </si>
  <si>
    <t>ANAES</t>
  </si>
  <si>
    <t>VISION HOSPITAL GROUP</t>
  </si>
  <si>
    <t>SALLY</t>
  </si>
  <si>
    <t>FORBY</t>
  </si>
  <si>
    <t>LYNNE HOOPER</t>
  </si>
  <si>
    <t>LINDAG</t>
  </si>
  <si>
    <t>MBR0021174</t>
  </si>
  <si>
    <t>sforby@hotmail.com</t>
  </si>
  <si>
    <t>6@6</t>
  </si>
  <si>
    <t>480 NORTH EAST ROAD</t>
  </si>
  <si>
    <t>WINDSOR GARDENS</t>
  </si>
  <si>
    <t>Member has Accepted. SHIFT EDITED BY USER DION 06/02/2026 10:21 Booking email sent 04/02</t>
  </si>
  <si>
    <t>SS-PLASTICS AND COSMETICS</t>
  </si>
  <si>
    <t>SHAUNA</t>
  </si>
  <si>
    <t>HARNEDY</t>
  </si>
  <si>
    <t>MBR0023644</t>
  </si>
  <si>
    <t>shaunaharnedy@gmail.com</t>
  </si>
  <si>
    <t>10@14</t>
  </si>
  <si>
    <t>HERVEY BAY HOSPITAL</t>
  </si>
  <si>
    <t>THEATRE</t>
  </si>
  <si>
    <t>QLD HEALTH</t>
  </si>
  <si>
    <t>TIMOTHY</t>
  </si>
  <si>
    <t>FRASER</t>
  </si>
  <si>
    <t>CONTRACT</t>
  </si>
  <si>
    <t>VANESSA</t>
  </si>
  <si>
    <t>MBR0020796</t>
  </si>
  <si>
    <t xml:space="preserve"> TIMESHEET SUBMITTED from Job Roster</t>
  </si>
  <si>
    <t>timfraser1969@gmail.com</t>
  </si>
  <si>
    <t>2@5</t>
  </si>
  <si>
    <t>CNR NISSEN ST AND URRAWEEN RD</t>
  </si>
  <si>
    <t>PIALBA</t>
  </si>
  <si>
    <t>Vanessa</t>
  </si>
  <si>
    <t>SCOUT</t>
  </si>
  <si>
    <t>SCO-ORTHO</t>
  </si>
  <si>
    <t>ZULFIQAR</t>
  </si>
  <si>
    <t>AHMADI</t>
  </si>
  <si>
    <t>MBR0024974</t>
  </si>
  <si>
    <t>ahmadi.zulfiqar@gmail.com</t>
  </si>
  <si>
    <t>8@18</t>
  </si>
  <si>
    <t>Member has Accepted. Ahmadi Ring Sue if he picks up</t>
  </si>
  <si>
    <t>MODBURY HOSPITAL</t>
  </si>
  <si>
    <t>EMERGENCY DEPT</t>
  </si>
  <si>
    <t>SA HEALTH</t>
  </si>
  <si>
    <t>ED</t>
  </si>
  <si>
    <t>EPAS-SUNRISE-RN</t>
  </si>
  <si>
    <t>HDU RN Y5+</t>
  </si>
  <si>
    <t>ALEVTINA</t>
  </si>
  <si>
    <t>SHATURSKAYA</t>
  </si>
  <si>
    <t>BARRY OAKE</t>
  </si>
  <si>
    <t>MBR0025608</t>
  </si>
  <si>
    <t>alechkash@gmail.com</t>
  </si>
  <si>
    <t>MODUBURY HOSPITAL</t>
  </si>
  <si>
    <t>SMART ROAD</t>
  </si>
  <si>
    <t>MODBURY</t>
  </si>
  <si>
    <t>SHIFT EDITED BY USER DION 11/02/2026 14:48 RECONFIRM BOOKED SHIFT DAY B4 - booking report sent 10/02: 11/02</t>
  </si>
  <si>
    <t>PLEASE MAKE SURE YOU ARE PICKING UP SHIFT YOU ARE QUALIFIED FOR ENTER WARD WORKED ON TIMESHEET ENSURE ALL BREAKS ARE ADDED OR TIMES AMENDED IF ANY CHANGES USE TIMESHEET NOTES</t>
  </si>
  <si>
    <t>TENNYSON DAY CENTRE HOSPITAL</t>
  </si>
  <si>
    <t>NEXUS</t>
  </si>
  <si>
    <t>SS-ENDOSCOPY-GENERAL</t>
  </si>
  <si>
    <t>CAROL</t>
  </si>
  <si>
    <t>GILES</t>
  </si>
  <si>
    <t>OLIVIA SCHIPPER</t>
  </si>
  <si>
    <t>MBR0025730</t>
  </si>
  <si>
    <t>carollgiles@gmail.com</t>
  </si>
  <si>
    <t>4@5</t>
  </si>
  <si>
    <t>LEVEL 1  SUITE 18</t>
  </si>
  <si>
    <t>520 SOUTH ROAD</t>
  </si>
  <si>
    <t>KURRALTA PARK</t>
  </si>
  <si>
    <t>NANCY ZHANG</t>
  </si>
  <si>
    <t xml:space="preserve">NLG Nancy aware-Giles </t>
  </si>
  <si>
    <t>WARDS</t>
  </si>
  <si>
    <t>EPAS-SUNRISE-RN-EN</t>
  </si>
  <si>
    <t>WARDS RN Y5+</t>
  </si>
  <si>
    <t>CHANDIMA</t>
  </si>
  <si>
    <t>ABEYDEERA GUNARATNE</t>
  </si>
  <si>
    <t>ANDREA</t>
  </si>
  <si>
    <t>MBR0026722</t>
  </si>
  <si>
    <t>chandi_09@ymail.com</t>
  </si>
  <si>
    <t>28@41</t>
  </si>
  <si>
    <t xml:space="preserve">Accepted from Mobile. RECONFIRM BOOKED SHIFT DAY B4 </t>
  </si>
  <si>
    <t>VIC</t>
  </si>
  <si>
    <t>CALVARY BETHLEHEM</t>
  </si>
  <si>
    <t>ST THERESAS</t>
  </si>
  <si>
    <t>LITTLE COMPANY OF MARY HEALTH CARE</t>
  </si>
  <si>
    <t>RN GR2 Y5</t>
  </si>
  <si>
    <t>ELLA</t>
  </si>
  <si>
    <t>MIDDLETON</t>
  </si>
  <si>
    <t>cac</t>
  </si>
  <si>
    <t>EMAM</t>
  </si>
  <si>
    <t>MBR0026877</t>
  </si>
  <si>
    <t>ella_middleton@hotmail.co.uk</t>
  </si>
  <si>
    <t>476 KOOYONG RD</t>
  </si>
  <si>
    <t>CAULFIELD SOUTH</t>
  </si>
  <si>
    <t>CAV</t>
  </si>
  <si>
    <t>GUNATILAKE</t>
  </si>
  <si>
    <t>KONARA MUDIYANSELAGE</t>
  </si>
  <si>
    <t>MBR0023107</t>
  </si>
  <si>
    <t>konara66@gmail.com</t>
  </si>
  <si>
    <t>8@15</t>
  </si>
  <si>
    <t>UPDATED BOOKING REPORT SENT 10/2</t>
  </si>
  <si>
    <t>VISTA DAY SURGERY</t>
  </si>
  <si>
    <t>SS-EYES</t>
  </si>
  <si>
    <t>MORGAN</t>
  </si>
  <si>
    <t>TOEROEK</t>
  </si>
  <si>
    <t xml:space="preserve">CARINA MATHIASEN                     </t>
  </si>
  <si>
    <t>MBR0021528</t>
  </si>
  <si>
    <t>morgantoeroek@hotmail.com</t>
  </si>
  <si>
    <t>57 GREENHILL RD</t>
  </si>
  <si>
    <t>WAYVILLE</t>
  </si>
  <si>
    <t>Booking email sent 29/12</t>
  </si>
  <si>
    <t>FLINDERS MEDICAL CENTRE</t>
  </si>
  <si>
    <t>TARIN KOWT - REPAT</t>
  </si>
  <si>
    <t>EPAS-SUNRISE-EN</t>
  </si>
  <si>
    <t>WARDS EN Y9</t>
  </si>
  <si>
    <t>ROSEMARY</t>
  </si>
  <si>
    <t>HULL</t>
  </si>
  <si>
    <t>HOSPITAL COORDINATOR FMC</t>
  </si>
  <si>
    <t>MBR0026265</t>
  </si>
  <si>
    <t>rosemaryhull21@gmail.com</t>
  </si>
  <si>
    <t>3@5</t>
  </si>
  <si>
    <t>1 FLINDERS DRIVE</t>
  </si>
  <si>
    <t>BEDFORD PARK</t>
  </si>
  <si>
    <t>RECONFIRM BOOKED SHIFT DAY B4-booking report sent 10/02: 11/02</t>
  </si>
  <si>
    <t>PLEASE MAKE SURE YOU ARE PICKING UP SHIFT YOU ARE QUALIFIED FOR     ENTER WARD WORKED ON TIMESHEET   SHIFT MAY BE @ FMC OR REPAT HEALTH PRECINCT ENSURE ALL BREAKS ARE ADDED OR TIMES AMENDED IF ANY CHANGES</t>
  </si>
  <si>
    <t>NORWEST PRIVATE HOSPITAL</t>
  </si>
  <si>
    <t>SHEAU YANN</t>
  </si>
  <si>
    <t>BONG</t>
  </si>
  <si>
    <t>lisa</t>
  </si>
  <si>
    <t>MBR0026682</t>
  </si>
  <si>
    <t>carmenhubby@gmail.com</t>
  </si>
  <si>
    <t>11 NORBRICK DRIVE</t>
  </si>
  <si>
    <t>BELLA VISTA</t>
  </si>
  <si>
    <t>JOONDALUP HEALTH CAMPUS</t>
  </si>
  <si>
    <t>WARD ALLOCATIONS GENERAL</t>
  </si>
  <si>
    <t>ROLE-RN OR EN</t>
  </si>
  <si>
    <t>AMAKA</t>
  </si>
  <si>
    <t>UGWU</t>
  </si>
  <si>
    <t>LISA HARTNETT</t>
  </si>
  <si>
    <t>MBR0026911</t>
  </si>
  <si>
    <t>amiicutie@yahoo.com</t>
  </si>
  <si>
    <t>3@4</t>
  </si>
  <si>
    <t>CNR LAKESIDE DVE AND SHENTON AVE</t>
  </si>
  <si>
    <t>JOONDALUP</t>
  </si>
  <si>
    <t>LISA</t>
  </si>
  <si>
    <t xml:space="preserve">Accepted from Mobile. </t>
  </si>
  <si>
    <t>EMMA</t>
  </si>
  <si>
    <t>IRVING</t>
  </si>
  <si>
    <t>MBR0020717</t>
  </si>
  <si>
    <t>emma.irving15@gmail.com</t>
  </si>
  <si>
    <t>5@5</t>
  </si>
  <si>
    <t>ST ANDREWS HOSPITAL</t>
  </si>
  <si>
    <t>GINO</t>
  </si>
  <si>
    <t>RUSSO</t>
  </si>
  <si>
    <t>NATASHA MITROVIC</t>
  </si>
  <si>
    <t>PRF0000930</t>
  </si>
  <si>
    <t>MBR0022701</t>
  </si>
  <si>
    <t>ossuronig@gmail.com</t>
  </si>
  <si>
    <t>350 SOUTH TERRACE</t>
  </si>
  <si>
    <t>ADELAIDE</t>
  </si>
  <si>
    <t>Auto book 02/02</t>
  </si>
  <si>
    <t>NORTH WEST REGIONAL HOSPITAL</t>
  </si>
  <si>
    <t>SPECIAL CARE NURSERY</t>
  </si>
  <si>
    <t>TASMANIAN DEPARTMENT OF HEALTH</t>
  </si>
  <si>
    <t>SCN</t>
  </si>
  <si>
    <t>PETHERICK</t>
  </si>
  <si>
    <t>SHARON KING</t>
  </si>
  <si>
    <t>SHANNON</t>
  </si>
  <si>
    <t>MBR0026101</t>
  </si>
  <si>
    <t>Hannah.petherick@outlook.com</t>
  </si>
  <si>
    <t>2@4</t>
  </si>
  <si>
    <t>23 BRICKPORT ROAD</t>
  </si>
  <si>
    <t>TAS</t>
  </si>
  <si>
    <t>BURNIE</t>
  </si>
  <si>
    <t>SAM SALTER</t>
  </si>
  <si>
    <t>FLINDERS PRIVATE HOSPITAL</t>
  </si>
  <si>
    <t>ACHA</t>
  </si>
  <si>
    <t>TORY</t>
  </si>
  <si>
    <t>GELASTOPOULOS</t>
  </si>
  <si>
    <t>MATTHEW SZAWERNA</t>
  </si>
  <si>
    <t>MBR0021751</t>
  </si>
  <si>
    <t>tzgela@hotmail.com</t>
  </si>
  <si>
    <t xml:space="preserve">1 FLINDERS DRIVE </t>
  </si>
  <si>
    <t>LVM Gelastopoulos</t>
  </si>
  <si>
    <t>CALVARY ADELAIDE HOSPITAL</t>
  </si>
  <si>
    <t xml:space="preserve">CSSD+ </t>
  </si>
  <si>
    <t>WENDY</t>
  </si>
  <si>
    <t>WILLIAMS</t>
  </si>
  <si>
    <t xml:space="preserve">SHIFTMATCH </t>
  </si>
  <si>
    <t xml:space="preserve"> </t>
  </si>
  <si>
    <t>MBR0011860</t>
  </si>
  <si>
    <t>wilfen@dodo.com.au</t>
  </si>
  <si>
    <t>120 ANGUS STREET</t>
  </si>
  <si>
    <t>Member has Accepted. [ID-LJQ426]- Legget: Gelasopoulos: Williams: Eeles</t>
  </si>
  <si>
    <t>[ID-LJQ426]</t>
  </si>
  <si>
    <t>BIPIN</t>
  </si>
  <si>
    <t>PHILIP</t>
  </si>
  <si>
    <t>MBR0021667</t>
  </si>
  <si>
    <t>bipsdx@yahoo.com</t>
  </si>
  <si>
    <t>NANCY</t>
  </si>
  <si>
    <t>Philip</t>
  </si>
  <si>
    <t>REDLAND HOSPITAL</t>
  </si>
  <si>
    <t>IEMR</t>
  </si>
  <si>
    <t>WARDS RN 1.5</t>
  </si>
  <si>
    <t>KEVIN</t>
  </si>
  <si>
    <t>WU</t>
  </si>
  <si>
    <t>SIMONE HARRISON</t>
  </si>
  <si>
    <t>MBR0024647</t>
  </si>
  <si>
    <t>grantourismo0109@hotmail.com</t>
  </si>
  <si>
    <t xml:space="preserve">21 WEIPPIN ST </t>
  </si>
  <si>
    <t>CLEVELAND</t>
  </si>
  <si>
    <t>PO</t>
  </si>
  <si>
    <t>CHAN</t>
  </si>
  <si>
    <t>MBR0026253</t>
  </si>
  <si>
    <t>healthnurse83@gmail.com</t>
  </si>
  <si>
    <t>12@22</t>
  </si>
  <si>
    <t>EASTWOOD PRIVATE HOSPITAL</t>
  </si>
  <si>
    <t>SHARMIN</t>
  </si>
  <si>
    <t>BAKUL</t>
  </si>
  <si>
    <t>ABBEY GREENOW</t>
  </si>
  <si>
    <t>PRF0002432</t>
  </si>
  <si>
    <t>MBR0023478</t>
  </si>
  <si>
    <t>sbakul79@gmail.com</t>
  </si>
  <si>
    <t xml:space="preserve">204 GREENHILL RD </t>
  </si>
  <si>
    <t>Bakul -LVM Abbey-email sent booking off Bakul 11/02</t>
  </si>
  <si>
    <t>JOHN FAWKNER PRIVATE HOSPITAL</t>
  </si>
  <si>
    <t>INST</t>
  </si>
  <si>
    <t>IT GR 5</t>
  </si>
  <si>
    <t>CIRIL</t>
  </si>
  <si>
    <t>JOSEPH</t>
  </si>
  <si>
    <t>JULIA</t>
  </si>
  <si>
    <t>MBR0024638</t>
  </si>
  <si>
    <t>ciriljoseph@live.com</t>
  </si>
  <si>
    <t>4@7</t>
  </si>
  <si>
    <t>275 MORELAND ROAD</t>
  </si>
  <si>
    <t>COBURG</t>
  </si>
  <si>
    <t>julia</t>
  </si>
  <si>
    <t>BRISBANE PRIVATE HOSPITAL</t>
  </si>
  <si>
    <t>ORD+ AIN</t>
  </si>
  <si>
    <t>AIN</t>
  </si>
  <si>
    <t>RYAN</t>
  </si>
  <si>
    <t>SINDEN</t>
  </si>
  <si>
    <t>Jaya</t>
  </si>
  <si>
    <t>MBR0026062</t>
  </si>
  <si>
    <t>SINDEN.RYAN@YAHOO.COM.AU</t>
  </si>
  <si>
    <t>259 WICKHAM TERRACE</t>
  </si>
  <si>
    <t>BRISBANE</t>
  </si>
  <si>
    <t>[EMILYS] 2026-02-11 08:43:11</t>
  </si>
  <si>
    <t>IT GR 3</t>
  </si>
  <si>
    <t>VILLIE</t>
  </si>
  <si>
    <t>GALANG</t>
  </si>
  <si>
    <t>JENNY</t>
  </si>
  <si>
    <t>MBR0024607</t>
  </si>
  <si>
    <t>vjgalang@gmail.com</t>
  </si>
  <si>
    <t>BANIHCA</t>
  </si>
  <si>
    <t>CROWHURST</t>
  </si>
  <si>
    <t>MBR0023496</t>
  </si>
  <si>
    <t>Banihca.crowhurst@hotmail.com</t>
  </si>
  <si>
    <t>8@10</t>
  </si>
  <si>
    <t>MIDWIFERY</t>
  </si>
  <si>
    <t>NS</t>
  </si>
  <si>
    <t>POSTNATAL</t>
  </si>
  <si>
    <t>POSTNATAL MID Y5+</t>
  </si>
  <si>
    <t>ESTHER</t>
  </si>
  <si>
    <t>CHOI</t>
  </si>
  <si>
    <t>claire</t>
  </si>
  <si>
    <t>MBR0023402</t>
  </si>
  <si>
    <t>echo8589@gmail.com</t>
  </si>
  <si>
    <t>2@21</t>
  </si>
  <si>
    <t>MELBOURNE PRIVATE</t>
  </si>
  <si>
    <t>LEVEL 5- CCU</t>
  </si>
  <si>
    <t>CCU</t>
  </si>
  <si>
    <t>ARNEL</t>
  </si>
  <si>
    <t>MERCADO</t>
  </si>
  <si>
    <t>CAM</t>
  </si>
  <si>
    <t>KATE</t>
  </si>
  <si>
    <t>MBR0022292</t>
  </si>
  <si>
    <t>arnel.merc@gmail.com</t>
  </si>
  <si>
    <t>2@3</t>
  </si>
  <si>
    <t>ROYAL PARADE</t>
  </si>
  <si>
    <t>PARKVILLE</t>
  </si>
  <si>
    <t>Member has Accepted. CLIENT CONFIRMED ARNEL MERCADO</t>
  </si>
  <si>
    <t>NORTHERN BEACHES HOSPITAL</t>
  </si>
  <si>
    <t>YA</t>
  </si>
  <si>
    <t>XU</t>
  </si>
  <si>
    <t>JESS BURNS</t>
  </si>
  <si>
    <t>MBR0022771</t>
  </si>
  <si>
    <t>chloe_xu0326@hotmail.com</t>
  </si>
  <si>
    <t>6@13</t>
  </si>
  <si>
    <t>105 FRENCHS FOREST ROAD (WEST)</t>
  </si>
  <si>
    <t>FRENCHS FOREST</t>
  </si>
  <si>
    <t>LISA MARIE BRYANT</t>
  </si>
  <si>
    <t>JINGWEI</t>
  </si>
  <si>
    <t>WANG</t>
  </si>
  <si>
    <t>MBR0025670</t>
  </si>
  <si>
    <t>jingwei83@hotmail.com</t>
  </si>
  <si>
    <t>RECONFIRM BOOKED SHIFT DAY B4 - booking report sent 10/02: 11/02</t>
  </si>
  <si>
    <t>WARDS EN Y4</t>
  </si>
  <si>
    <t>RIYA</t>
  </si>
  <si>
    <t>NADDA</t>
  </si>
  <si>
    <t>MBR0025301</t>
  </si>
  <si>
    <t>riyanadda4238@gmail.com</t>
  </si>
  <si>
    <t>4@6</t>
  </si>
  <si>
    <t>KNOX PRIVATE HOSPITAL</t>
  </si>
  <si>
    <t>ICU</t>
  </si>
  <si>
    <t>CERTIFIED</t>
  </si>
  <si>
    <t>ICU RN C</t>
  </si>
  <si>
    <t>PERO</t>
  </si>
  <si>
    <t>TOPALOVIC</t>
  </si>
  <si>
    <t>natalie</t>
  </si>
  <si>
    <t>MBR0020495</t>
  </si>
  <si>
    <t>ptopalovic6@bigpond.com</t>
  </si>
  <si>
    <t>262 MOUNTAIN HIGHWAY</t>
  </si>
  <si>
    <t>WANTIRNA</t>
  </si>
  <si>
    <t>BRONWYN</t>
  </si>
  <si>
    <t>AIN-1</t>
  </si>
  <si>
    <t>ANNA</t>
  </si>
  <si>
    <t>LINDENMAYER</t>
  </si>
  <si>
    <t>MBR0026040</t>
  </si>
  <si>
    <t>ANNA8@Y7MAIL.COM</t>
  </si>
  <si>
    <t>3@3</t>
  </si>
  <si>
    <t>ERIC</t>
  </si>
  <si>
    <t>DE-CANO</t>
  </si>
  <si>
    <t>MBR0026989</t>
  </si>
  <si>
    <t>Ericdecano100@yahoo.com</t>
  </si>
  <si>
    <t>1@3</t>
  </si>
  <si>
    <t>LOGAN HOSPITAL</t>
  </si>
  <si>
    <t>WARDS+ PSYC</t>
  </si>
  <si>
    <t>WARDS-MENTAL HEALTH</t>
  </si>
  <si>
    <t>MICHAEL</t>
  </si>
  <si>
    <t>WEAVER</t>
  </si>
  <si>
    <t>SAOIRSE</t>
  </si>
  <si>
    <t>MBR0024618</t>
  </si>
  <si>
    <t>michaeljamesweaver1@gmail.com</t>
  </si>
  <si>
    <t>LOGANLEA ROAD MEADOWBROOK</t>
  </si>
  <si>
    <t>LOGANLEA</t>
  </si>
  <si>
    <t>TRACEY H</t>
  </si>
  <si>
    <t xml:space="preserve">Member has Accepted. STCH WAS 2100 Accepted from Mobile. . </t>
  </si>
  <si>
    <t>TAMRYN</t>
  </si>
  <si>
    <t>SCHEEPERS</t>
  </si>
  <si>
    <t>MBR0026016</t>
  </si>
  <si>
    <t>TAMRYN.SCHEEPERS25@GMAIL.COM</t>
  </si>
  <si>
    <t xml:space="preserve"> Verbally accepted </t>
  </si>
  <si>
    <t>ROCKHAMPTON HOSPITAL</t>
  </si>
  <si>
    <t>MON</t>
  </si>
  <si>
    <t>STEWARD</t>
  </si>
  <si>
    <t>CONTRACTS</t>
  </si>
  <si>
    <t>JUDY BOWLER</t>
  </si>
  <si>
    <t>RACHELF</t>
  </si>
  <si>
    <t>MBR0026242</t>
  </si>
  <si>
    <t>ella_steward@icloud.com</t>
  </si>
  <si>
    <t>2 CANNING ST</t>
  </si>
  <si>
    <t>ROCKHAMPTON</t>
  </si>
  <si>
    <t>MAITLAND HOSPITAL</t>
  </si>
  <si>
    <t>NSW HEALTH</t>
  </si>
  <si>
    <t>HAZEL</t>
  </si>
  <si>
    <t>DALY</t>
  </si>
  <si>
    <t>RACHEL RAFFA</t>
  </si>
  <si>
    <t>MBR0026210</t>
  </si>
  <si>
    <t>hazedaly90@outlook.com</t>
  </si>
  <si>
    <t>1@5</t>
  </si>
  <si>
    <t>550-560 HIGH STREET</t>
  </si>
  <si>
    <t>MAITLAND</t>
  </si>
  <si>
    <t>Rachel Raffa</t>
  </si>
  <si>
    <t>KINGAROY HOSPITAL</t>
  </si>
  <si>
    <t>DELIVERY</t>
  </si>
  <si>
    <t>RM</t>
  </si>
  <si>
    <t>DELIVERY MID Y1-4</t>
  </si>
  <si>
    <t>GEORGIA</t>
  </si>
  <si>
    <t>HARRIS</t>
  </si>
  <si>
    <t>SHANNON3</t>
  </si>
  <si>
    <t>ROBYN</t>
  </si>
  <si>
    <t>MBR0027535</t>
  </si>
  <si>
    <t>georgia_harris@live.com.au</t>
  </si>
  <si>
    <t>166 YOUNGMAN</t>
  </si>
  <si>
    <t>KINGAROY</t>
  </si>
  <si>
    <t>Robyn</t>
  </si>
  <si>
    <t>EMERGENCY DEPARTMENT</t>
  </si>
  <si>
    <t>MYRZA</t>
  </si>
  <si>
    <t>MULLER</t>
  </si>
  <si>
    <t>MBR0011748</t>
  </si>
  <si>
    <t>MURSINURSI@YAHOO.COM</t>
  </si>
  <si>
    <t>MOUNT GAMBIER HOSPITAL</t>
  </si>
  <si>
    <t>SHORT TERM CONTRACT</t>
  </si>
  <si>
    <t>ED RN Y9</t>
  </si>
  <si>
    <t>RACHELLE</t>
  </si>
  <si>
    <t>MOORE</t>
  </si>
  <si>
    <t>ANGELA MACKENZIE</t>
  </si>
  <si>
    <t>MBR0026969</t>
  </si>
  <si>
    <t>rachelle.moore@outlook.com</t>
  </si>
  <si>
    <t>MOUNT GAMBIER AND DISTRICTS HEALTH SERVICE</t>
  </si>
  <si>
    <t>276/300 WEHL STREET N</t>
  </si>
  <si>
    <t>MOUNT GAMBIER</t>
  </si>
  <si>
    <t>Sarah Trahar</t>
  </si>
  <si>
    <t>15 mins OT Monday night shift45 mins OT Tuesday night shift</t>
  </si>
  <si>
    <t>NEWCASTLE PRIVATE HOSPITAL</t>
  </si>
  <si>
    <t>THU</t>
  </si>
  <si>
    <t>PRISCA</t>
  </si>
  <si>
    <t>OKWARA</t>
  </si>
  <si>
    <t>INCHARGE</t>
  </si>
  <si>
    <t>MBR0020711</t>
  </si>
  <si>
    <t>priscostus2@yahoo.com</t>
  </si>
  <si>
    <t>7@20</t>
  </si>
  <si>
    <t xml:space="preserve">14 LOOKOUT ROAD </t>
  </si>
  <si>
    <t>NEW LAMBTON</t>
  </si>
  <si>
    <t>KAYNE</t>
  </si>
  <si>
    <t>BOOKING REPORT SENT 11/2</t>
  </si>
  <si>
    <t>IPSWICH HOSPITAL</t>
  </si>
  <si>
    <t>WARDS RN 1.7</t>
  </si>
  <si>
    <t>CARMEN</t>
  </si>
  <si>
    <t>STRATTON-DAVIS</t>
  </si>
  <si>
    <t>Sharyn</t>
  </si>
  <si>
    <t>MBR0026035</t>
  </si>
  <si>
    <t>CARMENSTRATTON@HOTMAIL.COM</t>
  </si>
  <si>
    <t>49@56</t>
  </si>
  <si>
    <t>CHELMSFORD AVENUE</t>
  </si>
  <si>
    <t>IPSWICH</t>
  </si>
  <si>
    <t>Kirsty</t>
  </si>
  <si>
    <t>EML TO FAC RE TIMESHEET-  - Accepted from Mobile. BLOCK BOOKING REQ BY KIRSTY THORLEY</t>
  </si>
  <si>
    <t>All attending must have clock on profile and IEMR. If you would like a clock on profile made with the hospital and have current IEMR please contact the QLD@kemprecruitment.com.au to allow time for your access to be created with the hospital.</t>
  </si>
  <si>
    <t>CHYRYLL</t>
  </si>
  <si>
    <t>LAUGUICO</t>
  </si>
  <si>
    <t>MBR0024936</t>
  </si>
  <si>
    <t>chyryll@gmail.com</t>
  </si>
  <si>
    <t>12@15</t>
  </si>
  <si>
    <t>STCH WAS 7AM  BOOKING REPORT SENT 11/2</t>
  </si>
  <si>
    <t>VIKKI</t>
  </si>
  <si>
    <t>MBR0022536</t>
  </si>
  <si>
    <t>drew597@live.com</t>
  </si>
  <si>
    <t>12@18</t>
  </si>
  <si>
    <t>CHATSWOOD PRIVATE HOSPITAL</t>
  </si>
  <si>
    <t>PRESMED</t>
  </si>
  <si>
    <t>ALOJA RODA</t>
  </si>
  <si>
    <t>REGALADO</t>
  </si>
  <si>
    <t>.</t>
  </si>
  <si>
    <t>MBR0024078</t>
  </si>
  <si>
    <t>regalado_aloja@yahoo.com</t>
  </si>
  <si>
    <t>SUITE 1</t>
  </si>
  <si>
    <t xml:space="preserve"> 38B ALBERT AVENUE</t>
  </si>
  <si>
    <t>CHATSWOOD</t>
  </si>
  <si>
    <t>SEREIN XI</t>
  </si>
  <si>
    <t xml:space="preserve">Member has Accepted. STCN BACK TO 0700 AS SHE DECLINED THE 0630 START  Declined from Mobile. LVM - STCH WAS 7 AM  BOOKING REPORT SENT 11/2 </t>
  </si>
  <si>
    <t>SS-GENERAL</t>
  </si>
  <si>
    <t>ANITHA</t>
  </si>
  <si>
    <t>VARGHESE</t>
  </si>
  <si>
    <t>COORDINATOR ST ANDREWS</t>
  </si>
  <si>
    <t>MBR0027615</t>
  </si>
  <si>
    <t>anithavarghese726@gmail.com</t>
  </si>
  <si>
    <t>7@10</t>
  </si>
  <si>
    <t>LEANDRA SPENCER</t>
  </si>
  <si>
    <t>carina</t>
  </si>
  <si>
    <t>CARINA MATHIASEN</t>
  </si>
  <si>
    <t xml:space="preserve">DUPLICATE SHIFT POS Fabbro Member has Accepted. . . Declined from Mobile. </t>
  </si>
  <si>
    <t>SS-ORTHO</t>
  </si>
  <si>
    <t>CAMILLE</t>
  </si>
  <si>
    <t>CABIGAO</t>
  </si>
  <si>
    <t>DEARBHLA GRANT</t>
  </si>
  <si>
    <t>MBR0026874</t>
  </si>
  <si>
    <t>Camillecabigao0306@gmail.com</t>
  </si>
  <si>
    <t xml:space="preserve"> *NCWH*-TAEHUI IM PULLED OUT. **FTCN** 1500 Cagigao</t>
  </si>
  <si>
    <t>0rtho/spine-can pick any shift</t>
  </si>
  <si>
    <t>SS-ORAL</t>
  </si>
  <si>
    <t>3@8</t>
  </si>
  <si>
    <t>Member has Accepted. SHIFT EDITED BY USER SARAHC 10/02/2026 20:16 Booking email sent 10/02STCH0730</t>
  </si>
  <si>
    <t>PORT LINCOLN HOSPITAL</t>
  </si>
  <si>
    <t>CHRISTOPHER</t>
  </si>
  <si>
    <t>PERRY</t>
  </si>
  <si>
    <t>RACHEL PROSSER</t>
  </si>
  <si>
    <t>MBR0024786</t>
  </si>
  <si>
    <t>chrisperry79@gmail.com</t>
  </si>
  <si>
    <t>OXFORD TERRACE</t>
  </si>
  <si>
    <t>PORT LINCOLN</t>
  </si>
  <si>
    <t>not Signed</t>
  </si>
  <si>
    <t>Timesheet not signed. Rachel would prefer to receive and email or a printout: and she will email RnR@lumiacare.com.au regarding this. Ive submittedthis timesheet unsigned in the meantime for my records.</t>
  </si>
  <si>
    <t>ST JOHN OF GOD BERWICK</t>
  </si>
  <si>
    <t>ST JOHN OF GOD</t>
  </si>
  <si>
    <t>TH</t>
  </si>
  <si>
    <t>TT GR 5</t>
  </si>
  <si>
    <t>GIDEON</t>
  </si>
  <si>
    <t>SCHAAP</t>
  </si>
  <si>
    <t>SHIFTMATCH</t>
  </si>
  <si>
    <t>MBR0021048</t>
  </si>
  <si>
    <t>gideon@email.com</t>
  </si>
  <si>
    <t>75 KANGAN DRIVE</t>
  </si>
  <si>
    <t>BERWICK</t>
  </si>
  <si>
    <t>Member has Accepted. MANUAL</t>
  </si>
  <si>
    <t>LCS291</t>
  </si>
  <si>
    <t>ED-PAEDIATRICS</t>
  </si>
  <si>
    <t>WARDS RN Y4</t>
  </si>
  <si>
    <t>HARDING</t>
  </si>
  <si>
    <t>MBR0025382</t>
  </si>
  <si>
    <t>je.harding@outlook.com</t>
  </si>
  <si>
    <t>RECONFIRM BOOKED SHIFT DAY B4-Harding - booking report sent 11/02: 12/02</t>
  </si>
  <si>
    <t>CHERMSIDE DAY HOSPITAL</t>
  </si>
  <si>
    <t>CURA DAY HOSPITALS GROUP</t>
  </si>
  <si>
    <t>JOANNE</t>
  </si>
  <si>
    <t>BELL</t>
  </si>
  <si>
    <t>Tracey</t>
  </si>
  <si>
    <t>KARENK</t>
  </si>
  <si>
    <t>MBR0027434</t>
  </si>
  <si>
    <t>jombell82@gmail.com</t>
  </si>
  <si>
    <t>LEVEL 1/956 GYMPIE ROAD</t>
  </si>
  <si>
    <t>CHERMSIDE</t>
  </si>
  <si>
    <t>SS RN Y4</t>
  </si>
  <si>
    <t>MIN</t>
  </si>
  <si>
    <t>ZHUANG</t>
  </si>
  <si>
    <t>felicia</t>
  </si>
  <si>
    <t>MBR0026829</t>
  </si>
  <si>
    <t>themostinteresting@qq.com</t>
  </si>
  <si>
    <t>7@14</t>
  </si>
  <si>
    <t>ICU RN Y5+</t>
  </si>
  <si>
    <t>PATRICIA</t>
  </si>
  <si>
    <t>UGARTE PEREZ</t>
  </si>
  <si>
    <t>maria</t>
  </si>
  <si>
    <t>MBR0025832</t>
  </si>
  <si>
    <t>p.ugarteperez@outlook.com</t>
  </si>
  <si>
    <t>patricia</t>
  </si>
  <si>
    <t>confirmed phne Maria 11/02</t>
  </si>
  <si>
    <t>ANA RN Y1-4</t>
  </si>
  <si>
    <t>SADIE</t>
  </si>
  <si>
    <t>WARD</t>
  </si>
  <si>
    <t>MBR0026584</t>
  </si>
  <si>
    <t>sadie99ward@gmail.com</t>
  </si>
  <si>
    <t>2@8</t>
  </si>
  <si>
    <t>NLG Olivia aware-Zuniga : M Marsh-Ward was in a dental list but swapped out as she was not comfortable doing dental ANA</t>
  </si>
  <si>
    <t>ROLE -RN</t>
  </si>
  <si>
    <t>Isabelle</t>
  </si>
  <si>
    <t>Member has Accepted. Req Bakul</t>
  </si>
  <si>
    <t>HURSTVILLE PRIVATE HOSPITAL</t>
  </si>
  <si>
    <t>HEALTHE CARE</t>
  </si>
  <si>
    <t>SCN RN Y5+</t>
  </si>
  <si>
    <t>SHARYN</t>
  </si>
  <si>
    <t>OSBOURNE</t>
  </si>
  <si>
    <t>WENDY FOYE</t>
  </si>
  <si>
    <t>VERTEXLS</t>
  </si>
  <si>
    <t xml:space="preserve"> SHIFT BOOKED from Quick</t>
  </si>
  <si>
    <t>890267_1</t>
  </si>
  <si>
    <t>MBR0025714</t>
  </si>
  <si>
    <t>SHARYN.O@BIGPOND.COM</t>
  </si>
  <si>
    <t xml:space="preserve">37 GLOUCESTER ROAD </t>
  </si>
  <si>
    <t>HURSTVILLE</t>
  </si>
  <si>
    <t>Shift Created to Adjust the Pay against the Docket no. 890267</t>
  </si>
  <si>
    <t>890267_2</t>
  </si>
  <si>
    <t>SYDNEY ADVENTIST HOSPITAL</t>
  </si>
  <si>
    <t>ADVENTIST HEALTHCARE</t>
  </si>
  <si>
    <t>A YOUNG</t>
  </si>
  <si>
    <t>KWON</t>
  </si>
  <si>
    <t>KATE HANSEN</t>
  </si>
  <si>
    <t>MBR0027282</t>
  </si>
  <si>
    <t>kayoung@y7mail.com</t>
  </si>
  <si>
    <t>185 FOX VALLEY ROAD</t>
  </si>
  <si>
    <t>WAHROONGA</t>
  </si>
  <si>
    <t>INORN</t>
  </si>
  <si>
    <t>SITANON</t>
  </si>
  <si>
    <t>EMAIL JAI</t>
  </si>
  <si>
    <t>MBR0027410</t>
  </si>
  <si>
    <t>Inorn.sitanon18@gmail.com</t>
  </si>
  <si>
    <t>7@7</t>
  </si>
  <si>
    <t>JAI</t>
  </si>
  <si>
    <t>SS EN Y5+</t>
  </si>
  <si>
    <t>LEE</t>
  </si>
  <si>
    <t>BURRELL</t>
  </si>
  <si>
    <t>MBR0025263</t>
  </si>
  <si>
    <t>Lee.burrell@bigpond.com</t>
  </si>
  <si>
    <t>Member has Accepted. LVM - STCH WAS 7AM  BOOKING REPORT SENT 11/2</t>
  </si>
  <si>
    <t>SCR RN Y5+</t>
  </si>
  <si>
    <t>NATHAN</t>
  </si>
  <si>
    <t>BODEL</t>
  </si>
  <si>
    <t>MBR0027424</t>
  </si>
  <si>
    <t>nathanbodel09@gmail.com</t>
  </si>
  <si>
    <t>10@15</t>
  </si>
  <si>
    <t>OPERATING THEATRES</t>
  </si>
  <si>
    <t>SS-PAIN MANAGEMENT</t>
  </si>
  <si>
    <t>TONI</t>
  </si>
  <si>
    <t>AXFORD</t>
  </si>
  <si>
    <t>MBR0020926</t>
  </si>
  <si>
    <t>dauphinau@yahoo.com</t>
  </si>
  <si>
    <t>1@9</t>
  </si>
  <si>
    <t>Booking email sent 04/02</t>
  </si>
  <si>
    <t>ST JOHN OF GOD MT LAWLEY</t>
  </si>
  <si>
    <t>SS-ORTHOPAEDICS-JOINTS</t>
  </si>
  <si>
    <t>VERONICA</t>
  </si>
  <si>
    <t>MUSENDO</t>
  </si>
  <si>
    <t>CHANEL ARMSTRONG</t>
  </si>
  <si>
    <t>MBR0026323</t>
  </si>
  <si>
    <t>veronicamaponga@hotmail.co.uk</t>
  </si>
  <si>
    <t>GROUND FLOOR</t>
  </si>
  <si>
    <t>THIRLMERE ROAD</t>
  </si>
  <si>
    <t>HIGHGATE</t>
  </si>
  <si>
    <t xml:space="preserve">S Byrne NO </t>
  </si>
  <si>
    <t>SS RN 1.7</t>
  </si>
  <si>
    <t>KIRSTEN</t>
  </si>
  <si>
    <t>VIGH</t>
  </si>
  <si>
    <t>MBR0023589</t>
  </si>
  <si>
    <t>vigh.kirsten@gmail.com</t>
  </si>
  <si>
    <t>WINDSOR PRIVATE</t>
  </si>
  <si>
    <t>CHANTEL</t>
  </si>
  <si>
    <t>LE COMPTE</t>
  </si>
  <si>
    <t>NEXUS STAFFING PLATFORM</t>
  </si>
  <si>
    <t>MBR0020731</t>
  </si>
  <si>
    <t>clecompte77@gmail.com</t>
  </si>
  <si>
    <t>20 THE AVENUE</t>
  </si>
  <si>
    <t>WINDSOR</t>
  </si>
  <si>
    <t>DEBBIE</t>
  </si>
  <si>
    <t>SZALBOT</t>
  </si>
  <si>
    <t>MBR0024756</t>
  </si>
  <si>
    <t>debszalbot@yahoo.com.au</t>
  </si>
  <si>
    <t>4@8</t>
  </si>
  <si>
    <t xml:space="preserve">Szalbot </t>
  </si>
  <si>
    <t>SCO-EYES</t>
  </si>
  <si>
    <t>LINNA</t>
  </si>
  <si>
    <t>ZHANG</t>
  </si>
  <si>
    <t>MBR0024359</t>
  </si>
  <si>
    <t>zzzlena666@gmail.com</t>
  </si>
  <si>
    <t>NLG Olivia aware-Off roster Wahrbichler</t>
  </si>
  <si>
    <t>emma</t>
  </si>
  <si>
    <t>7@30</t>
  </si>
  <si>
    <t>JANE</t>
  </si>
  <si>
    <t>PARKER</t>
  </si>
  <si>
    <t>MBR0021588</t>
  </si>
  <si>
    <t>adrijane69@yahoo.com</t>
  </si>
  <si>
    <t>5@8</t>
  </si>
  <si>
    <t>LYELL MCEWIN HOSPITAL</t>
  </si>
  <si>
    <t>ANAESTHETIC</t>
  </si>
  <si>
    <t>EPAS-SUNRISE</t>
  </si>
  <si>
    <t>LEON</t>
  </si>
  <si>
    <t>TANDOR</t>
  </si>
  <si>
    <t>TERESA</t>
  </si>
  <si>
    <t>MBR0026474</t>
  </si>
  <si>
    <t>nurseleon@proton.me</t>
  </si>
  <si>
    <t>HAYDOWN ROAD</t>
  </si>
  <si>
    <t>ELIZABETH VALE</t>
  </si>
  <si>
    <t>SARAH ZANKER</t>
  </si>
  <si>
    <t>CONFIRMED PHNE 11/02 TERESA **Member has Accepted. NLG Karen aware**CWH** DARYL HO PULLED OUT. Ho - booking report sent 16/01</t>
  </si>
  <si>
    <t>FOREST ROAD DAY SURGERY</t>
  </si>
  <si>
    <t>GABRIELLA KALOFANOS</t>
  </si>
  <si>
    <t>99A FOREST ROAD</t>
  </si>
  <si>
    <t>SVJETLANA</t>
  </si>
  <si>
    <t>STJEPIC</t>
  </si>
  <si>
    <t>MBR0027468</t>
  </si>
  <si>
    <t>Stjepic.s@hotmail.com</t>
  </si>
  <si>
    <t>Rachel Prosser</t>
  </si>
  <si>
    <t>TAEHUI</t>
  </si>
  <si>
    <t>IM</t>
  </si>
  <si>
    <t>RACHEL MCGUIRE</t>
  </si>
  <si>
    <t>MBR0026545</t>
  </si>
  <si>
    <t>taehuiim96@gmail.com</t>
  </si>
  <si>
    <t>Booking report sent 11/02: 12/02 -Booked of with coord letting Rachel know</t>
  </si>
  <si>
    <t>EPAS NOT REQUIRED</t>
  </si>
  <si>
    <t>RURAL AND REMOTE CONTRACTS</t>
  </si>
  <si>
    <t>STATEWIDE MENTAL HEALTH SERVICES ALCOHOL AND DRUG SERVICES NORTH WEST</t>
  </si>
  <si>
    <t>PSYC</t>
  </si>
  <si>
    <t>PSYC RN Y1-4</t>
  </si>
  <si>
    <t>WILLIAM</t>
  </si>
  <si>
    <t>PALEA</t>
  </si>
  <si>
    <t>WENDY EDWARDS</t>
  </si>
  <si>
    <t>MBR0025807</t>
  </si>
  <si>
    <t>wpalea253@gmail.com</t>
  </si>
  <si>
    <t>11 GROVE STREET ULVERSTONE TAS 7315 AUSTRALIA</t>
  </si>
  <si>
    <t>ULVERSTONE</t>
  </si>
  <si>
    <t>FORM AND FACE</t>
  </si>
  <si>
    <t>CHAREE</t>
  </si>
  <si>
    <t>DELA CRUZ</t>
  </si>
  <si>
    <t xml:space="preserve">tracey </t>
  </si>
  <si>
    <t>MBR0025235</t>
  </si>
  <si>
    <t>charee.delcruz@gmail.com</t>
  </si>
  <si>
    <t>LEVEL 5  59-75</t>
  </si>
  <si>
    <t xml:space="preserve">59-75 GRAFTON ST </t>
  </si>
  <si>
    <t>BONDI JUNCTION</t>
  </si>
  <si>
    <t>TRACEY</t>
  </si>
  <si>
    <t>HOLLYWOOD PRIVATE HOSPITAL</t>
  </si>
  <si>
    <t>OPERATING SUITE</t>
  </si>
  <si>
    <t>ELEENA</t>
  </si>
  <si>
    <t>LIONG</t>
  </si>
  <si>
    <t>COURTNEY</t>
  </si>
  <si>
    <t>MBR0024187</t>
  </si>
  <si>
    <t>eleenaliong@yahoo.co.uk</t>
  </si>
  <si>
    <t>115 MONASH AVE</t>
  </si>
  <si>
    <t>NEDLANDS</t>
  </si>
  <si>
    <t>SHIFT EDITED BY USER NOREENM 12/02/2026 08:09 STCN WAS 0800 Accepted from Mobile. Declined from Mobile. Needs to finish by 1400</t>
  </si>
  <si>
    <t>DOWNEY</t>
  </si>
  <si>
    <t>MBR0024880</t>
  </si>
  <si>
    <t>leedowney@hotmail.com</t>
  </si>
  <si>
    <t>11@22</t>
  </si>
  <si>
    <t>Member has Accepted. LVM- STCH WAS 8AM  BOOKING REPORT SENT 11/2</t>
  </si>
  <si>
    <t>Member has Accepted. STCH WAS 8AM  Member has Accepted. EMAILED - STCH WAS 7AM  BOOKING REPORT SENT 11/2</t>
  </si>
  <si>
    <t>23@24</t>
  </si>
  <si>
    <t>RAMSAY SURGICAL CENTRE MIRANDA</t>
  </si>
  <si>
    <t>OP THEATRE</t>
  </si>
  <si>
    <t>MAREE</t>
  </si>
  <si>
    <t>MURRAY</t>
  </si>
  <si>
    <t>MAREE MILWAIN</t>
  </si>
  <si>
    <t>MBR0026635</t>
  </si>
  <si>
    <t>mareeiggy@bigpond.com</t>
  </si>
  <si>
    <t>4@9</t>
  </si>
  <si>
    <t>LEVEL 1</t>
  </si>
  <si>
    <t xml:space="preserve">533 KINGSWAY  </t>
  </si>
  <si>
    <t>MIRANDA</t>
  </si>
  <si>
    <t>KIM</t>
  </si>
  <si>
    <t>SHAY PHING</t>
  </si>
  <si>
    <t>TAN</t>
  </si>
  <si>
    <t>NOREENM</t>
  </si>
  <si>
    <t>MBR0025761</t>
  </si>
  <si>
    <t>shayphing90@gmail.com</t>
  </si>
  <si>
    <t>CALVARY CORYMBIA</t>
  </si>
  <si>
    <t>RAC PCA</t>
  </si>
  <si>
    <t>AGED RN Y1-4</t>
  </si>
  <si>
    <t>MEDITECH 1</t>
  </si>
  <si>
    <t>ENTIRE</t>
  </si>
  <si>
    <t>27927-1</t>
  </si>
  <si>
    <t xml:space="preserve">MEDTECH </t>
  </si>
  <si>
    <t>MBR0027644</t>
  </si>
  <si>
    <t>info.nsw@lumiacare.com.au</t>
  </si>
  <si>
    <t>51 CHILDS CIRCUIT</t>
  </si>
  <si>
    <t>BELROSE</t>
  </si>
  <si>
    <t>MEDITECH</t>
  </si>
  <si>
    <t>BROCKERAGE SHIFT MEDTECH - STAFF MEMBER AIN Carina Clave // 0424 688 628</t>
  </si>
  <si>
    <t>CHLOE</t>
  </si>
  <si>
    <t>BURNEY</t>
  </si>
  <si>
    <t>SAMANTHA WONG</t>
  </si>
  <si>
    <t>MBR0024912</t>
  </si>
  <si>
    <t>chloe.burney@gmail.com</t>
  </si>
  <si>
    <t>19@21</t>
  </si>
  <si>
    <t>Booking report sent 12/02</t>
  </si>
  <si>
    <t>DANIEL</t>
  </si>
  <si>
    <t>NATOUR</t>
  </si>
  <si>
    <t>MBR0022729</t>
  </si>
  <si>
    <t>dannynatour@hotmail.com</t>
  </si>
  <si>
    <t xml:space="preserve">STCH WAS 7AM BOOKING REPORT SENT 11/2 </t>
  </si>
  <si>
    <t>FRANCIS JOHN</t>
  </si>
  <si>
    <t>MARIANO</t>
  </si>
  <si>
    <t>BRYONY HEYDON</t>
  </si>
  <si>
    <t>MBR0026752</t>
  </si>
  <si>
    <t>jfrancmariano06@yahoo.com</t>
  </si>
  <si>
    <t>Accepted from Mobile. . nil avail</t>
  </si>
  <si>
    <t>JORDAN</t>
  </si>
  <si>
    <t>BYRNE</t>
  </si>
  <si>
    <t>MBR0026987</t>
  </si>
  <si>
    <t>jordanbyrne2@myclick.ie</t>
  </si>
  <si>
    <t>5@9</t>
  </si>
  <si>
    <t>WESTSIDE PRIVATE HOSPITAL</t>
  </si>
  <si>
    <t>MONTSERRAT DAY HOSPITALS</t>
  </si>
  <si>
    <t>AT</t>
  </si>
  <si>
    <t>LINDIWE</t>
  </si>
  <si>
    <t>NDLOVU</t>
  </si>
  <si>
    <t>MBR0027173</t>
  </si>
  <si>
    <t>lindiwendl25@gmail.com</t>
  </si>
  <si>
    <t>32 MORROW STREET</t>
  </si>
  <si>
    <t>TARINGA</t>
  </si>
  <si>
    <t>STCH 0700 TO 1200 - SW Nathan. Lindi accepted shift via email 5/02 - ID: 497566 Shift for Lindi - To be activated</t>
  </si>
  <si>
    <t>PANAGIOTA YULA</t>
  </si>
  <si>
    <t>KANELLOPOULOU</t>
  </si>
  <si>
    <t xml:space="preserve">NIMA PATEL                         </t>
  </si>
  <si>
    <t>MBR0025079</t>
  </si>
  <si>
    <t>panakanel@gmail.com</t>
  </si>
  <si>
    <t>9@9</t>
  </si>
  <si>
    <t>NIMA PATEL</t>
  </si>
  <si>
    <t>MODBURY HOSPITAL ISS</t>
  </si>
  <si>
    <t xml:space="preserve">JAY SOLLY                         </t>
  </si>
  <si>
    <t>10@10</t>
  </si>
  <si>
    <t>SMART RD</t>
  </si>
  <si>
    <t>JAY SOLLY</t>
  </si>
  <si>
    <t>REQ Williams -booking email sent 22/01</t>
  </si>
  <si>
    <t>JUDY</t>
  </si>
  <si>
    <t>MANG</t>
  </si>
  <si>
    <t>MBR0021790</t>
  </si>
  <si>
    <t>tictac2ow@gmail.com</t>
  </si>
  <si>
    <t>CAMPBELLTOWN PRIVATE HOSPITAL</t>
  </si>
  <si>
    <t>ANA REC</t>
  </si>
  <si>
    <t>ROSENIE</t>
  </si>
  <si>
    <t>MANESE</t>
  </si>
  <si>
    <t>JESS</t>
  </si>
  <si>
    <t>MBR0025118</t>
  </si>
  <si>
    <t>roseniejoy@yahoo.com</t>
  </si>
  <si>
    <t>8@24</t>
  </si>
  <si>
    <t>42 PARKSIDE CRES</t>
  </si>
  <si>
    <t>CAMPBELLTOWN</t>
  </si>
  <si>
    <t>Member has Accepted. CHANGING BACK TO ORIGINAL  Declined from Mobile. STCH WAS 12:30 BOOKING REPORT SENT 11/2</t>
  </si>
  <si>
    <t>ANAESTHETIC DEPARTMENT</t>
  </si>
  <si>
    <t>SERENA</t>
  </si>
  <si>
    <t>BIRCHALL</t>
  </si>
  <si>
    <t>Gemma Thomas</t>
  </si>
  <si>
    <t>MBR0026978</t>
  </si>
  <si>
    <t>serenabirchall@gmail.com</t>
  </si>
  <si>
    <t>17@40</t>
  </si>
  <si>
    <t>Member has Accepted. STCH WAS 0700 - SPOKE TO JAI AND HE SAID SHE WAS REQUESTED FOR 1230 START. I HAVE CHANGED THIS BUT PLS FOLLOW UP IN AM . NOTE IN HANDOVER  Member has Accepted. SHIFT EDITED BY USER SARAHC 11/02/2026 16:58 Member has Accepted. STCH WAS 7 BOOKING REPORT SENT 11/2</t>
  </si>
  <si>
    <t>SCRUB</t>
  </si>
  <si>
    <t>SCR-ORTHO</t>
  </si>
  <si>
    <t>5@7</t>
  </si>
  <si>
    <t>BENJAMIN</t>
  </si>
  <si>
    <t>COWAN</t>
  </si>
  <si>
    <t>MBR0024122</t>
  </si>
  <si>
    <t>bpjcowan@gmail.com</t>
  </si>
  <si>
    <t>8@30</t>
  </si>
  <si>
    <t xml:space="preserve">	BOOKING REPORT SENT 11/2</t>
  </si>
  <si>
    <t>NLG Olivia aware-Zhang</t>
  </si>
  <si>
    <t>WESTERN ADELAIDE PRIVATE HOSPITAL</t>
  </si>
  <si>
    <t>ANA-ANAESTHETICS</t>
  </si>
  <si>
    <t>MARY</t>
  </si>
  <si>
    <t>MARSH</t>
  </si>
  <si>
    <t>HOSP COORD TEAM LEADER</t>
  </si>
  <si>
    <t>PRF0002895</t>
  </si>
  <si>
    <t>MBR0023998</t>
  </si>
  <si>
    <t>Marymarsh0505@gmail.com</t>
  </si>
  <si>
    <t>168 CUDMORE TERRACE</t>
  </si>
  <si>
    <t>HENLEY BEACH</t>
  </si>
  <si>
    <t>Accepted from Mobile. ENTERED BY CLIENT</t>
  </si>
  <si>
    <t>Request: Mary Marsh</t>
  </si>
  <si>
    <t>NASTASSIA</t>
  </si>
  <si>
    <t>JACOBI</t>
  </si>
  <si>
    <t>MBR0027625</t>
  </si>
  <si>
    <t>nastassia.jacobi@gmail.com</t>
  </si>
  <si>
    <t>Booking email sent 09/02</t>
  </si>
  <si>
    <t>Member has Accepted. LCH FMC = REPAT Tarin kowt</t>
  </si>
  <si>
    <t>SURESH</t>
  </si>
  <si>
    <t>KUTTICHEN</t>
  </si>
  <si>
    <t>joeline</t>
  </si>
  <si>
    <t>MBR0025296</t>
  </si>
  <si>
    <t>sureshparappuram@yahoo.co.in</t>
  </si>
  <si>
    <t>9@20</t>
  </si>
  <si>
    <t>steph</t>
  </si>
  <si>
    <t>ZORICA</t>
  </si>
  <si>
    <t>ALEKSIC</t>
  </si>
  <si>
    <t>GEORGA</t>
  </si>
  <si>
    <t>MBR0025585</t>
  </si>
  <si>
    <t>zoricaaleksic4@gmail.com</t>
  </si>
  <si>
    <t>JAMES</t>
  </si>
  <si>
    <t>6@20</t>
  </si>
  <si>
    <t>BOOKING RPEORT SENT 20/2</t>
  </si>
  <si>
    <t>SHIFT EDITED BY USER KATE 22/02/2026 18:39 LVM x 3 STCH was 1200. Accepted from Mobile. cortilda no - EMAILED 13/2</t>
  </si>
  <si>
    <t>WILSON</t>
  </si>
  <si>
    <t>Anja</t>
  </si>
  <si>
    <t>MBR0025830</t>
  </si>
  <si>
    <t>jasmine.wilson242@live.com.au</t>
  </si>
  <si>
    <t>ANJA</t>
  </si>
  <si>
    <t>WARRINGAL PRIVATE HOSPITAL</t>
  </si>
  <si>
    <t xml:space="preserve">INST+ </t>
  </si>
  <si>
    <t>STAVRINOU</t>
  </si>
  <si>
    <t>CASBANK ALLOCATION</t>
  </si>
  <si>
    <t>MBR0024641</t>
  </si>
  <si>
    <t>jessica.stavrinou@gmail.com</t>
  </si>
  <si>
    <t>216 BURGUNDY STREET</t>
  </si>
  <si>
    <t>HEILDEBERG</t>
  </si>
  <si>
    <t>Member has Accepted. Shift Release from Cascom</t>
  </si>
  <si>
    <t>[ID-LMK143]</t>
  </si>
  <si>
    <t>MARIE</t>
  </si>
  <si>
    <t>MILLOY</t>
  </si>
  <si>
    <t>MBR0026131</t>
  </si>
  <si>
    <t>Marie-milloy@hotmail.com</t>
  </si>
  <si>
    <t>MINA</t>
  </si>
  <si>
    <t>CERRACCHIO</t>
  </si>
  <si>
    <t>MBR0026675</t>
  </si>
  <si>
    <t>minacerrart@gmail.com</t>
  </si>
  <si>
    <t>Cerracchio - booking report sent 19/02</t>
  </si>
  <si>
    <t>PRINCE OF WALES PRIVATE</t>
  </si>
  <si>
    <t>RUBA</t>
  </si>
  <si>
    <t>ELIAS</t>
  </si>
  <si>
    <t>ORN</t>
  </si>
  <si>
    <t>MBR0025497</t>
  </si>
  <si>
    <t>rubaelias@hotmail.com</t>
  </si>
  <si>
    <t>BARKER STREET</t>
  </si>
  <si>
    <t>RANDWICK</t>
  </si>
  <si>
    <t>MEL</t>
  </si>
  <si>
    <t>BOOKING REPORT SENT 20/2</t>
  </si>
  <si>
    <t>SALLYANN</t>
  </si>
  <si>
    <t>SCOTT MITCHELL</t>
  </si>
  <si>
    <t>MBR0021080</t>
  </si>
  <si>
    <t>pinksal86@gmail.com</t>
  </si>
  <si>
    <t>Marsh - email sent to Scott booking shift off 19/02: 23/02</t>
  </si>
  <si>
    <t>SHU FEN</t>
  </si>
  <si>
    <t>MBR0027499</t>
  </si>
  <si>
    <t>Miuuuu@hotmail.com</t>
  </si>
  <si>
    <t>1@13</t>
  </si>
  <si>
    <t>REQ Williams -booking email sent 19/02</t>
  </si>
  <si>
    <t>ANALISA</t>
  </si>
  <si>
    <t>FABBRO</t>
  </si>
  <si>
    <t>MBR0011863</t>
  </si>
  <si>
    <t>analisafabbro@gmail.com</t>
  </si>
  <si>
    <t>GA List</t>
  </si>
  <si>
    <t>ST JOHN OF GOD SUBIACO EYE HOSPITAL</t>
  </si>
  <si>
    <t>KENNEDY</t>
  </si>
  <si>
    <t>GRACE CELLONA</t>
  </si>
  <si>
    <t>MBR0022301</t>
  </si>
  <si>
    <t>fifilamour14@gmail.com</t>
  </si>
  <si>
    <t>190 CAMBRIDGE STREET</t>
  </si>
  <si>
    <t>WEMBLEY</t>
  </si>
  <si>
    <t>HILARY</t>
  </si>
  <si>
    <t>DAVISON</t>
  </si>
  <si>
    <t>Jason</t>
  </si>
  <si>
    <t>MBR0024985</t>
  </si>
  <si>
    <t>Hdavison370@gmail.com</t>
  </si>
  <si>
    <t>jason</t>
  </si>
  <si>
    <t>JOSHUA</t>
  </si>
  <si>
    <t>STANLEY</t>
  </si>
  <si>
    <t>MBR0027566</t>
  </si>
  <si>
    <t>shuggs24@outlook.com</t>
  </si>
  <si>
    <t>Booking email sent 17/02</t>
  </si>
  <si>
    <t>LORA</t>
  </si>
  <si>
    <t>STANCHEVA</t>
  </si>
  <si>
    <t>MBR0023178</t>
  </si>
  <si>
    <t>Lorah_sta@yahoo.com</t>
  </si>
  <si>
    <t>MAX</t>
  </si>
  <si>
    <t>HOSPERS</t>
  </si>
  <si>
    <t>Maria</t>
  </si>
  <si>
    <t>MBR0021948</t>
  </si>
  <si>
    <t>maxhospers@hotmail.com</t>
  </si>
  <si>
    <t>MARIA</t>
  </si>
  <si>
    <t>Member has Accepted. SHIFT EDITED BY USER JENNIG 20/02/2026 14:54 BOOKING REPORT SENT 20/2</t>
  </si>
  <si>
    <t>Accepted from Mobile. LVM AMY</t>
  </si>
  <si>
    <t>3@13</t>
  </si>
  <si>
    <t>QIN</t>
  </si>
  <si>
    <t>WEBB</t>
  </si>
  <si>
    <t>KATHERINE CLEGGETT</t>
  </si>
  <si>
    <t>MBR0025019</t>
  </si>
  <si>
    <t>kimmyzhou827@gmail.com</t>
  </si>
  <si>
    <t>Webb</t>
  </si>
  <si>
    <t>36@41</t>
  </si>
  <si>
    <t>SHIFT EDITED BY USER KATE 23/02/2026 21:56 RECONFIRM BOOKED SHIFT DAY B4 - booking report sent 20/02: 23/02</t>
  </si>
  <si>
    <t>ANNE-LOUISE</t>
  </si>
  <si>
    <t>PUDNEY</t>
  </si>
  <si>
    <t>ENNY</t>
  </si>
  <si>
    <t>MBR0025479</t>
  </si>
  <si>
    <t>annie_lusmith@yahoo.com.au</t>
  </si>
  <si>
    <t>36@47</t>
  </si>
  <si>
    <t xml:space="preserve">Pudney </t>
  </si>
  <si>
    <t>ANAESTHETICS</t>
  </si>
  <si>
    <t>CHRISTINE</t>
  </si>
  <si>
    <t>BECKER</t>
  </si>
  <si>
    <t>MBR0011864</t>
  </si>
  <si>
    <t>CRISALIS2429@GMAIL.COM</t>
  </si>
  <si>
    <t>2@7</t>
  </si>
  <si>
    <t>JAMISON</t>
  </si>
  <si>
    <t>CUK</t>
  </si>
  <si>
    <t>ALISON CIARLA</t>
  </si>
  <si>
    <t>MBR0027623</t>
  </si>
  <si>
    <t>jamison.cuk@gmail.com</t>
  </si>
  <si>
    <t>JIYOUNG</t>
  </si>
  <si>
    <t>OH</t>
  </si>
  <si>
    <t>MBR0023037</t>
  </si>
  <si>
    <t>sarah.j.oh430@gmail.com</t>
  </si>
  <si>
    <t>Sandy</t>
  </si>
  <si>
    <t>SANDY</t>
  </si>
  <si>
    <t xml:space="preserve">STCN 1500 - 2300 TO 1300-2130 STCN  1500- 23 TO 1300 - 2130 AS REQ BY SANDY @ 10.20 Member has Accepted. </t>
  </si>
  <si>
    <t>GLADSTONE HOSPITAL</t>
  </si>
  <si>
    <t>WARDS RN Y2</t>
  </si>
  <si>
    <t>KIERAN</t>
  </si>
  <si>
    <t>WIGGINS</t>
  </si>
  <si>
    <t>JOANNA MEHARG</t>
  </si>
  <si>
    <t>MBR0027321</t>
  </si>
  <si>
    <t>kieranwiggins24@gmail.com</t>
  </si>
  <si>
    <t>1 PARK ST</t>
  </si>
  <si>
    <t>GLADSTONE</t>
  </si>
  <si>
    <t>Ange Hyland</t>
  </si>
  <si>
    <t>BURNSIDE TOORAK</t>
  </si>
  <si>
    <t>KRISTY</t>
  </si>
  <si>
    <t>JONES</t>
  </si>
  <si>
    <t>BINDU</t>
  </si>
  <si>
    <t>MBR0020171</t>
  </si>
  <si>
    <t>kristyjonescos@outlook.com</t>
  </si>
  <si>
    <t>120 KENSINGTON ROAD</t>
  </si>
  <si>
    <t>BURNSIDE</t>
  </si>
  <si>
    <t>JODIE PAYNTER</t>
  </si>
  <si>
    <t>Accepted from Mobile. Zuniga: Lazarte</t>
  </si>
  <si>
    <t>SLOBODAN</t>
  </si>
  <si>
    <t>MLADENOVSKI</t>
  </si>
  <si>
    <t>STEPH</t>
  </si>
  <si>
    <t>MBR0021450</t>
  </si>
  <si>
    <t>boban.55@outlook.com</t>
  </si>
  <si>
    <t>16@20</t>
  </si>
  <si>
    <t>STEPHEN</t>
  </si>
  <si>
    <t>IBIWOYE</t>
  </si>
  <si>
    <t>MBR0026670</t>
  </si>
  <si>
    <t>bjstylle@gmail.com</t>
  </si>
  <si>
    <t>RECONFIRM BOOKED SHIFT DAY B4 - booking report sent 20/02: 23/02</t>
  </si>
  <si>
    <t>STIRLING HOSPITAL</t>
  </si>
  <si>
    <t>SHARRON KEMP</t>
  </si>
  <si>
    <t>1@6</t>
  </si>
  <si>
    <t xml:space="preserve">20 MILAN TERRACE </t>
  </si>
  <si>
    <t>STIRLING</t>
  </si>
  <si>
    <t>Booking email sent 23/02</t>
  </si>
  <si>
    <t>GLENELG DAY SURGERY</t>
  </si>
  <si>
    <t>JENNIFER</t>
  </si>
  <si>
    <t>BOSELEY</t>
  </si>
  <si>
    <t>SARAH BERT</t>
  </si>
  <si>
    <t>MBR0021389</t>
  </si>
  <si>
    <t>jenboseley@gmail.com</t>
  </si>
  <si>
    <t xml:space="preserve">24 GORDON STREET </t>
  </si>
  <si>
    <t>GLENELG</t>
  </si>
  <si>
    <t xml:space="preserve">Boseley </t>
  </si>
  <si>
    <t>JACQUELYN</t>
  </si>
  <si>
    <t>GILLIS</t>
  </si>
  <si>
    <t>MBR0022045</t>
  </si>
  <si>
    <t>jbgillis21@gmail.com</t>
  </si>
  <si>
    <t>Gillis - booking email sent 2002</t>
  </si>
  <si>
    <t>PINDARA PRIVATE HOSPITAL</t>
  </si>
  <si>
    <t>OLERATO</t>
  </si>
  <si>
    <t>REGOENG</t>
  </si>
  <si>
    <t>Rachel</t>
  </si>
  <si>
    <t>MBR0024809</t>
  </si>
  <si>
    <t>glorious755@gmail.com</t>
  </si>
  <si>
    <t>1@10</t>
  </si>
  <si>
    <t>ALLCHURCH AVE</t>
  </si>
  <si>
    <t>BENOWA</t>
  </si>
  <si>
    <t>GOLD COAST UNIVERSITY HOSPITAL</t>
  </si>
  <si>
    <t>WARDS RN 1.3</t>
  </si>
  <si>
    <t>JILLIAN</t>
  </si>
  <si>
    <t>PETRUNIA</t>
  </si>
  <si>
    <t>EM</t>
  </si>
  <si>
    <t>MBR0027182</t>
  </si>
  <si>
    <t>jillpetrunia@gmail.com</t>
  </si>
  <si>
    <t>1 HOSPITAL BOULEVARD</t>
  </si>
  <si>
    <t>SOUTHPORT</t>
  </si>
  <si>
    <t>Created by Payroll Officer.</t>
  </si>
  <si>
    <t>ST VINCENTS PRIVATE FITZROY</t>
  </si>
  <si>
    <t>GERRY</t>
  </si>
  <si>
    <t>MAHONEY</t>
  </si>
  <si>
    <t>MBR0027325</t>
  </si>
  <si>
    <t>gerryerin1@hotmail.com</t>
  </si>
  <si>
    <t>59-61 VICTORIA PARADE</t>
  </si>
  <si>
    <t>FITZROY</t>
  </si>
  <si>
    <t xml:space="preserve">EMPREVO </t>
  </si>
  <si>
    <t xml:space="preserve">SHIFT EDITED BY USER KATE 22/02/2026 19:05 </t>
  </si>
  <si>
    <t>GREEN</t>
  </si>
  <si>
    <t>ELLAD</t>
  </si>
  <si>
    <t>MBR0025320</t>
  </si>
  <si>
    <t>jcgreen@adam.com.au</t>
  </si>
  <si>
    <t>*CWH*-JENNY BOSELEY PULLED OUT. Double at GDS Lazarte: Boseley-Off roster =</t>
  </si>
  <si>
    <t>Berry - booking email sent 20/02</t>
  </si>
  <si>
    <t>ROBERT</t>
  </si>
  <si>
    <t>LEGGET</t>
  </si>
  <si>
    <t>SARAH MORTIMER</t>
  </si>
  <si>
    <t>MBR0025203</t>
  </si>
  <si>
    <t>rslegget@gmail.com</t>
  </si>
  <si>
    <t>Auto book 17/02</t>
  </si>
  <si>
    <t>LEVEL 7- COLORECTAL</t>
  </si>
  <si>
    <t>REC RN Y9</t>
  </si>
  <si>
    <t>HAND</t>
  </si>
  <si>
    <t>MBR0026897</t>
  </si>
  <si>
    <t>shaunahand@gmail.com</t>
  </si>
  <si>
    <t>NGA KWO</t>
  </si>
  <si>
    <t>CHONG</t>
  </si>
  <si>
    <t>MBR0027483</t>
  </si>
  <si>
    <t>chongngakwo.cnk@gmail.com</t>
  </si>
  <si>
    <t>BEAULAH</t>
  </si>
  <si>
    <t xml:space="preserve">	CONFIRMATION EMAIL SENT 23/2</t>
  </si>
  <si>
    <t>[ID-LLY324]</t>
  </si>
  <si>
    <t>WESTMEAD PRIVATE HOSPITAL</t>
  </si>
  <si>
    <t>MATERNITY</t>
  </si>
  <si>
    <t>HUI</t>
  </si>
  <si>
    <t>BAO</t>
  </si>
  <si>
    <t>NARELLE TESSIER</t>
  </si>
  <si>
    <t>MBR0024435</t>
  </si>
  <si>
    <t>Huibao534@gmail.com</t>
  </si>
  <si>
    <t>CORNER MONS AND DARCY ROAD</t>
  </si>
  <si>
    <t>WESTMEAD</t>
  </si>
  <si>
    <t>BRENNAN</t>
  </si>
  <si>
    <t>MBR0027087</t>
  </si>
  <si>
    <t>brennan.robyn@gmail.com</t>
  </si>
  <si>
    <t>16@23</t>
  </si>
  <si>
    <t>ST ANDREWS WAR MEMORIAL HOSPITAL</t>
  </si>
  <si>
    <t>2F- 40249</t>
  </si>
  <si>
    <t>UNITINGCARE HEALTH</t>
  </si>
  <si>
    <t xml:space="preserve">PCA+ AIN+ </t>
  </si>
  <si>
    <t>NORTH STREET</t>
  </si>
  <si>
    <t>[ID-LMM821]</t>
  </si>
  <si>
    <t>SS-GYNAE</t>
  </si>
  <si>
    <t>WINCESLAO</t>
  </si>
  <si>
    <t>ALTES</t>
  </si>
  <si>
    <t>MBR0024672</t>
  </si>
  <si>
    <t>Alteswinceslao@yahoo.com</t>
  </si>
  <si>
    <t>HELEN</t>
  </si>
  <si>
    <t>WILMORE</t>
  </si>
  <si>
    <t>MBR0021465</t>
  </si>
  <si>
    <t>MADDY_93@HOTMAIL.COM</t>
  </si>
  <si>
    <t>2@13</t>
  </si>
  <si>
    <t xml:space="preserve">. . Declined from Mobile. Declined from Mobile. </t>
  </si>
  <si>
    <t>cameron</t>
  </si>
  <si>
    <t>ASHLEYR</t>
  </si>
  <si>
    <t>Cameron</t>
  </si>
  <si>
    <t xml:space="preserve">Member has Accepted. REQ Arnel </t>
  </si>
  <si>
    <t>KAIWEN</t>
  </si>
  <si>
    <t>HUANG</t>
  </si>
  <si>
    <t>FAYE</t>
  </si>
  <si>
    <t>MBR0023209</t>
  </si>
  <si>
    <t>ubisoftoceania@gmail.com</t>
  </si>
  <si>
    <t>FAYE BTEDDINI</t>
  </si>
  <si>
    <t xml:space="preserve">SHIFT EDITED BY USER ELLAD 23/02/2026 18:19 Member has Accepted. </t>
  </si>
  <si>
    <t>BURRA HOSPITAL</t>
  </si>
  <si>
    <t>WARDS ACUTE BURRA</t>
  </si>
  <si>
    <t xml:space="preserve">WARDS+ </t>
  </si>
  <si>
    <t>CAROLYN</t>
  </si>
  <si>
    <t>KEARON</t>
  </si>
  <si>
    <t>MBR0023217</t>
  </si>
  <si>
    <t>cjkearon@outlook.com</t>
  </si>
  <si>
    <t>46 COMMERCIAL STREET</t>
  </si>
  <si>
    <t>BURRA</t>
  </si>
  <si>
    <t>Member has Accepted. [ID-LIZ206]Req Kearon</t>
  </si>
  <si>
    <t>[ID-LIZ206]</t>
  </si>
  <si>
    <t>DR</t>
  </si>
  <si>
    <t>2@10</t>
  </si>
  <si>
    <t>RECONFIRM BOOKED SHIFT DAY B4 - booking report sent 23/02</t>
  </si>
  <si>
    <t xml:space="preserve">EMERGENCY </t>
  </si>
  <si>
    <t>REC RN G2 Y5+</t>
  </si>
  <si>
    <t>RATANA</t>
  </si>
  <si>
    <t>AKARASRIPRAPAI</t>
  </si>
  <si>
    <t>TORI</t>
  </si>
  <si>
    <t>MBR0020185</t>
  </si>
  <si>
    <t>kimratana@hotmail.com</t>
  </si>
  <si>
    <t xml:space="preserve">SHIFT EDITED BY USER ELLAD 22/02/2026 10:41 Member has Accepted. </t>
  </si>
  <si>
    <t>CABRINI MALVERN</t>
  </si>
  <si>
    <t>3 WEST- MED GERONTOLOGY</t>
  </si>
  <si>
    <t>CABRINI FOUNDATION</t>
  </si>
  <si>
    <t>RN GR2 Y10</t>
  </si>
  <si>
    <t>UMARU</t>
  </si>
  <si>
    <t>JALLOH</t>
  </si>
  <si>
    <t>MBR0020860</t>
  </si>
  <si>
    <t>umarusj23@gmail.com</t>
  </si>
  <si>
    <t>181 WATTLETREE ROAD</t>
  </si>
  <si>
    <t>MALVERN</t>
  </si>
  <si>
    <t>SHIFT EDITED BY USER ELLAD 23/02/2026 19:26 Member has Accepted. CLIENT CONFIRMED UMARU JALLOH</t>
  </si>
  <si>
    <t>WARD 4 FLOOR</t>
  </si>
  <si>
    <t>GURPREET</t>
  </si>
  <si>
    <t>SINGH</t>
  </si>
  <si>
    <t>Jan</t>
  </si>
  <si>
    <t>MBR0027628</t>
  </si>
  <si>
    <t>singh13295@outlook.com</t>
  </si>
  <si>
    <t>JAN</t>
  </si>
  <si>
    <t xml:space="preserve">Booking email sent Jan Hannigan 12/02: 17/02 </t>
  </si>
  <si>
    <t>BELEURA PRIVATE HOSPITAL</t>
  </si>
  <si>
    <t>HDU</t>
  </si>
  <si>
    <t xml:space="preserve">HDU+ </t>
  </si>
  <si>
    <t xml:space="preserve"> Accepted from Mobile. </t>
  </si>
  <si>
    <t xml:space="preserve">925 NEPEAN HIGHWAY </t>
  </si>
  <si>
    <t>MORNINGTON</t>
  </si>
  <si>
    <t>Member has Accepted. CLIENT CONFIRMED PERO TOPALOVIC Shift Release from Cascom</t>
  </si>
  <si>
    <t>IN CHARGE[ID-LJI895]</t>
  </si>
  <si>
    <t>Shift Release from Cascom</t>
  </si>
  <si>
    <t>[ID-LMQ428]</t>
  </si>
  <si>
    <t>IRENE NAUTU</t>
  </si>
  <si>
    <t>Member has Accepted. CLIENT CONFIRMED MICHAEL WEAVER</t>
  </si>
  <si>
    <t>MUSKAN</t>
  </si>
  <si>
    <t>SATIJA</t>
  </si>
  <si>
    <t>TANYA DEARDEN</t>
  </si>
  <si>
    <t>MBR0027496</t>
  </si>
  <si>
    <t>muskansatija60@gmail.com</t>
  </si>
  <si>
    <t>PRE BOOKING</t>
  </si>
  <si>
    <t>NO ANSWER CLIENT x2 Member has Accepted. DUPLICATE TO REPLACE DHAVNI SINGLA</t>
  </si>
  <si>
    <t>RHONDA</t>
  </si>
  <si>
    <t xml:space="preserve">SHIFT EDITED BY USER KATE 23/02/2026 22:56 SHIFT EDITED BY USER KATE 23/02/2026 22:56 </t>
  </si>
  <si>
    <t>SAT</t>
  </si>
  <si>
    <t>5@6</t>
  </si>
  <si>
    <t>TUE</t>
  </si>
  <si>
    <t>ALEXIS</t>
  </si>
  <si>
    <t>MAI</t>
  </si>
  <si>
    <t>MBR0023468</t>
  </si>
  <si>
    <t>alexismai99@outlook.com</t>
  </si>
  <si>
    <t>SAM</t>
  </si>
  <si>
    <t>5@15</t>
  </si>
  <si>
    <t>STCH WAS 6AM BOOKING REPORT SENT 23/2</t>
  </si>
  <si>
    <t>SEVAN WATSON</t>
  </si>
  <si>
    <t>SHIFT EDITED BY USER KATE 23/02/2026 19:08 STCH WAS 1230 (SEVAN) CONFIMATION EMAIL SENT 23/2</t>
  </si>
  <si>
    <t>ST ANDREWS</t>
  </si>
  <si>
    <t>PINIDIYA P J ROSHAIN</t>
  </si>
  <si>
    <t>PERERA</t>
  </si>
  <si>
    <t>JORDAN WOODARD</t>
  </si>
  <si>
    <t>prf0000862</t>
  </si>
  <si>
    <t>MBR0024088</t>
  </si>
  <si>
    <t>roshain.perera23@gmail.com</t>
  </si>
  <si>
    <t>Member has Accepted. Auto book 02/02-SFTCH 7.00-15.00</t>
  </si>
  <si>
    <t>Roshain Perera please</t>
  </si>
  <si>
    <t>RACHEL</t>
  </si>
  <si>
    <t>KELLY</t>
  </si>
  <si>
    <t>MBR0011752</t>
  </si>
  <si>
    <t>JAZZ_PURPLE@YAHOO.COM</t>
  </si>
  <si>
    <t>4@10</t>
  </si>
  <si>
    <t xml:space="preserve">. Declined from Mobile. </t>
  </si>
  <si>
    <t>SARAH</t>
  </si>
  <si>
    <t>ESIENAKIFE</t>
  </si>
  <si>
    <t>Pre Booking</t>
  </si>
  <si>
    <t>MBR0026831</t>
  </si>
  <si>
    <t>elizabeth140@hotmail.co.uk</t>
  </si>
  <si>
    <t>4@18</t>
  </si>
  <si>
    <t xml:space="preserve">Accepted from Mobile. PREBOOKING - LEAVE FOR QLD </t>
  </si>
  <si>
    <t>SOMERSET PRIVATE HOSPITAL</t>
  </si>
  <si>
    <t>TAYLAH</t>
  </si>
  <si>
    <t>CLUSS</t>
  </si>
  <si>
    <t>ann</t>
  </si>
  <si>
    <t>MBR0027281</t>
  </si>
  <si>
    <t>taylah.cluss@gmail.com</t>
  </si>
  <si>
    <t xml:space="preserve"> LEVEL 1  38 SOMERSET STREET</t>
  </si>
  <si>
    <t>ANN</t>
  </si>
  <si>
    <t>LVM - STCH WAS 7AM  BOOKING REPORT SENT 23/2</t>
  </si>
  <si>
    <t>Booking email sent 24/02</t>
  </si>
  <si>
    <t>BEVERLEY</t>
  </si>
  <si>
    <t>FITZPATRICK</t>
  </si>
  <si>
    <t>MBR0011853</t>
  </si>
  <si>
    <t>beverleyfitzpatrick555@hotmail.com</t>
  </si>
  <si>
    <t>15@18</t>
  </si>
  <si>
    <t>BOOKING REPORT SENT 23/2</t>
  </si>
  <si>
    <t>DEBRA</t>
  </si>
  <si>
    <t>GROGAN</t>
  </si>
  <si>
    <t>SHERREEN JASSAL</t>
  </si>
  <si>
    <t>MBR0021838</t>
  </si>
  <si>
    <t>deblittlefrog@bigpond.com</t>
  </si>
  <si>
    <t>Booking email sent 04/02-SFTCH 12.30-18.30</t>
  </si>
  <si>
    <t>EILA JAN</t>
  </si>
  <si>
    <t>ZUNIGA</t>
  </si>
  <si>
    <t>MBR0025853</t>
  </si>
  <si>
    <t>eilazuniga1994@gmail.com</t>
  </si>
  <si>
    <t>Booking email sent 17/02-SFTCH 12.30-20.30</t>
  </si>
  <si>
    <t>EPWORTH EASTERN</t>
  </si>
  <si>
    <t>EPWORTH GROUP</t>
  </si>
  <si>
    <t xml:space="preserve"> Shift Status is TIMESHEET SUBMITTED JOB END Date Updated </t>
  </si>
  <si>
    <t>1 ARNOLD STREET</t>
  </si>
  <si>
    <t>BOX HILL</t>
  </si>
  <si>
    <t xml:space="preserve">SHIFT EDITED BY USER VERTEXLS 01/03/2026 11:28 Member has Accepted. SHIFT EDITED BY USER KATE 23/02/2026 16:33 STCH WAS 0730 (JOEL) Member has Accepted. </t>
  </si>
  <si>
    <t>FRESHWATER DAY SURGERY</t>
  </si>
  <si>
    <t>SS-DENTAL</t>
  </si>
  <si>
    <t>staff central</t>
  </si>
  <si>
    <t>10 DALE STREET</t>
  </si>
  <si>
    <t>BROOKVALE</t>
  </si>
  <si>
    <t>CONFIRMED 23/2</t>
  </si>
  <si>
    <t>TIMOR 6- REPAT</t>
  </si>
  <si>
    <t>AARTS</t>
  </si>
  <si>
    <t>MBR0024241</t>
  </si>
  <si>
    <t>jenniferaarts82@hotmail.com</t>
  </si>
  <si>
    <t>RECONFIRM BOOKED SHIFT DAY B4 -booking report sent 23/02:24/02</t>
  </si>
  <si>
    <t>MACKAY BASE HOSPITAL</t>
  </si>
  <si>
    <t>WARDS RN Y1-4</t>
  </si>
  <si>
    <t>KAYA</t>
  </si>
  <si>
    <t>WOOLSGROVE</t>
  </si>
  <si>
    <t>AMANDA WALTERS</t>
  </si>
  <si>
    <t>MBR0025889</t>
  </si>
  <si>
    <t>kwoolsgrove@hotmail.co.uk</t>
  </si>
  <si>
    <t>475 BRIDGE RD</t>
  </si>
  <si>
    <t>MACKAY</t>
  </si>
  <si>
    <t>Rhonde</t>
  </si>
  <si>
    <t>MATER HOSPITAL NORTH SYDNEY</t>
  </si>
  <si>
    <t>LAURA</t>
  </si>
  <si>
    <t>FITZGERALD</t>
  </si>
  <si>
    <t>LORRAINE</t>
  </si>
  <si>
    <t>MBR0023822</t>
  </si>
  <si>
    <t>laurafitzgerald15@gmail.com</t>
  </si>
  <si>
    <t>25 ROCKLANDS ROAD</t>
  </si>
  <si>
    <t>NORTH SYDNEY</t>
  </si>
  <si>
    <t>SHIFT EDITED BY USER VERTEXLS 01/03/2026 11:37 CLIENT CONFIRMED LAURA FITZGERALD</t>
  </si>
  <si>
    <t>beverly</t>
  </si>
  <si>
    <t>SIMONE</t>
  </si>
  <si>
    <t xml:space="preserve">block booking req by beverly Member has Accepted. </t>
  </si>
  <si>
    <t>MARICEL</t>
  </si>
  <si>
    <t>EMPACES</t>
  </si>
  <si>
    <t>MBR0023674</t>
  </si>
  <si>
    <t>mariaunodostres@hotmail.com</t>
  </si>
  <si>
    <t>4@15</t>
  </si>
  <si>
    <t>Member has Accepted. STCH WAS 12PM Member has Accepted. LVM</t>
  </si>
  <si>
    <t>BOLTON CLARKE MAINTENANCE</t>
  </si>
  <si>
    <t>ZILZIE</t>
  </si>
  <si>
    <t>MAINT</t>
  </si>
  <si>
    <t>NOEL</t>
  </si>
  <si>
    <t>EDWARDS</t>
  </si>
  <si>
    <t>matthew</t>
  </si>
  <si>
    <t>MBR0026036</t>
  </si>
  <si>
    <t>NJEDWARDS52@GMAIL.COM</t>
  </si>
  <si>
    <t>LEVEL 3  44 MUSK AVENUE</t>
  </si>
  <si>
    <t>KELVIN GROVE</t>
  </si>
  <si>
    <t>PHYLLIS</t>
  </si>
  <si>
    <t>BOATENG-ADIGAO</t>
  </si>
  <si>
    <t>steh</t>
  </si>
  <si>
    <t>MBR0021499</t>
  </si>
  <si>
    <t>phyl@y7mail.com</t>
  </si>
  <si>
    <t>SHIFT EDITED BY USER VERTEXLS 01/03/2026 11:35 . BOOKING REPORT SENT 23/2</t>
  </si>
  <si>
    <t>DOSA</t>
  </si>
  <si>
    <t>ROSLYN</t>
  </si>
  <si>
    <t>MBR0024821</t>
  </si>
  <si>
    <t>rozzie1968@hotmail.com</t>
  </si>
  <si>
    <t>Sienna</t>
  </si>
  <si>
    <t>Booking email sent 17/02-STCH  9.00</t>
  </si>
  <si>
    <t>SUSHILA</t>
  </si>
  <si>
    <t>AGNIHOTRI</t>
  </si>
  <si>
    <t>MBR0022135</t>
  </si>
  <si>
    <t>sushagni888@gmail.com</t>
  </si>
  <si>
    <t>cwh 23/2</t>
  </si>
  <si>
    <t>SS-UROLOGY</t>
  </si>
  <si>
    <t>AYESHA</t>
  </si>
  <si>
    <t>PATEL</t>
  </si>
  <si>
    <t>MBR0027334</t>
  </si>
  <si>
    <t>Ayeshapatel263@yahoo.co.uk</t>
  </si>
  <si>
    <t>ROYAL VICTORIAN EYE AND EAR HOSPITAL</t>
  </si>
  <si>
    <t>VIC HEALTH</t>
  </si>
  <si>
    <t>CRISTY</t>
  </si>
  <si>
    <t>PAN</t>
  </si>
  <si>
    <t>GSIGI</t>
  </si>
  <si>
    <t>MBR0024708</t>
  </si>
  <si>
    <t>Cristy.pamugas09@gmail.com</t>
  </si>
  <si>
    <t>32 GISBORNE STREET</t>
  </si>
  <si>
    <t>EAST MELBOURNE</t>
  </si>
  <si>
    <t>CC</t>
  </si>
  <si>
    <t xml:space="preserve">SHIFT EDITED BY USER VERTEXLS 01/03/2026 11:28 Member has Accepted. </t>
  </si>
  <si>
    <t>ALLOCATIONS</t>
  </si>
  <si>
    <t>PCA</t>
  </si>
  <si>
    <t>KELLIE</t>
  </si>
  <si>
    <t>SOLOMONS</t>
  </si>
  <si>
    <t>MBR0026541</t>
  </si>
  <si>
    <t>kelliesolomons@hotmail.com</t>
  </si>
  <si>
    <t>Reserved for Marie Milloy</t>
  </si>
  <si>
    <t>TAIWO</t>
  </si>
  <si>
    <t>AGBEDE</t>
  </si>
  <si>
    <t>MBR0026800</t>
  </si>
  <si>
    <t>taiwoagbede@yahoo.com</t>
  </si>
  <si>
    <t>Auto book 16/02</t>
  </si>
  <si>
    <t>SHIFT EDITED BY USER KATE 24/02/2026 18:17 CONTRACT</t>
  </si>
  <si>
    <t>Jody Forbes</t>
  </si>
  <si>
    <t>Jody</t>
  </si>
  <si>
    <t>Member has Accepted. REQ BY SCHOOL</t>
  </si>
  <si>
    <t>Sonia</t>
  </si>
  <si>
    <t>16@18</t>
  </si>
  <si>
    <t>SUJANA</t>
  </si>
  <si>
    <t>SHARMA</t>
  </si>
  <si>
    <t>MBR0027060</t>
  </si>
  <si>
    <t>kandelsuzna@gmail.com</t>
  </si>
  <si>
    <t>Member has Accepted. Duplicate to replace S A Marsh-Fay: Sharma Booking email sent 23/02</t>
  </si>
  <si>
    <t>CENTRAL BRISBANE EYE CLINIC</t>
  </si>
  <si>
    <t>THEATRES</t>
  </si>
  <si>
    <t>JACQUI ADAM</t>
  </si>
  <si>
    <t>WATKINS MEDICAL CENTRE</t>
  </si>
  <si>
    <t xml:space="preserve">LEVEL 5 225 WICKHAM TERRACE </t>
  </si>
  <si>
    <t>Member has Accepted. REQUESTED BY FAC</t>
  </si>
  <si>
    <t>DARYL</t>
  </si>
  <si>
    <t>HO</t>
  </si>
  <si>
    <t>MBR0026405</t>
  </si>
  <si>
    <t>daryl.ho@hotmail.com</t>
  </si>
  <si>
    <t>Ho - booking report sent 16/01</t>
  </si>
  <si>
    <t>SUNNYBANK PRIVATE HOSPITAL BRISBANE</t>
  </si>
  <si>
    <t>EMILY</t>
  </si>
  <si>
    <t>Marita</t>
  </si>
  <si>
    <t>MBR0027584</t>
  </si>
  <si>
    <t>Emily.wilson.1@hotmail.com</t>
  </si>
  <si>
    <t>245 MCCULLOUGH STREET</t>
  </si>
  <si>
    <t>SUNNYBANK</t>
  </si>
  <si>
    <t>MICHELLE</t>
  </si>
  <si>
    <t xml:space="preserve">x2 calls attempted to book Accepted from Mobile. </t>
  </si>
  <si>
    <t>JAVIER</t>
  </si>
  <si>
    <t>REATEGUI</t>
  </si>
  <si>
    <t>arun</t>
  </si>
  <si>
    <t>MBR0020966</t>
  </si>
  <si>
    <t>campeon1@live.com.au</t>
  </si>
  <si>
    <t>Serein</t>
  </si>
  <si>
    <t>LUCY</t>
  </si>
  <si>
    <t>MUSSARED</t>
  </si>
  <si>
    <t>MBR0026661</t>
  </si>
  <si>
    <t>lucy.rose.willoughby@gmail.com</t>
  </si>
  <si>
    <t>AMANDA</t>
  </si>
  <si>
    <t>Member has Accepted. Confirm to Amanda 0296504351</t>
  </si>
  <si>
    <t>CATHERINE</t>
  </si>
  <si>
    <t>GORHAM</t>
  </si>
  <si>
    <t>BLOCK BOOKING/ BEVERLY</t>
  </si>
  <si>
    <t>MBR0026864</t>
  </si>
  <si>
    <t>loopa_girl@hotmail.com</t>
  </si>
  <si>
    <t>BEVERLY</t>
  </si>
  <si>
    <t xml:space="preserve">SHIFT EDITED BY USER VERTEXLS 01/03/2026 11:32 Member has Accepted. SHIFT EDITED BY USER KATE 23/02/2026 20:46 STCH WAS 0800-1730 (BRIDGET) Accepted from Mobile. BLOCK BOOKING REQUEST FROM BEVERLY </t>
  </si>
  <si>
    <t>not signed</t>
  </si>
  <si>
    <t>QUEEN ELIZABETH HOSPITAL</t>
  </si>
  <si>
    <t>PREGNANCY ADVISORY CENTRE</t>
  </si>
  <si>
    <t>JODI ANNE</t>
  </si>
  <si>
    <t>ZERELLA</t>
  </si>
  <si>
    <t>HELEN GIBBONS</t>
  </si>
  <si>
    <t>MBR0023941</t>
  </si>
  <si>
    <t>thewundenbergs@internode.on.net</t>
  </si>
  <si>
    <t>THE QUEEN ELIZABETH HOSPITAL</t>
  </si>
  <si>
    <t>28 WOODVILLE ROAD</t>
  </si>
  <si>
    <t>WOODVILLE</t>
  </si>
  <si>
    <t>LVM Berry Off roster=Tran: philip: Peeling: Tandor: Ismail: Seen: Nybo</t>
  </si>
  <si>
    <t>NICHOLAS</t>
  </si>
  <si>
    <t>GOODFELLOW</t>
  </si>
  <si>
    <t>MBR0025654</t>
  </si>
  <si>
    <t>fiano.goodfellow22@gmail.com</t>
  </si>
  <si>
    <t>Member has Accepted. Booking email sent 17/02-STCH 8.00</t>
  </si>
  <si>
    <t>Member has Accepted. LVM - STCH WAS 07:30  BOOKING REPORT SENT 23/2</t>
  </si>
  <si>
    <t>ANGELA</t>
  </si>
  <si>
    <t>BEVEN</t>
  </si>
  <si>
    <t>EMILY GRAFTON</t>
  </si>
  <si>
    <t>MBR0026813</t>
  </si>
  <si>
    <t>angelabeven17@gmail.com</t>
  </si>
  <si>
    <t xml:space="preserve">Beven </t>
  </si>
  <si>
    <t>6@15</t>
  </si>
  <si>
    <t xml:space="preserve">Member has Accepted. . Declined from Mobile. STCH WAS 7AM Member has Accepted. </t>
  </si>
  <si>
    <t>ORIANA</t>
  </si>
  <si>
    <t>COOK</t>
  </si>
  <si>
    <t>MBR0024263</t>
  </si>
  <si>
    <t>mjolcook@tpg.com.au</t>
  </si>
  <si>
    <t>SHIFT EDITED BY USER VERTEXLS 01/03/2026 11:29 *RCN** S/S = SCO-STCH 7.00-15.00</t>
  </si>
  <si>
    <t xml:space="preserve">SHIFT EDITED BY USER VERTEXLS 01/03/2026 11:37 SHIFT EDITED BY USER KATE 23/02/2026 19:33 STCH WAS 1200-2000 (ANJA) Member has Accepted. SHIFT EDITED BY USER KATE 23/02/2026 18:43 </t>
  </si>
  <si>
    <t>SUN</t>
  </si>
  <si>
    <t>MISC- TRAVEL</t>
  </si>
  <si>
    <t xml:space="preserve"> Shift Status is SHIFT BOOKED JOB END Date Updated </t>
  </si>
  <si>
    <t xml:space="preserve">SHIFT EDITED BY USER SHANNON 03/02/2026 14:24 SHIFT EDITED BY USER SHANNON 03/02/2026 14:23 </t>
  </si>
  <si>
    <t>GURNEY WARD</t>
  </si>
  <si>
    <t>CIARA</t>
  </si>
  <si>
    <t>HEFFERNAN</t>
  </si>
  <si>
    <t>MBR0027186</t>
  </si>
  <si>
    <t>ciaracj2104@gmail.com</t>
  </si>
  <si>
    <t>Shift Edited by SHELBY at 27/01/2026 14:10. Member has Accepted. Rqst Heffernan</t>
  </si>
  <si>
    <t>POST NATAL</t>
  </si>
  <si>
    <t>POSTNATAL MID Y8</t>
  </si>
  <si>
    <t>ARIELLE</t>
  </si>
  <si>
    <t>FRANKEL</t>
  </si>
  <si>
    <t>MBR0024186</t>
  </si>
  <si>
    <t>arielle.frankel@hotmail.com</t>
  </si>
  <si>
    <t>SHIFT EDITED BY USER ELLAD 01/02/2026 08:20 SHIFT EDITED BY USER ELLAD 01/02/2026 08:20 Shift Release from Cascom</t>
  </si>
  <si>
    <t>[ID-LHO123]</t>
  </si>
  <si>
    <t>4@4</t>
  </si>
  <si>
    <t>EPWORTH GEELONG</t>
  </si>
  <si>
    <t>5 WEST- MED ONCOLOGY</t>
  </si>
  <si>
    <t>HARNOOR</t>
  </si>
  <si>
    <t>KAUR</t>
  </si>
  <si>
    <t>MBR0027422</t>
  </si>
  <si>
    <t>noormahi0307@gmail.com</t>
  </si>
  <si>
    <t>1 EPWORTH PLACE</t>
  </si>
  <si>
    <t>WAURN PONDS</t>
  </si>
  <si>
    <t>Member has Accepted. CLIENT CONFIRMED HARNOOR KAUR</t>
  </si>
  <si>
    <t>AMY</t>
  </si>
  <si>
    <t>MOLLOY</t>
  </si>
  <si>
    <t>MBR0023271</t>
  </si>
  <si>
    <t>a_molloy88@hotmail.co.uk</t>
  </si>
  <si>
    <t>BOOKING REPORT SENT 30/1</t>
  </si>
  <si>
    <t>MULGRAVE PRIVATE HOSPITAL</t>
  </si>
  <si>
    <t>NAVJOT KAUR</t>
  </si>
  <si>
    <t>CHAHAL</t>
  </si>
  <si>
    <t>CATHY</t>
  </si>
  <si>
    <t>MBR0020581</t>
  </si>
  <si>
    <t>monganavjot@gmail.com</t>
  </si>
  <si>
    <t>BLANTON DRIVE</t>
  </si>
  <si>
    <t>MULGRAVE</t>
  </si>
  <si>
    <t xml:space="preserve">Member has Accepted. CLIENT CONFIRMED NAVJOT CHAHAL </t>
  </si>
  <si>
    <t>INTENSIVE CARE UNIT</t>
  </si>
  <si>
    <t>PORTIA</t>
  </si>
  <si>
    <t>MAZHAKATA</t>
  </si>
  <si>
    <t>LEAH</t>
  </si>
  <si>
    <t>MBR0023175</t>
  </si>
  <si>
    <t>portiamazh@hotmail.com</t>
  </si>
  <si>
    <t>11@11</t>
  </si>
  <si>
    <t>NARELLE SUTTON</t>
  </si>
  <si>
    <t>Member has Accepted. LVM CLIENT CONFIRMED PORTIA MAZHAKATA</t>
  </si>
  <si>
    <t xml:space="preserve">BARRY OAKE                          </t>
  </si>
  <si>
    <t>1@15</t>
  </si>
  <si>
    <t>RECONFIRM BOOKED SHIFT DAY B4 -Wang booking report sent 30/01</t>
  </si>
  <si>
    <t>STEWART</t>
  </si>
  <si>
    <t>MBR0025107</t>
  </si>
  <si>
    <t>veronicamary2504@gmail.com</t>
  </si>
  <si>
    <t>RECONFIRM BOOKED SHIFT DAY B4-booking report sent 30/01</t>
  </si>
  <si>
    <t>ED RN C</t>
  </si>
  <si>
    <t>HIRST</t>
  </si>
  <si>
    <t>Rosa</t>
  </si>
  <si>
    <t>MBR0020292</t>
  </si>
  <si>
    <t>amanda1971rug@yahoo.com</t>
  </si>
  <si>
    <t>LOUISA CROSBY</t>
  </si>
  <si>
    <t xml:space="preserve">SHIFT EDITED BY USER AEVANS 01/02/2026 19:47 Member has Accepted. </t>
  </si>
  <si>
    <t>EPWORTH FREEMASONS</t>
  </si>
  <si>
    <t>1 WEST - GYNAE</t>
  </si>
  <si>
    <t>166 CLARENDON ST</t>
  </si>
  <si>
    <t xml:space="preserve">Member has Accepted. CLIENT CONFIRMED ELLA MIDDLETON </t>
  </si>
  <si>
    <t>RN GR2 Y3</t>
  </si>
  <si>
    <t>MAEVE</t>
  </si>
  <si>
    <t>FILEN</t>
  </si>
  <si>
    <t>MBR0027524</t>
  </si>
  <si>
    <t>maevefilen99@gmail.com</t>
  </si>
  <si>
    <t xml:space="preserve">SHIFT EDITED BY USER KATE 01/02/2026 18:59 No longer on shiftmatch. Member has Accepted. </t>
  </si>
  <si>
    <t>T2</t>
  </si>
  <si>
    <t>888941_1</t>
  </si>
  <si>
    <t>Shift Created to Adjust the Pay against the Docket no. 888941</t>
  </si>
  <si>
    <t>888941_2</t>
  </si>
  <si>
    <t>12 hours in overtime for the week (50 hours worked)</t>
  </si>
  <si>
    <t>THE PRINCE CHARLES HOSPITAL</t>
  </si>
  <si>
    <t>WARDS EN 1.2</t>
  </si>
  <si>
    <t>SUTHERLAND</t>
  </si>
  <si>
    <t>MBR0027463</t>
  </si>
  <si>
    <t>ag.sutherland07@gmail.com</t>
  </si>
  <si>
    <t xml:space="preserve"> 627 RODE RD  CHERMSIDE QLD 4032</t>
  </si>
  <si>
    <t>CHERMSIDE SOUTH</t>
  </si>
  <si>
    <t>IN CHARGE</t>
  </si>
  <si>
    <t>CITY FERTILITY BRISBANE SOUTHSIDE</t>
  </si>
  <si>
    <t>CFC GLOBAL</t>
  </si>
  <si>
    <t>Davina</t>
  </si>
  <si>
    <t>SUITE 33  LEVEL 2</t>
  </si>
  <si>
    <t>*CWH* LINNA ZHANG PULLED OUT. LVM  Nancy aware NLG-Axford : Wahrbichler (no) L Zhang-email sent 30/01 booking off Zhang</t>
  </si>
  <si>
    <t>hayley</t>
  </si>
  <si>
    <t>1@19</t>
  </si>
  <si>
    <t>Prebooking/Alice Brown</t>
  </si>
  <si>
    <t>29@56</t>
  </si>
  <si>
    <t>EML to fac to confirm prebooking as per Kirsty Thorleys request. Awaiting response</t>
  </si>
  <si>
    <t>ALBEES</t>
  </si>
  <si>
    <t>SKARIA</t>
  </si>
  <si>
    <t>MBR0027470</t>
  </si>
  <si>
    <t>albe.skaria4@gmail.com</t>
  </si>
  <si>
    <t>1@47</t>
  </si>
  <si>
    <t>Booking report sent 02/02</t>
  </si>
  <si>
    <t xml:space="preserve">ANNE SCIACCA                       </t>
  </si>
  <si>
    <t>PRF0002002</t>
  </si>
  <si>
    <t>Booking email sent 22/01</t>
  </si>
  <si>
    <t>Analisa FAbro please</t>
  </si>
  <si>
    <t xml:space="preserve">CHERYL MCALLISTER                    </t>
  </si>
  <si>
    <t xml:space="preserve"> Auto book 02/02</t>
  </si>
  <si>
    <t>DAY THEATRE SUITE</t>
  </si>
  <si>
    <t xml:space="preserve">ANA+ </t>
  </si>
  <si>
    <t>Accepted from Mobile. Shift Release from Cascom</t>
  </si>
  <si>
    <t>[ID-LHG606]</t>
  </si>
  <si>
    <t>LAKE VIEW PRIVATE HOSPITAL</t>
  </si>
  <si>
    <t>ENDOSCOPY UNIT</t>
  </si>
  <si>
    <t>SCR-ENDOSCOPY-GENERAL</t>
  </si>
  <si>
    <t>DIGITAL BOOKINGS PLATFORM</t>
  </si>
  <si>
    <t>15-17 SOLENT CIRCUIT</t>
  </si>
  <si>
    <t>Member has Accepted. STCH WAS 7:30 CONFIRMED 30/1</t>
  </si>
  <si>
    <t>JO</t>
  </si>
  <si>
    <t>CLIENT CONFIRMED JENNY HARDING -booking report sent 02/02</t>
  </si>
  <si>
    <t>ROBINA PUBLIC HOSPITAL</t>
  </si>
  <si>
    <t>AFTERHOURS MANAGER</t>
  </si>
  <si>
    <t>2 BAYBERRY LANE</t>
  </si>
  <si>
    <t>ROBINA</t>
  </si>
  <si>
    <t>judy</t>
  </si>
  <si>
    <t>SUMEE</t>
  </si>
  <si>
    <t>Member has Accepted. lvm Phyllis boateng</t>
  </si>
  <si>
    <t>LILI</t>
  </si>
  <si>
    <t>ZHOU</t>
  </si>
  <si>
    <t>MBR0020785</t>
  </si>
  <si>
    <t>c3024900@gmail.com</t>
  </si>
  <si>
    <t>2@15</t>
  </si>
  <si>
    <t>PENINSULA PRIVATE</t>
  </si>
  <si>
    <t>CATH LAB</t>
  </si>
  <si>
    <t>CCU RN Y8</t>
  </si>
  <si>
    <t>MEI-LEN</t>
  </si>
  <si>
    <t>THAY</t>
  </si>
  <si>
    <t>889958_1</t>
  </si>
  <si>
    <t>MBR0020486</t>
  </si>
  <si>
    <t>meilen_thay@hotmail.com</t>
  </si>
  <si>
    <t>525 MCCLELLAND DRIVE</t>
  </si>
  <si>
    <t>FRANKSTON</t>
  </si>
  <si>
    <t>Shift Created to Adjust the Pay against the Docket no. 889958</t>
  </si>
  <si>
    <t>889958_2</t>
  </si>
  <si>
    <t>JTHOMPSON</t>
  </si>
  <si>
    <t>SYDNEY DAY SURGERY PRINCE ALFRED</t>
  </si>
  <si>
    <t>RAMI</t>
  </si>
  <si>
    <t>SIVAN</t>
  </si>
  <si>
    <t>NONI</t>
  </si>
  <si>
    <t>MBR0011773</t>
  </si>
  <si>
    <t>RAMI.SIVAN@BIGPOND.COM</t>
  </si>
  <si>
    <t>106/100 CARILLON AVENUE</t>
  </si>
  <si>
    <t>NEWTOWN</t>
  </si>
  <si>
    <t>Noni</t>
  </si>
  <si>
    <t>Member has Accepted. Declined from Mobile. Declined from Mobile. Declined from Mobile. Noni num - 0468695233</t>
  </si>
  <si>
    <t>SAVAHNA</t>
  </si>
  <si>
    <t>LYONS</t>
  </si>
  <si>
    <t>KARISMA</t>
  </si>
  <si>
    <t>MBR0027549</t>
  </si>
  <si>
    <t>savahnalyons@gmail.com</t>
  </si>
  <si>
    <t>Lyons: Dohnt</t>
  </si>
  <si>
    <t>kat</t>
  </si>
  <si>
    <t>MBR0024310</t>
  </si>
  <si>
    <t>shannonleebrennan@gmail.com</t>
  </si>
  <si>
    <t>Kat</t>
  </si>
  <si>
    <t>EPWORTH RICHMOND</t>
  </si>
  <si>
    <t>5 GREY WING- VASC THORACIC PLASTICS</t>
  </si>
  <si>
    <t>LHR807</t>
  </si>
  <si>
    <t>889058_1</t>
  </si>
  <si>
    <t>89 BRIDGE ROAD</t>
  </si>
  <si>
    <t>RICHMOND</t>
  </si>
  <si>
    <t>Shift Created to Adjust the Pay against the Docket no. 889058</t>
  </si>
  <si>
    <t>889058_2</t>
  </si>
  <si>
    <t>Member has Accepted. lvm shauna Hand</t>
  </si>
  <si>
    <t>1@11</t>
  </si>
  <si>
    <t>Plastics/breast endo</t>
  </si>
  <si>
    <t>EPWORTH HAWTHORN</t>
  </si>
  <si>
    <t>BEREKET</t>
  </si>
  <si>
    <t>TSIGE</t>
  </si>
  <si>
    <t>LHR449</t>
  </si>
  <si>
    <t>MBR0023783</t>
  </si>
  <si>
    <t>difa212000@gmail.com</t>
  </si>
  <si>
    <t>50 BURWOOD RD</t>
  </si>
  <si>
    <t>HAWTHORN</t>
  </si>
  <si>
    <t>VALLELY</t>
  </si>
  <si>
    <t>MBR0024247</t>
  </si>
  <si>
    <t>vallelyfamily@bigpond.com</t>
  </si>
  <si>
    <t>8@12</t>
  </si>
  <si>
    <t>KIM GARVAN</t>
  </si>
  <si>
    <t>HELEENE SHAUL</t>
  </si>
  <si>
    <t xml:space="preserve">Member has Accepted. SHIFT EDITED BY USER ELLAD 31/01/2026 09:44 </t>
  </si>
  <si>
    <t>Ortho</t>
  </si>
  <si>
    <t>lvm re stch was 0630 Email sent to Tennyson booking off 30/01</t>
  </si>
  <si>
    <t>SYDNEY DAY SURGERY DARLINGHURST</t>
  </si>
  <si>
    <t>PAUL</t>
  </si>
  <si>
    <t>ALPHONSUS</t>
  </si>
  <si>
    <t>TRINA GOLLA</t>
  </si>
  <si>
    <t>MBR0024037</t>
  </si>
  <si>
    <t>alphonsuspaul5@gmail.com</t>
  </si>
  <si>
    <t>LEVEL 2 213-219 DARLINGHURST ROAD</t>
  </si>
  <si>
    <t>SHIFT EDITED BY USER ELLAD 01/02/2026 11:02 BOOKING REPORT SENT 30/1</t>
  </si>
  <si>
    <t>SAMIRA</t>
  </si>
  <si>
    <t>HUSSAINI</t>
  </si>
  <si>
    <t>esther</t>
  </si>
  <si>
    <t>MBR0025717</t>
  </si>
  <si>
    <t>samira.hussaini1995@gmail.com</t>
  </si>
  <si>
    <t>ftcn was 2358 Member has Accepted. LVM - STCH WAS 7 BOOKING REPORT SENT 30/1</t>
  </si>
  <si>
    <t>Amanda</t>
  </si>
  <si>
    <t>Email sent. awaiting confirmation. SHIFT EDITED BY USER AEVANS 31/01/2026 18:14 stcn was 0630</t>
  </si>
  <si>
    <t>CLARA</t>
  </si>
  <si>
    <t>CONWAY</t>
  </si>
  <si>
    <t>ERICA</t>
  </si>
  <si>
    <t>MBR0025498</t>
  </si>
  <si>
    <t>claraconway99@icloud.com</t>
  </si>
  <si>
    <t>COURTNEY TRENORDEN</t>
  </si>
  <si>
    <t xml:space="preserve">lvm x 2 recovery room mobile Accepted from Mobile. </t>
  </si>
  <si>
    <t>Courtney</t>
  </si>
  <si>
    <t>EMAILED COURTNEY</t>
  </si>
  <si>
    <t xml:space="preserve">REC+ </t>
  </si>
  <si>
    <t>[ID-LHI749]</t>
  </si>
  <si>
    <t>SPOKE WITH RYAN ON THE PHONE - VERBALLY ACCEPTED - WILL CALL IF HE RUNS LATE AS SHORT NOTICE BOOKING</t>
  </si>
  <si>
    <t>Member has Accepted. client confirmed sftch to original  STFTCH WAS 8-4::30 declined no</t>
  </si>
  <si>
    <t>3@22</t>
  </si>
  <si>
    <t>Member has Accepted. stch was 0800 BOOKING REPORT SENT 30/1</t>
  </si>
  <si>
    <t>SOUTHDERM SOUTHERN SUBURBS</t>
  </si>
  <si>
    <t>PAM VIRET</t>
  </si>
  <si>
    <t>MBR0024852</t>
  </si>
  <si>
    <t>amyrose.scheepers@hotmail.com</t>
  </si>
  <si>
    <t xml:space="preserve">47 REGENT STREET </t>
  </si>
  <si>
    <t>KOGARAH</t>
  </si>
  <si>
    <t>OUR GP COMPLEX ASCOT</t>
  </si>
  <si>
    <t>CLINIC</t>
  </si>
  <si>
    <t>OUR GP EMAIL</t>
  </si>
  <si>
    <t>153A RACECOURSE ROAD</t>
  </si>
  <si>
    <t>ASCOT</t>
  </si>
  <si>
    <t>Member has Accepted. RQST Frances</t>
  </si>
  <si>
    <t>Member has Accepted. client confirmed  rqst Lee burrell</t>
  </si>
  <si>
    <t>DOSA L5</t>
  </si>
  <si>
    <t>CONFIRMED 30/1</t>
  </si>
  <si>
    <t>NGOC KHANH UYEN</t>
  </si>
  <si>
    <t>TRAN</t>
  </si>
  <si>
    <t>MBR0023160</t>
  </si>
  <si>
    <t>uyentnk@gmail.com</t>
  </si>
  <si>
    <t>2@6</t>
  </si>
  <si>
    <t>AWAITING REPLY emailed Sarah Bert to see if she needs the 1230-1630 covered or staff member replaced due to ftcn. ftcn was 1630  booking report sent 28/01</t>
  </si>
  <si>
    <t>Karen</t>
  </si>
  <si>
    <t xml:space="preserve">Member has Accepted. Called avails </t>
  </si>
  <si>
    <t>Casey</t>
  </si>
  <si>
    <t>15@24</t>
  </si>
  <si>
    <t>Member has Accepted. STCH WAS 8-16:30</t>
  </si>
  <si>
    <t>ENDOSCOPY SUITE</t>
  </si>
  <si>
    <t>[ID-LHH297]</t>
  </si>
  <si>
    <t>SUKKAR</t>
  </si>
  <si>
    <t>MBR0021965</t>
  </si>
  <si>
    <t>angelasukkar@hotmail.com</t>
  </si>
  <si>
    <t>9@12</t>
  </si>
  <si>
    <t xml:space="preserve">DPU+ </t>
  </si>
  <si>
    <t>DENISE</t>
  </si>
  <si>
    <t>ROUGH</t>
  </si>
  <si>
    <t>MBR0024431</t>
  </si>
  <si>
    <t>drough@esc.net.au</t>
  </si>
  <si>
    <t>Member has Accepted. [ID-LGZ526] Rough</t>
  </si>
  <si>
    <t>[ID-LGZ526]</t>
  </si>
  <si>
    <t>KELLER</t>
  </si>
  <si>
    <t>MBR0021234</t>
  </si>
  <si>
    <t>jensjam05@gmail.com</t>
  </si>
  <si>
    <t>1@18</t>
  </si>
  <si>
    <t>SHAKIRA</t>
  </si>
  <si>
    <t>GOSLING</t>
  </si>
  <si>
    <t>MBR0027396</t>
  </si>
  <si>
    <t>shakira_pb@hotmail.com</t>
  </si>
  <si>
    <t>[ID-LDM298]</t>
  </si>
  <si>
    <t>WEST LEEDERVILLE PRIVATE HOSPITAL</t>
  </si>
  <si>
    <t>LINDA</t>
  </si>
  <si>
    <t xml:space="preserve"> LEVEL 3/2 MCCOURT ST</t>
  </si>
  <si>
    <t>WEST LEEDERVILLE</t>
  </si>
  <si>
    <t>Member has Accepted. RQST Fiona kennedy</t>
  </si>
  <si>
    <t>GLENGARRY PRIVATE HOSPITAL</t>
  </si>
  <si>
    <t>JUDITH</t>
  </si>
  <si>
    <t>MACKENZIE</t>
  </si>
  <si>
    <t>CASEY SHERIDAN</t>
  </si>
  <si>
    <t>MBR0026343</t>
  </si>
  <si>
    <t>mackenzie_judith@hotmail.com</t>
  </si>
  <si>
    <t>53 ARNISDALE ROAD</t>
  </si>
  <si>
    <t>DUNCRAIG</t>
  </si>
  <si>
    <t>KYLIE</t>
  </si>
  <si>
    <t xml:space="preserve">AWAITING REPLY kylie email MackenzieK@ramsayhealth.com.au unsure if required and forwarded to SheridanC@ramsayhealth.com.au  Accepted from Mobile. . </t>
  </si>
  <si>
    <t>Member has Accepted. stch was 0700 BOOKING REPORT SENT 30/1</t>
  </si>
  <si>
    <t>3@15</t>
  </si>
  <si>
    <t>STCH WAS 06:30  BOOKING REPORT SENT 30/1</t>
  </si>
  <si>
    <t>1@12</t>
  </si>
  <si>
    <t>Megan Elsworth</t>
  </si>
  <si>
    <t>2@19</t>
  </si>
  <si>
    <t>CALVIN</t>
  </si>
  <si>
    <t>SO</t>
  </si>
  <si>
    <t>MBR0022401</t>
  </si>
  <si>
    <t>calvinsofol@hotmail.com</t>
  </si>
  <si>
    <t>1@20</t>
  </si>
  <si>
    <t>1@7</t>
  </si>
  <si>
    <t>DOLORES</t>
  </si>
  <si>
    <t>SIMON</t>
  </si>
  <si>
    <t>MBR0021840</t>
  </si>
  <si>
    <t>sido5152@yahoo.co.nz</t>
  </si>
  <si>
    <t>Accepted from Mobile. Req L Zhang N/A</t>
  </si>
  <si>
    <t>PRF0000862</t>
  </si>
  <si>
    <t xml:space="preserve">COORDINATOR                               </t>
  </si>
  <si>
    <t>2@11</t>
  </si>
  <si>
    <t xml:space="preserve">Colorectal/general </t>
  </si>
  <si>
    <t>LYNDA</t>
  </si>
  <si>
    <t>WRIGHT</t>
  </si>
  <si>
    <t>MBR0026425</t>
  </si>
  <si>
    <t>Lynda67wright@gmail.com</t>
  </si>
  <si>
    <t xml:space="preserve">Client has Confirmed. Member has Accepted. </t>
  </si>
  <si>
    <t xml:space="preserve"> SEND SMS SCREEN</t>
  </si>
  <si>
    <t>[ID-LHH516]</t>
  </si>
  <si>
    <t>KAITLYNK</t>
  </si>
  <si>
    <t>7@12</t>
  </si>
  <si>
    <t>TANIA CONCANNON</t>
  </si>
  <si>
    <t>NORTH SHORE PRIVATE</t>
  </si>
  <si>
    <t>GUAN QUN</t>
  </si>
  <si>
    <t>ZHENG</t>
  </si>
  <si>
    <t>MBR0025926</t>
  </si>
  <si>
    <t>zhengg88@hotmail.com</t>
  </si>
  <si>
    <t>WESTBOURNE STREET</t>
  </si>
  <si>
    <t>ST LEONARDS</t>
  </si>
  <si>
    <t>CROCKER</t>
  </si>
  <si>
    <t>MBR0022967</t>
  </si>
  <si>
    <t>sarahandkym@yahoo.com.au</t>
  </si>
  <si>
    <t>NORTH EASTERN COMMUNITY HOSPITAL</t>
  </si>
  <si>
    <t>GLYNDE WARD</t>
  </si>
  <si>
    <t>ZAINABU</t>
  </si>
  <si>
    <t>ONTOMWA</t>
  </si>
  <si>
    <t xml:space="preserve">MADELINE </t>
  </si>
  <si>
    <t>MBR0025305</t>
  </si>
  <si>
    <t>zontomwa@gmail.com</t>
  </si>
  <si>
    <t>580 LOWER NORTH EAST ROAD</t>
  </si>
  <si>
    <t>MADDIE</t>
  </si>
  <si>
    <t>Member has Accepted. Shaturskya (no): Zhou</t>
  </si>
  <si>
    <t>kate</t>
  </si>
  <si>
    <t>CALVARY CENTRAL DISTRICTS PRIVATE HOSPITAL</t>
  </si>
  <si>
    <t>MBR0024302</t>
  </si>
  <si>
    <t>jessica.marsh@hotmail.com</t>
  </si>
  <si>
    <t xml:space="preserve">25-37 JARVIS ROAD </t>
  </si>
  <si>
    <t>[ID-LHQ914]</t>
  </si>
  <si>
    <t>ASHFORD HOSPITAL</t>
  </si>
  <si>
    <t>CARDIAC SERVICES UNIT CSU</t>
  </si>
  <si>
    <t>WARDS-MEDICAL</t>
  </si>
  <si>
    <t>NICCO</t>
  </si>
  <si>
    <t>55 ANZAC HIGHWAY</t>
  </si>
  <si>
    <t>ADELAIDE CITY CENTRE</t>
  </si>
  <si>
    <t xml:space="preserve">COORDINATOR </t>
  </si>
  <si>
    <t xml:space="preserve">Bakul </t>
  </si>
  <si>
    <t>STRYKER</t>
  </si>
  <si>
    <t>ST JOHN OF GOD SUBIACO</t>
  </si>
  <si>
    <t>BED MAN-DR  YOUNG</t>
  </si>
  <si>
    <t>MATT</t>
  </si>
  <si>
    <t>STARKIE</t>
  </si>
  <si>
    <t>Case Representative</t>
  </si>
  <si>
    <t>MBR0023403</t>
  </si>
  <si>
    <t>mattstarkie12@gmail.com</t>
  </si>
  <si>
    <t>78 WALTERS DR</t>
  </si>
  <si>
    <t>ZEINEB</t>
  </si>
  <si>
    <t>SALEH</t>
  </si>
  <si>
    <t>bron</t>
  </si>
  <si>
    <t>MBR0021602</t>
  </si>
  <si>
    <t>zoba4567@gmail.com</t>
  </si>
  <si>
    <t>Member has Accepted. duped to replace Lora Stancheva</t>
  </si>
  <si>
    <t>POSTNATAL MID Y1-4</t>
  </si>
  <si>
    <t>LOUISE</t>
  </si>
  <si>
    <t>MCELHINNEY</t>
  </si>
  <si>
    <t>Dan</t>
  </si>
  <si>
    <t>MBR0027440</t>
  </si>
  <si>
    <t>louise-mce@hotmail.co.uk</t>
  </si>
  <si>
    <t>12 SALVADO ROAD</t>
  </si>
  <si>
    <t>SUBIACO</t>
  </si>
  <si>
    <t>DAN</t>
  </si>
  <si>
    <t xml:space="preserve">Client confirmed: client asked if she can stay later so im just waiting to hear back from her and leaving in accepted as a reminder to follow up </t>
  </si>
  <si>
    <t>ICU EN Y5+</t>
  </si>
  <si>
    <t>HHQ 2</t>
  </si>
  <si>
    <t>MBR0027414</t>
  </si>
  <si>
    <t>HHQ2@kemprecruitment.com.au</t>
  </si>
  <si>
    <t>3@10</t>
  </si>
  <si>
    <t xml:space="preserve">HHQ AIN LEENA KAUR ( 0420291600) </t>
  </si>
  <si>
    <t>EMERGENCY</t>
  </si>
  <si>
    <t>GCHHS CLOCK ON PROFILE</t>
  </si>
  <si>
    <t>ED RN 1.7</t>
  </si>
  <si>
    <t>STROUMOS</t>
  </si>
  <si>
    <t>olivia</t>
  </si>
  <si>
    <t>MBR0027027</t>
  </si>
  <si>
    <t>estroumos@gmail.com</t>
  </si>
  <si>
    <t>email</t>
  </si>
  <si>
    <t>RECONFIRM BOOKED SHIFT DAY B4-booking report sent 02/02</t>
  </si>
  <si>
    <t>HHQ 1</t>
  </si>
  <si>
    <t>sumee</t>
  </si>
  <si>
    <t>MBR0027413</t>
  </si>
  <si>
    <t>hhq@kemprecruitment.com.au</t>
  </si>
  <si>
    <t xml:space="preserve">HHQ  RN LISA PURDY - 0450257493 </t>
  </si>
  <si>
    <t>LOU</t>
  </si>
  <si>
    <t>ST JOHN OF GOD GEELONG</t>
  </si>
  <si>
    <t>3 NORTH - ONCOLOGY PALLIATIVE MEDICAL</t>
  </si>
  <si>
    <t>PCA+ AIN</t>
  </si>
  <si>
    <t xml:space="preserve">SJOG  SHIFTMATCH </t>
  </si>
  <si>
    <t>80 MYERS STREET</t>
  </si>
  <si>
    <t>GEELONG</t>
  </si>
  <si>
    <t>SHIFT EDITED BY USER KATE 02/02/2026 20:33 Member has Accepted. Shift Release from Cascom</t>
  </si>
  <si>
    <t>[ID-LIE034]</t>
  </si>
  <si>
    <t>8 hours of overtime for the week</t>
  </si>
  <si>
    <t>ICU CRITICAL CARE UNIT CCU 01</t>
  </si>
  <si>
    <t>ICU+ HDU</t>
  </si>
  <si>
    <t>RUBY</t>
  </si>
  <si>
    <t>BINNI</t>
  </si>
  <si>
    <t>MBR0023144</t>
  </si>
  <si>
    <t>ruby.binni@yahoo.com.au</t>
  </si>
  <si>
    <t>*STCH** 2215 change back if Binni declines</t>
  </si>
  <si>
    <t>NEME</t>
  </si>
  <si>
    <t xml:space="preserve">Accepted from Mobile. UNASSIGN BY SIMONE PATINO AT 15:42 ON 02/02/2026 Declined from Mobile. x4 Needed </t>
  </si>
  <si>
    <t>Must have ieMR  and be fir tested.</t>
  </si>
  <si>
    <t>9@10</t>
  </si>
  <si>
    <t>RECOVERY DEPARTMENT</t>
  </si>
  <si>
    <t>Member has Accepted. NIAMH NO - NEED TO CONFIRM THIS</t>
  </si>
  <si>
    <t>LEVEL 8- MED ONCOLOGY THORACICS</t>
  </si>
  <si>
    <t>CORINNE LYON</t>
  </si>
  <si>
    <t>ANA RN Y3</t>
  </si>
  <si>
    <t>SORAYA</t>
  </si>
  <si>
    <t>RADIC</t>
  </si>
  <si>
    <t>ANDREA TUASON</t>
  </si>
  <si>
    <t>MBR0026696</t>
  </si>
  <si>
    <t>sorayaradic@hotmail.com</t>
  </si>
  <si>
    <t>FRAN EDWARDS</t>
  </si>
  <si>
    <t>Member has Accepted. Andrea aware NLG-*CWH* Irving POS N/A Booking email sent 10/02-Needs to start at 1430</t>
  </si>
  <si>
    <t>VICTORIA</t>
  </si>
  <si>
    <t>COULDWELL</t>
  </si>
  <si>
    <t>MBR0024373</t>
  </si>
  <si>
    <t>victoria.couldwell@gmail.com</t>
  </si>
  <si>
    <t>FTCH 22:00  BOOKING REPORT SENT 11/2</t>
  </si>
  <si>
    <t>Kristy</t>
  </si>
  <si>
    <t>Member has Accepted. Philip</t>
  </si>
  <si>
    <t>CHAMBERS</t>
  </si>
  <si>
    <t>CHRIS GODSELL</t>
  </si>
  <si>
    <t>MBR0026499</t>
  </si>
  <si>
    <t>mikejeffrey29@gmail.com</t>
  </si>
  <si>
    <t>4@23</t>
  </si>
  <si>
    <t>STFTCH WAS 7:00 BOOKING REPORT SENT 11/2</t>
  </si>
  <si>
    <t>4@21</t>
  </si>
  <si>
    <t>Member has Accepted. STCH WAS 2130 BOOKING REPORT SENT 11/2</t>
  </si>
  <si>
    <t>MAKHOSINI</t>
  </si>
  <si>
    <t>MOYO</t>
  </si>
  <si>
    <t>KRISTIE</t>
  </si>
  <si>
    <t>MBR0027432</t>
  </si>
  <si>
    <t>moyomakhosini@gmail.com</t>
  </si>
  <si>
    <t>Member has Accepted. SFTCH WAS 1430-2200 BOOKING REPORT SENT 11/2</t>
  </si>
  <si>
    <t>LYNN</t>
  </si>
  <si>
    <t>KIBET</t>
  </si>
  <si>
    <t>MBR0026121</t>
  </si>
  <si>
    <t>kibettlynn@gmail.com</t>
  </si>
  <si>
    <t>RECONFIRM BOOKED SHIFT DAY B4- booking report sent 11/02: 12/02</t>
  </si>
  <si>
    <t>SANDRA</t>
  </si>
  <si>
    <t>BRONNY</t>
  </si>
  <si>
    <t>Member has Accepted. CLIENT CONFIRMED PERO TOPALOVIC</t>
  </si>
  <si>
    <t>LEVEL 5- NEURO</t>
  </si>
  <si>
    <t>RN GR2 Y6</t>
  </si>
  <si>
    <t>BROOKING</t>
  </si>
  <si>
    <t>MBR0026946</t>
  </si>
  <si>
    <t>rachel_brooking@yahoo.co.uk</t>
  </si>
  <si>
    <t>ROLE -RM</t>
  </si>
  <si>
    <t>MELISSA</t>
  </si>
  <si>
    <t>ROBBINS</t>
  </si>
  <si>
    <t>DEBBIE MCKENZIE</t>
  </si>
  <si>
    <t>MBR0026715</t>
  </si>
  <si>
    <t>melrobbins23@gmail.com</t>
  </si>
  <si>
    <t xml:space="preserve">Grieger (no) : Johnson: Staska </t>
  </si>
  <si>
    <t>LETITIA</t>
  </si>
  <si>
    <t>kirsty</t>
  </si>
  <si>
    <t>MBR0026053</t>
  </si>
  <si>
    <t>Letitia_kelly@hotmail.com</t>
  </si>
  <si>
    <t>25@28</t>
  </si>
  <si>
    <t xml:space="preserve">150 Botany Dr South Ripley - Ripley Facility - 38101493 - Lana </t>
  </si>
  <si>
    <t>IPSWICH CLOCK ON PROFILE</t>
  </si>
  <si>
    <t>prebookings</t>
  </si>
  <si>
    <t>PREBOOKING</t>
  </si>
  <si>
    <t xml:space="preserve">Member has Accepted. . PREBOOKING - LEAVE FOR QLD </t>
  </si>
  <si>
    <t>JODI</t>
  </si>
  <si>
    <t>SHARYN MAKEPEACE</t>
  </si>
  <si>
    <t>THE WESLEY HOSPITAL</t>
  </si>
  <si>
    <t>FADIMA</t>
  </si>
  <si>
    <t>BAH</t>
  </si>
  <si>
    <t>MBR0023603</t>
  </si>
  <si>
    <t>fadimab@yahoo.com</t>
  </si>
  <si>
    <t>451 CORONATION DRIVE</t>
  </si>
  <si>
    <t>AUCHENFLOWER</t>
  </si>
  <si>
    <t xml:space="preserve">Member has Accepted. Declined from Mobile. SHIFT EDITED BY USER ELLAD 12/02/2026 23:01 </t>
  </si>
  <si>
    <t xml:space="preserve">RACHEL PROSSER                       </t>
  </si>
  <si>
    <t>Selenia Mahoney</t>
  </si>
  <si>
    <t>KEMP RECRUITMENT</t>
  </si>
  <si>
    <t>FRI</t>
  </si>
  <si>
    <t>WARDS EN Y5+</t>
  </si>
  <si>
    <t>ANNETTE</t>
  </si>
  <si>
    <t>SWAIN</t>
  </si>
  <si>
    <t>ANNU</t>
  </si>
  <si>
    <t>MBR0021305</t>
  </si>
  <si>
    <t>fromotionmusic@gmail.com</t>
  </si>
  <si>
    <t>S2 L1 37-41 Belmont Street</t>
  </si>
  <si>
    <t>ANA EN Y5+</t>
  </si>
  <si>
    <t>MICHAELA</t>
  </si>
  <si>
    <t>PETERS</t>
  </si>
  <si>
    <t>MBR0021182</t>
  </si>
  <si>
    <t>michaelapeters38@yahoo.com.au</t>
  </si>
  <si>
    <t>REVERSE</t>
  </si>
  <si>
    <t>BOOKING REPORT SENT 12/2</t>
  </si>
  <si>
    <t>17@22</t>
  </si>
  <si>
    <t>Member has Accepted. STCH was 0630. BOOKING REPORT SENT 12/2</t>
  </si>
  <si>
    <t>No perfume please</t>
  </si>
  <si>
    <t>SOFKA</t>
  </si>
  <si>
    <t>BUTLER</t>
  </si>
  <si>
    <t>MBR0011602</t>
  </si>
  <si>
    <t>SOFSIN@YAHOO.COM</t>
  </si>
  <si>
    <t>16@22</t>
  </si>
  <si>
    <t>SS-ENT</t>
  </si>
  <si>
    <t>REQ Zhang - booked off Dearbhla</t>
  </si>
  <si>
    <t>MITCHELL</t>
  </si>
  <si>
    <t>MBR0025021</t>
  </si>
  <si>
    <t>ssmitch17@gmail.com</t>
  </si>
  <si>
    <t>(ID-LKF097]-Sharma-SFTCH 7.00-15.00-Brittany aware 12.30 finish</t>
  </si>
  <si>
    <t>[ID-LKF097]</t>
  </si>
  <si>
    <t>PINE RIVERS PRIVATE HOSPITAL</t>
  </si>
  <si>
    <t>PSYCHIATRIC</t>
  </si>
  <si>
    <t>AMBER</t>
  </si>
  <si>
    <t>GOODWIN</t>
  </si>
  <si>
    <t>simone</t>
  </si>
  <si>
    <t>MBR0026024</t>
  </si>
  <si>
    <t>AMBER8GOODWIN@GMAIL.COM</t>
  </si>
  <si>
    <t>DIXON STREET</t>
  </si>
  <si>
    <t>STRATHPINE</t>
  </si>
  <si>
    <t xml:space="preserve">Member has Accepted. . </t>
  </si>
  <si>
    <t>BRONAGH</t>
  </si>
  <si>
    <t>COYLE</t>
  </si>
  <si>
    <t>inurse</t>
  </si>
  <si>
    <t>MBR0026945</t>
  </si>
  <si>
    <t>bronaghcoyle15@gmail.com</t>
  </si>
  <si>
    <t xml:space="preserve">. Member has Accepted. SHIFT EDITED BY USER SAOIRSE 12/02/2026 08:20 SHIFT EDITED BY USER SAOIRSE 12/02/2026 06:59 </t>
  </si>
  <si>
    <t>MAZ HAINS</t>
  </si>
  <si>
    <t xml:space="preserve">Member has Accepted. Shift Edited by SHELBY at 09/02/2026 11:46. </t>
  </si>
  <si>
    <t>RN GR2 Y4</t>
  </si>
  <si>
    <t>CARVILLE</t>
  </si>
  <si>
    <t>MBR0026553</t>
  </si>
  <si>
    <t>claire9820@outlook.com</t>
  </si>
  <si>
    <t>WYNDHAM CLINIC PRIVATE HOSPITAL</t>
  </si>
  <si>
    <t>DSU</t>
  </si>
  <si>
    <t>ANA RN G2 Y5+</t>
  </si>
  <si>
    <t>DANA</t>
  </si>
  <si>
    <t>ZASLAVSKY</t>
  </si>
  <si>
    <t>FRANCES JORDAN</t>
  </si>
  <si>
    <t>MBR0021179</t>
  </si>
  <si>
    <t>danazaslavsky29@gmail.com</t>
  </si>
  <si>
    <t>242 A HOPPER LANE</t>
  </si>
  <si>
    <t>WERRIBEE</t>
  </si>
  <si>
    <t>ROB RYE</t>
  </si>
  <si>
    <t>ECCLES</t>
  </si>
  <si>
    <t>MBR0025397</t>
  </si>
  <si>
    <t>eccleshb@yahoo.com.au</t>
  </si>
  <si>
    <t>890368_1</t>
  </si>
  <si>
    <t>Shift Created to Adjust the Pay against the Docket no. 890368</t>
  </si>
  <si>
    <t>890368_2</t>
  </si>
  <si>
    <t>LABOUR WARD</t>
  </si>
  <si>
    <t>890382_1</t>
  </si>
  <si>
    <t>Shift Created to Adjust the Pay against the Docket no. 890382</t>
  </si>
  <si>
    <t>890382_2</t>
  </si>
  <si>
    <t xml:space="preserve">CAROL </t>
  </si>
  <si>
    <t>BRON LEES</t>
  </si>
  <si>
    <t>ASHLEIGH COOPER</t>
  </si>
  <si>
    <t>Accepted from Mobile. Clifford</t>
  </si>
  <si>
    <t>Flexible Finish Time</t>
  </si>
  <si>
    <t>5@23</t>
  </si>
  <si>
    <t>[ID-LJO742]</t>
  </si>
  <si>
    <t>MISC-ADMISSION DISCHARGE</t>
  </si>
  <si>
    <t xml:space="preserve">ROSALEEN DAVITT                        </t>
  </si>
  <si>
    <t>ROSALEEN DAVITT</t>
  </si>
  <si>
    <t>SUTHERLAND- MED ONCOLOGY</t>
  </si>
  <si>
    <t>JENELLE PITTANA</t>
  </si>
  <si>
    <t>[ID-LKM496]</t>
  </si>
  <si>
    <t>DARLENE RIVERA</t>
  </si>
  <si>
    <t>DE CASTRO</t>
  </si>
  <si>
    <t>MBR0027046</t>
  </si>
  <si>
    <t>aieekenneth@gmail.com</t>
  </si>
  <si>
    <t>STCH was 1300. LVM AH movile to book. Accepted from Mobile.  NLG Olivia awareEscarian (no)</t>
  </si>
  <si>
    <t>GEORGINA</t>
  </si>
  <si>
    <t>GREENLAND</t>
  </si>
  <si>
    <t>SUZANNE THOMPSON</t>
  </si>
  <si>
    <t>MBR0024246</t>
  </si>
  <si>
    <t>georgiegreenland@gmail.com</t>
  </si>
  <si>
    <t>Left VM on Suzannes mobile and sent email to confirm</t>
  </si>
  <si>
    <t>SIR CHARLES GAIRDNER HOSPITAL</t>
  </si>
  <si>
    <t>ANAESTHETICS DEPARTMENT</t>
  </si>
  <si>
    <t>WA HEALTH</t>
  </si>
  <si>
    <t>SMITH</t>
  </si>
  <si>
    <t>ELIZABETH HOLTZMAN</t>
  </si>
  <si>
    <t>MBR0023678</t>
  </si>
  <si>
    <t>twistie20@hotmail.com</t>
  </si>
  <si>
    <t>HOSPITAL AVENUE</t>
  </si>
  <si>
    <t>Member has Accepted. Rqst James</t>
  </si>
  <si>
    <t>Accepted from Mobile. Jacobi (no: Ward: Clifford</t>
  </si>
  <si>
    <t>LIONS EYE INSTITUTE NEDLANDS</t>
  </si>
  <si>
    <t>LIONS EYE INSTITUTE</t>
  </si>
  <si>
    <t>CHRISTINE DARRAGH</t>
  </si>
  <si>
    <t>MBR0027053</t>
  </si>
  <si>
    <t>shaunabyrne2@gmail.com</t>
  </si>
  <si>
    <t>2 VERDUN ST</t>
  </si>
  <si>
    <t>NEDLANDS WA 6009</t>
  </si>
  <si>
    <t>Member has Accepted. CLIENT CONFIRMED CHANTEL LE COMPTE</t>
  </si>
  <si>
    <t>Courntey</t>
  </si>
  <si>
    <t>MADDY</t>
  </si>
  <si>
    <t>GATEWAY DAY HOSPITAL</t>
  </si>
  <si>
    <t xml:space="preserve">BRYNLEY </t>
  </si>
  <si>
    <t>LEVEL 18 GATEWAY BUILDING 1 MACQUARIE PLACE</t>
  </si>
  <si>
    <t>SYDNEY</t>
  </si>
  <si>
    <t>BRYNLEY</t>
  </si>
  <si>
    <t>Member has Accepted. STCH WAS 8:30 BOOKING REPORT SENT 12/2</t>
  </si>
  <si>
    <t>. verbally accepted</t>
  </si>
  <si>
    <t>PRF0001964</t>
  </si>
  <si>
    <t>CHERRY</t>
  </si>
  <si>
    <t>MONANA</t>
  </si>
  <si>
    <t>MBR0024385</t>
  </si>
  <si>
    <t>chemonana@gmail.com</t>
  </si>
  <si>
    <t>mel</t>
  </si>
  <si>
    <t>SS RN Y9</t>
  </si>
  <si>
    <t>UYCHHORNG</t>
  </si>
  <si>
    <t>KHANG</t>
  </si>
  <si>
    <t>MBR0024034</t>
  </si>
  <si>
    <t>uychhorng11@hotmail.com</t>
  </si>
  <si>
    <t>REQ Khang-booking report sent 11/02 Sarah</t>
  </si>
  <si>
    <t>NLG Rachel aware-booking report sent 13/02</t>
  </si>
  <si>
    <t>Beven</t>
  </si>
  <si>
    <t>HAMILTON HOUSE DAY SURGERY</t>
  </si>
  <si>
    <t>VERONICA BRONNER</t>
  </si>
  <si>
    <t>470 GOODWOOD ROAD</t>
  </si>
  <si>
    <t>CUMBERLAND PARK</t>
  </si>
  <si>
    <t>VERONICA DESPERATE EVEN HALF DAY SWITCH  8272 6666*CWH*-RENEE JOYCE PULLED OUT. Booking email sent 22/01-Clifford WEAR OWN SCRUBS</t>
  </si>
  <si>
    <t>WEAR OWN SCRUBS : VERONICA DESPERATE EVEN HALF DAY</t>
  </si>
  <si>
    <t>1@8</t>
  </si>
  <si>
    <t xml:space="preserve">SHIFT EDITED BY USER SHELBY 04/02/2026 13:34 Member has Accepted. </t>
  </si>
  <si>
    <t>doreen</t>
  </si>
  <si>
    <t>Louise</t>
  </si>
  <si>
    <t>Neme</t>
  </si>
  <si>
    <t xml:space="preserve">EML sent to fac.  Accepted from Mobile. </t>
  </si>
  <si>
    <t>IEMR - MUST HAVE COMPETENT AND EXPERIENCED IN RECOVERY</t>
  </si>
  <si>
    <t>ADELAIDE ANAESTHETIC</t>
  </si>
  <si>
    <t>VICTORIA PARK SPECIALIST CENTRE</t>
  </si>
  <si>
    <t>DPU REC 1 OR 2</t>
  </si>
  <si>
    <t>AMY BATTEN</t>
  </si>
  <si>
    <t xml:space="preserve">2ND FLOOR </t>
  </si>
  <si>
    <t>195 NORTH TERRACE</t>
  </si>
  <si>
    <t xml:space="preserve">Amy aware Crocker </t>
  </si>
  <si>
    <t>ftch was 19:00. CWH 18:00 is fine</t>
  </si>
  <si>
    <t>MARGRET</t>
  </si>
  <si>
    <t>PRYCE</t>
  </si>
  <si>
    <t>MBR0020162</t>
  </si>
  <si>
    <t>margpryce@yahoo.com</t>
  </si>
  <si>
    <t>14@15</t>
  </si>
  <si>
    <t>STCN WAS 10 LVM - STCH WAS 14:00  STCH WAS 14:30  Member has Accepted. LVM - STCH WAS 1400 STCH WAS 7AM  BOOKING REPORT SENT 12/2</t>
  </si>
  <si>
    <t>6@9</t>
  </si>
  <si>
    <t>BETHANY</t>
  </si>
  <si>
    <t>WILLIS</t>
  </si>
  <si>
    <t>EFFIE FACCIOL</t>
  </si>
  <si>
    <t>MBR0026755</t>
  </si>
  <si>
    <t>bbeaalarie@gmail.com</t>
  </si>
  <si>
    <t>Member has Accepted. Willis : Legget : Gelastopoulos-14.00-22.00</t>
  </si>
  <si>
    <t xml:space="preserve">Member has Accepted. . . . </t>
  </si>
  <si>
    <t>CARDIAC CATHETER LAB</t>
  </si>
  <si>
    <t>JULIE ANNE WOODWARD</t>
  </si>
  <si>
    <t>MANOJ</t>
  </si>
  <si>
    <t>PETER</t>
  </si>
  <si>
    <t>MBR0026417</t>
  </si>
  <si>
    <t>petermanoj11@gmail.com</t>
  </si>
  <si>
    <t>15@15</t>
  </si>
  <si>
    <t>Member has Accepted. STCH WAS 7 BOOKING REPORT SENT 12/2</t>
  </si>
  <si>
    <t>GRACE</t>
  </si>
  <si>
    <t>CHUNG</t>
  </si>
  <si>
    <t>MBR0022664</t>
  </si>
  <si>
    <t>gracechlw586@gmail.com</t>
  </si>
  <si>
    <t>15@22</t>
  </si>
  <si>
    <t>19@22</t>
  </si>
  <si>
    <t xml:space="preserve">rebecca </t>
  </si>
  <si>
    <t>9@24</t>
  </si>
  <si>
    <t>LACKNER</t>
  </si>
  <si>
    <t>Elisha</t>
  </si>
  <si>
    <t>MBR0027550</t>
  </si>
  <si>
    <t>vanessalackner@outlook.com</t>
  </si>
  <si>
    <t>24@24</t>
  </si>
  <si>
    <t>LVM - SFTCH WAS 10 - 18;30  BOOKING REPORT SENT 12/2</t>
  </si>
  <si>
    <t>SCRUB/SCOUT</t>
  </si>
  <si>
    <t>CARAGH</t>
  </si>
  <si>
    <t>VESEY</t>
  </si>
  <si>
    <t>JIN YOUNG KIM</t>
  </si>
  <si>
    <t>MBR0022460</t>
  </si>
  <si>
    <t>caraghvesey@gmail.com</t>
  </si>
  <si>
    <t>SARAH BEST</t>
  </si>
  <si>
    <t xml:space="preserve"> [ID-LKG929]</t>
  </si>
  <si>
    <t>[ID-LKG929]</t>
  </si>
  <si>
    <t>RECONFIRM BOOKED SHIFT DAY B4-Harding -booking report sent 12/02: 13.02</t>
  </si>
  <si>
    <t>REBECCA</t>
  </si>
  <si>
    <t>TONKS</t>
  </si>
  <si>
    <t>MONICA KAYE</t>
  </si>
  <si>
    <t>MBR0024462</t>
  </si>
  <si>
    <t>rtonks79@gmail.com</t>
  </si>
  <si>
    <t>MONICA</t>
  </si>
  <si>
    <t>confirmed phne monica 12/02</t>
  </si>
  <si>
    <t>Member has Accepted. Lauren aware Cuk : Tonks .: Ward</t>
  </si>
  <si>
    <t>7@11</t>
  </si>
  <si>
    <t>VIMAL</t>
  </si>
  <si>
    <t>ULAHANNAN</t>
  </si>
  <si>
    <t>MBR0021157</t>
  </si>
  <si>
    <t>vimalulahannan@hotmail.com</t>
  </si>
  <si>
    <t>10@20</t>
  </si>
  <si>
    <t>4 NORTH- VASCULAR</t>
  </si>
  <si>
    <t>JULIE</t>
  </si>
  <si>
    <t>HULSTON</t>
  </si>
  <si>
    <t>MBR0024855</t>
  </si>
  <si>
    <t>juliehulston1970@gmail.com</t>
  </si>
  <si>
    <t>SARAH TUCKER</t>
  </si>
  <si>
    <t>RCH ED</t>
  </si>
  <si>
    <t>LONGSHAW</t>
  </si>
  <si>
    <t>MBR0025102</t>
  </si>
  <si>
    <t>jenn_mcnamara@hotmail.com</t>
  </si>
  <si>
    <t xml:space="preserve">SHIFT EDITED BY USER SHELBY 12/02/2026 08:39 Accepted from Mobile. </t>
  </si>
  <si>
    <t>DELIVERY SUITE - LABOR WARD</t>
  </si>
  <si>
    <t>Member has Accepted. PNW TO SCN REVERSE</t>
  </si>
  <si>
    <t>RECONFIRM BOOKED SHIFT DAY B4-booking report sent 12/02: 13/02</t>
  </si>
  <si>
    <t>BEC</t>
  </si>
  <si>
    <t>moved back to 12pm. SHIFT EDITED BY USER ELLAD 23/02/2026 18:56 Declined from Mobile. STCH was 1200. STCH WAS 7AM Member has Accepted. STCH WAS  12PM CWH 23/2</t>
  </si>
  <si>
    <t>DAY SURGERY UNIT</t>
  </si>
  <si>
    <t>REC+ DPU</t>
  </si>
  <si>
    <t>DPU EN Y5+</t>
  </si>
  <si>
    <t>ALISSA</t>
  </si>
  <si>
    <t>FAY</t>
  </si>
  <si>
    <t>MBR0025851</t>
  </si>
  <si>
    <t>alissajfay@gmail.com</t>
  </si>
  <si>
    <t xml:space="preserve">Member has Accepted. Declined from Mobile. Declined from Mobile. Declined from Mobile. </t>
  </si>
  <si>
    <t xml:space="preserve">LAUREN </t>
  </si>
  <si>
    <t xml:space="preserve">Becker-Tried Western x 3 </t>
  </si>
  <si>
    <t>4@13</t>
  </si>
  <si>
    <t>SUNDEW DAY SURGERY</t>
  </si>
  <si>
    <t>PAULINA</t>
  </si>
  <si>
    <t>BALICKA</t>
  </si>
  <si>
    <t>MBR0023220</t>
  </si>
  <si>
    <t>pcpralinka@gmail.com</t>
  </si>
  <si>
    <t>24 SUNDEW RISE</t>
  </si>
  <si>
    <t>Theatre List Type:Gastro</t>
  </si>
  <si>
    <t>TANIA</t>
  </si>
  <si>
    <t>TALIANA</t>
  </si>
  <si>
    <t>MBR0025259</t>
  </si>
  <si>
    <t>taniataliana@hotmail.com</t>
  </si>
  <si>
    <t>STASKA</t>
  </si>
  <si>
    <t>MBR0027047</t>
  </si>
  <si>
    <t>yanastaska64@gmail.com</t>
  </si>
  <si>
    <t>ROLE -EN</t>
  </si>
  <si>
    <t>WARDS EN Y1-4</t>
  </si>
  <si>
    <t>CONNOR</t>
  </si>
  <si>
    <t>RAVEGGI</t>
  </si>
  <si>
    <t>debbie</t>
  </si>
  <si>
    <t>MBR0027553</t>
  </si>
  <si>
    <t>connorraveggi@gmail.com</t>
  </si>
  <si>
    <t>DEBBIE HARDING</t>
  </si>
  <si>
    <t xml:space="preserve">Cuk </t>
  </si>
  <si>
    <t>BERGAMASCHI</t>
  </si>
  <si>
    <t>MBR0020713</t>
  </si>
  <si>
    <t>bergamaj18@gmail.com</t>
  </si>
  <si>
    <t>ORTHO</t>
  </si>
  <si>
    <t>40@47</t>
  </si>
  <si>
    <t>Accepted from Mobile. CAROL GILES PULLED OUT. *CWH Auto book 02/02</t>
  </si>
  <si>
    <t>REPLACING JACKOBI</t>
  </si>
  <si>
    <t>BURNSIDE HOSPITAL COORDINATOR</t>
  </si>
  <si>
    <t>17@20</t>
  </si>
  <si>
    <t>mel stevens</t>
  </si>
  <si>
    <t>6@12</t>
  </si>
  <si>
    <t xml:space="preserve">. Member has Accepted. has Kevins name </t>
  </si>
  <si>
    <t>18@23</t>
  </si>
  <si>
    <t>4E- 40236</t>
  </si>
  <si>
    <t>[ID-LMT435]</t>
  </si>
  <si>
    <t>in charge</t>
  </si>
  <si>
    <t>HARLEY DAY SURGERY</t>
  </si>
  <si>
    <t>ELENA PAPASTERGOS</t>
  </si>
  <si>
    <t>63 PALMER PLACE</t>
  </si>
  <si>
    <t>NORTH ADELAIDE</t>
  </si>
  <si>
    <t>Accepted from Mobile. Declined from Mobile.  Rough (no) Crocker (no) Totani</t>
  </si>
  <si>
    <t>NEO</t>
  </si>
  <si>
    <t>MBR0027134</t>
  </si>
  <si>
    <t>benjineo9@gmail.com</t>
  </si>
  <si>
    <t>*CWH*-SAJEE UDAYABHANU PULLED OUT. NLG Nima aware-STCN 12.00</t>
  </si>
  <si>
    <t>WAVERLEY PRIVATE</t>
  </si>
  <si>
    <t>357 BLACKBURN ROAD</t>
  </si>
  <si>
    <t>MOUNT WAVERLEY</t>
  </si>
  <si>
    <t>[ID-LMV826]</t>
  </si>
  <si>
    <t>THE AVENUE PRIVATE HOSPITAL</t>
  </si>
  <si>
    <t>40 THE AVENUE</t>
  </si>
  <si>
    <t>Member has Accepted. CLIENT CONFIRMED  NAVJOT CHAHAL Shift Release from Cascom</t>
  </si>
  <si>
    <t>[ID-LMV145] HDU EXPERIENCE</t>
  </si>
  <si>
    <t>SHARON PAULL</t>
  </si>
  <si>
    <t xml:space="preserve">Member has Accepted. SHIFT EDITED BY USER EMAM 24/02/2026 07:51 Member has Accepted. </t>
  </si>
  <si>
    <t>3@6</t>
  </si>
  <si>
    <t>RECONFIRM BOOKED SHIFT DAY B4 -booking report sent 23/02: 24/02</t>
  </si>
  <si>
    <t xml:space="preserve">cathy </t>
  </si>
  <si>
    <t>Member has Accepted. LVM - STCH WAS 1830 BOOKING REPORT SENT 23/2</t>
  </si>
  <si>
    <t>CARRERA-PEAKMAN</t>
  </si>
  <si>
    <t>MBR0025117</t>
  </si>
  <si>
    <t>jessicpeak@yahoo.com</t>
  </si>
  <si>
    <t>CWH 23/2</t>
  </si>
  <si>
    <t>AGE CARE</t>
  </si>
  <si>
    <t>Beeline ID 28971-1</t>
  </si>
  <si>
    <t>Beeline 28971-1</t>
  </si>
  <si>
    <t>MEDITECHS</t>
  </si>
  <si>
    <t>Beeline</t>
  </si>
  <si>
    <t>Beeline ID 28971-1IN CHARGE and MEAL ALLOWANCE Shift Staff: RN Soledad Conquilla Staff Phone number : 0449 888 101</t>
  </si>
  <si>
    <t>CHINEDU</t>
  </si>
  <si>
    <t>ILECHUKWU</t>
  </si>
  <si>
    <t>MBR0022704</t>
  </si>
  <si>
    <t>chinedu.ilechukwu@yahoo.com.au</t>
  </si>
  <si>
    <t>LANA</t>
  </si>
  <si>
    <t>DELIVERY MID Y5+</t>
  </si>
  <si>
    <t>CONNOLLY</t>
  </si>
  <si>
    <t>VIRGINIA TONKS</t>
  </si>
  <si>
    <t>MBR0027174</t>
  </si>
  <si>
    <t>louiseconnoll60@hotmail.com</t>
  </si>
  <si>
    <t>48 hours total (10 hours overtime for the week)</t>
  </si>
  <si>
    <t>6@10</t>
  </si>
  <si>
    <t>BOOKING REPORT SENT 24/2</t>
  </si>
  <si>
    <t>REC RN 1.7</t>
  </si>
  <si>
    <t>REBEKAH</t>
  </si>
  <si>
    <t>PARANTHOIENE</t>
  </si>
  <si>
    <t xml:space="preserve">Missy </t>
  </si>
  <si>
    <t>MBR0020620</t>
  </si>
  <si>
    <t>rebekah.paranthoiene@gmail.com</t>
  </si>
  <si>
    <t>Missy</t>
  </si>
  <si>
    <t xml:space="preserve">Accepted from Mobile.  Declined from Mobile. Declined from Mobile. Huggins no: </t>
  </si>
  <si>
    <t>DPU / SSPU</t>
  </si>
  <si>
    <t>1@25</t>
  </si>
  <si>
    <t>SHIFT EDITED BY USER VERTEXLS 01/03/2026 11:34 Booking email sent 17/02</t>
  </si>
  <si>
    <t>WARDS RN Y9</t>
  </si>
  <si>
    <t>DAINA</t>
  </si>
  <si>
    <t>DAUGALIS</t>
  </si>
  <si>
    <t>MBR0024838</t>
  </si>
  <si>
    <t>dainadaugalis@gmail.com</t>
  </si>
  <si>
    <t>RECONFIRM BOOKED SHIFT DAY B4 -booking report sent 24/02: 25/02</t>
  </si>
  <si>
    <t>ELIZABETH</t>
  </si>
  <si>
    <t>MWANGI</t>
  </si>
  <si>
    <t>JUDY PLAATJES</t>
  </si>
  <si>
    <t>MBR0021477</t>
  </si>
  <si>
    <t>elizabeth.mwangi1@gmail.com</t>
  </si>
  <si>
    <t>6@7</t>
  </si>
  <si>
    <t>DELMAR PRIVATE HOSPITAL</t>
  </si>
  <si>
    <t>MACQUARIE HOSPITAL SERVICES</t>
  </si>
  <si>
    <t>SANDY CHOTE</t>
  </si>
  <si>
    <t xml:space="preserve">58 QUIRK ST </t>
  </si>
  <si>
    <t>DEE WHY</t>
  </si>
  <si>
    <t>RECONFIRM BOOKED SHIFT DAY B4 - booking report sent 24/02: 25/02</t>
  </si>
  <si>
    <t>jen</t>
  </si>
  <si>
    <t>JEN</t>
  </si>
  <si>
    <t>SHIFT EDITED BY USER VERTEXLS 01/03/2026 11:37 BOOKING REPORT SENT 24/2</t>
  </si>
  <si>
    <t xml:space="preserve">block booking req by beverlyMember has Accepted. </t>
  </si>
  <si>
    <t>20@23</t>
  </si>
  <si>
    <t>SHIFT EDITED BY USER VERTEXLS 01/03/2026 11:35 . BOOKING REPORT SENT 24/2</t>
  </si>
  <si>
    <t>19@23</t>
  </si>
  <si>
    <t>SHIFT EDITED BY USER VERTEXLS 01/03/2026 11:35 BOOKING REPORT SENT 24/2</t>
  </si>
  <si>
    <t>28@30</t>
  </si>
  <si>
    <t xml:space="preserve">SHIFT EDITED BY USER VERTEXLS 01/03/2026 11:29 Member has Accepted. </t>
  </si>
  <si>
    <t xml:space="preserve">SHIFT EDITED BY USER VERTEXLS 01/03/2026 11:28 Accepted from Mobile. </t>
  </si>
  <si>
    <t xml:space="preserve">TH+ </t>
  </si>
  <si>
    <t>[ID-LFS547]</t>
  </si>
  <si>
    <t>7@15</t>
  </si>
  <si>
    <t>STCH WAS 7AM</t>
  </si>
  <si>
    <t>SHIFT EDITED BY USER VERTEXLS 01/03/2026 11:38 Member has Accepted. LVM x 1. STCH WAS 1200 (DEX) Member has Accepted. stch was 7am. BOOKING REPORT SENT 24/2</t>
  </si>
  <si>
    <t>MEMORY</t>
  </si>
  <si>
    <t>RANGARIRA</t>
  </si>
  <si>
    <t>FRANCESKA GONTRAN</t>
  </si>
  <si>
    <t>MBR0026701</t>
  </si>
  <si>
    <t>memoranga@yahoo.com</t>
  </si>
  <si>
    <t>BRIGHTON DAY SURGERY</t>
  </si>
  <si>
    <t xml:space="preserve">MARGIE WERTHEIM                      </t>
  </si>
  <si>
    <t xml:space="preserve">1 JETTY ROAD </t>
  </si>
  <si>
    <t>BRIGHTON</t>
  </si>
  <si>
    <t>MARGIE WERTHEIM</t>
  </si>
  <si>
    <t>Member has Accepted. REQ Berry-email sent to Margie booking off 28/11: 23/01</t>
  </si>
  <si>
    <t>AKSHADA</t>
  </si>
  <si>
    <t>DHUMAL</t>
  </si>
  <si>
    <t>VILOSHNI VANDEYAR</t>
  </si>
  <si>
    <t>MBR0024730</t>
  </si>
  <si>
    <t>akshadadhumal@outlook.com</t>
  </si>
  <si>
    <t xml:space="preserve">BOOKING REPORT SENT 24/2 </t>
  </si>
  <si>
    <t>[ID-LMW672]</t>
  </si>
  <si>
    <t>Beverly</t>
  </si>
  <si>
    <t xml:space="preserve">Member has Accepted. BLOCK BOOKING REQUEST FROM BEVERLY </t>
  </si>
  <si>
    <t>GLENSIDE CAMPUS</t>
  </si>
  <si>
    <t>NEUROSTIMULATION CLINIC</t>
  </si>
  <si>
    <t>ERNESTO</t>
  </si>
  <si>
    <t>ARGANOSA</t>
  </si>
  <si>
    <t>KANCHANA TAYLOR</t>
  </si>
  <si>
    <t>MBR0011824</t>
  </si>
  <si>
    <t>JUNSKI66@YAHOO.COM</t>
  </si>
  <si>
    <t>226 FULARTON ROAD</t>
  </si>
  <si>
    <t>GLENSIDE</t>
  </si>
  <si>
    <t>CALVARY RYDE</t>
  </si>
  <si>
    <t>AGED</t>
  </si>
  <si>
    <t>ROLE-AIN</t>
  </si>
  <si>
    <t>Beeline ID 29062-1</t>
  </si>
  <si>
    <t>678 VICTORIA ROAD</t>
  </si>
  <si>
    <t>RYDE</t>
  </si>
  <si>
    <t>Beeline ID 29062-1AIN Moemi Shirashi0412832336</t>
  </si>
  <si>
    <t>AGED AIN</t>
  </si>
  <si>
    <t>MEDITECH 2</t>
  </si>
  <si>
    <t>MBR0027645</t>
  </si>
  <si>
    <t>Beeline ID 29062-1AIN Haruka Koyama0413618160</t>
  </si>
  <si>
    <t>MARGO</t>
  </si>
  <si>
    <t xml:space="preserve">BEVEN FINISHED AT 1.30PM CONFIRMED BY CLIENT (ANNA) AND NURSE-SIGNED OFF INCORRECTLY FOR 14.30PM </t>
  </si>
  <si>
    <t>5@10</t>
  </si>
  <si>
    <t>EMMANUEL</t>
  </si>
  <si>
    <t>ESCARIAN</t>
  </si>
  <si>
    <t>MBR0024295</t>
  </si>
  <si>
    <t>Emmanuel.Escarian@outlook.com</t>
  </si>
  <si>
    <t>Zerella: Escarian-booking report sent 24/02</t>
  </si>
  <si>
    <t>REC-PAEDIATRICS</t>
  </si>
  <si>
    <t>KOCSIS</t>
  </si>
  <si>
    <t>MBR0022722</t>
  </si>
  <si>
    <t>aka2983@yahoo.com.au</t>
  </si>
  <si>
    <t>27@39</t>
  </si>
  <si>
    <t>SEREIN</t>
  </si>
  <si>
    <t>STCH WAS 08:30  BOOKING REPORT SENT 24/2</t>
  </si>
  <si>
    <t>BIJU</t>
  </si>
  <si>
    <t>MARUTHOMALAYIL VARKEY</t>
  </si>
  <si>
    <t>MBR0025133</t>
  </si>
  <si>
    <t>bijumvmaru@yahoo.co.in</t>
  </si>
  <si>
    <t>3@7</t>
  </si>
  <si>
    <t>20@22</t>
  </si>
  <si>
    <t>Member has Accepted. LVM - STCH WAS 06:45 BOOKING REPORT SENT 24/2</t>
  </si>
  <si>
    <t>8@20</t>
  </si>
  <si>
    <t>SS-EYES-OCULAR PLASTICS</t>
  </si>
  <si>
    <t xml:space="preserve">Member has Accepted. . . Declined from Mobile. </t>
  </si>
  <si>
    <t>Member has Accepted. VM lucy  STCH WAS 0800 (CWH BELINDA)</t>
  </si>
  <si>
    <t>[ID-LMU661]</t>
  </si>
  <si>
    <t>JIBY</t>
  </si>
  <si>
    <t>JIBYANTONY</t>
  </si>
  <si>
    <t>MBR0026850</t>
  </si>
  <si>
    <t>jakarippai@gmail.com</t>
  </si>
  <si>
    <t>[ID-LMU696]</t>
  </si>
  <si>
    <t>Member has Accepted. SHIFT EDITED BY USER KATE 24/02/2026 17:58 STCH WAS 1030 (ERIKA) BOOKING REPORT SENT 24/2</t>
  </si>
  <si>
    <t>18@18</t>
  </si>
  <si>
    <t>LARISSA</t>
  </si>
  <si>
    <t>HASSETT</t>
  </si>
  <si>
    <t>MBR0020942</t>
  </si>
  <si>
    <t>hassett.l@yahoo.com</t>
  </si>
  <si>
    <t>17@18</t>
  </si>
  <si>
    <t>ANNA?</t>
  </si>
  <si>
    <t xml:space="preserve">CONFIRMATION EMAIL SENT 16/2 Member has Accepted. </t>
  </si>
  <si>
    <t>Booking email 25/02</t>
  </si>
  <si>
    <t>heike</t>
  </si>
  <si>
    <t>kayne</t>
  </si>
  <si>
    <t>STCH WAS 06:30  BOOKING REPORT SENT 24/2</t>
  </si>
  <si>
    <t>1@24</t>
  </si>
  <si>
    <t>ANA RN 1.7</t>
  </si>
  <si>
    <t>NNENNA</t>
  </si>
  <si>
    <t>EGWU</t>
  </si>
  <si>
    <t>PRIYA NAYAR</t>
  </si>
  <si>
    <t>MBR0027427</t>
  </si>
  <si>
    <t>nnennaegwu24@yahoo.com</t>
  </si>
  <si>
    <t>Nathan</t>
  </si>
  <si>
    <t>Member has Accepted. Advised Nathan we have Nnenna avail</t>
  </si>
  <si>
    <t>891826_1</t>
  </si>
  <si>
    <t>Shift Created to Adjust the Pay against the Docket no. 891826</t>
  </si>
  <si>
    <t>891826_2</t>
  </si>
  <si>
    <t>38@41</t>
  </si>
  <si>
    <t xml:space="preserve">Member has Accepted. LVM </t>
  </si>
  <si>
    <t>CORTILDA</t>
  </si>
  <si>
    <t>KANDA</t>
  </si>
  <si>
    <t xml:space="preserve">SEREIN XI                            </t>
  </si>
  <si>
    <t>MBR0026452</t>
  </si>
  <si>
    <t>cotykanda@yahoo.co.nz</t>
  </si>
  <si>
    <t>29@30</t>
  </si>
  <si>
    <t>[ID-LMW832]</t>
  </si>
  <si>
    <t>8@9</t>
  </si>
  <si>
    <t>Member has Accepted. Escarian - booking report sent 24/02-STCH 13.30</t>
  </si>
  <si>
    <t>Sarah</t>
  </si>
  <si>
    <t xml:space="preserve">Verbally accepted </t>
  </si>
  <si>
    <t>MARGIE</t>
  </si>
  <si>
    <t>MBR0025172</t>
  </si>
  <si>
    <t>margie.ryan19@gmail.com</t>
  </si>
  <si>
    <t>GAYLENE BILLING</t>
  </si>
  <si>
    <t>ED EN Y1-4</t>
  </si>
  <si>
    <t>MBR0024343</t>
  </si>
  <si>
    <t>dhimanmuskan92@gmail.com</t>
  </si>
  <si>
    <t>SOUTHERN FLEURIEU HEALTH SERVICE</t>
  </si>
  <si>
    <t>PRIVATE WARD</t>
  </si>
  <si>
    <t>50 HARBOUR VIEW TERRACE</t>
  </si>
  <si>
    <t>HARBOUR VIEW TERRACE</t>
  </si>
  <si>
    <t>VICTOR HARBOR</t>
  </si>
  <si>
    <t>[ID-LMS065]-Hull</t>
  </si>
  <si>
    <t>[ID-LMS065]</t>
  </si>
  <si>
    <t>ANN-MAREE DADIC</t>
  </si>
  <si>
    <t>CABOOLTURE HOSPITAL</t>
  </si>
  <si>
    <t>WILHELMINA</t>
  </si>
  <si>
    <t>MACLEAN</t>
  </si>
  <si>
    <t>LEANNE STEIN</t>
  </si>
  <si>
    <t>MBR0027579</t>
  </si>
  <si>
    <t>becciemaclean@gmail.com</t>
  </si>
  <si>
    <t xml:space="preserve"> 87/129 MCKEAN ST  CABOOLTURE QLD 4510</t>
  </si>
  <si>
    <t>CABOOLTURE</t>
  </si>
  <si>
    <t>verbally accepted</t>
  </si>
  <si>
    <t>6 WEST - RESPIRATORY</t>
  </si>
  <si>
    <t>LGC658 view comments</t>
  </si>
  <si>
    <t>ANDREA RUDD</t>
  </si>
  <si>
    <t>Member has Accepted. SHIFT EDITED BY USER KATE 02/02/2026 17:27 FTCH WAS 0730 (EMAIL) SHIFT EDITED BY USER EMAM 02/02/2026 09:20 Shift Reinstated. Member Acknowledged Cancellation. Member has Accepted. booked via inurse Kellie solomons client confirmed</t>
  </si>
  <si>
    <t>REQ IM-ORTHO/SPINE-CAN HAVE WHATEVER TIME SHE WANTS</t>
  </si>
  <si>
    <t>JUSTINE</t>
  </si>
  <si>
    <t>FULLER</t>
  </si>
  <si>
    <t>Lana</t>
  </si>
  <si>
    <t>MBR0026044</t>
  </si>
  <si>
    <t>FULLERJ.2016@GMAIL.COM</t>
  </si>
  <si>
    <t>31@56</t>
  </si>
  <si>
    <t xml:space="preserve">EML to fac - Accepted from Mobile. </t>
  </si>
  <si>
    <t>BOOKING REPORT SENT 2/2</t>
  </si>
  <si>
    <t xml:space="preserve">Clifford (no) Wright </t>
  </si>
  <si>
    <t>RITCHELLE</t>
  </si>
  <si>
    <t>ENRIQUEZ</t>
  </si>
  <si>
    <t>Krishnee</t>
  </si>
  <si>
    <t>MBR0020700</t>
  </si>
  <si>
    <t>chelle_enriquez@live.com.au</t>
  </si>
  <si>
    <t>inchrge</t>
  </si>
  <si>
    <t>JANINE</t>
  </si>
  <si>
    <t>FTCH 1500 TO 1130 Accepted from Mobile. lmm Goodwin. Janine aware NLG.</t>
  </si>
  <si>
    <t>4@19</t>
  </si>
  <si>
    <t>ANA- EYE BLOCKS</t>
  </si>
  <si>
    <t>ANA RN Y9</t>
  </si>
  <si>
    <t>BIANCA</t>
  </si>
  <si>
    <t>ELEKES</t>
  </si>
  <si>
    <t>MBR0024054</t>
  </si>
  <si>
    <t>bianca_elekes@live.com</t>
  </si>
  <si>
    <t>Been before</t>
  </si>
  <si>
    <t>3@18</t>
  </si>
  <si>
    <t>HEATHER</t>
  </si>
  <si>
    <t>PREETY</t>
  </si>
  <si>
    <t>EMAILED CLIENT AND SMS TO CONFIRM TO PRETTY Member has Accepted. Email Pretty to Confirm on pparwal@westernhealth.com.au</t>
  </si>
  <si>
    <t>HHQ 3</t>
  </si>
  <si>
    <t>SUMME</t>
  </si>
  <si>
    <t>MBR0027415</t>
  </si>
  <si>
    <t>HHQ3@kemprecruitment.com.au</t>
  </si>
  <si>
    <t>HHQ AIN Nikhil Narwal (0422466605)</t>
  </si>
  <si>
    <t>GRIFFITH REHABILITATION HOSPITAL</t>
  </si>
  <si>
    <t>13 DUNROBIN ROAD</t>
  </si>
  <si>
    <t>HOVE</t>
  </si>
  <si>
    <t>Accepted from Mobile. Lmm Zhou. Emma aware NLG.</t>
  </si>
  <si>
    <t>2@18</t>
  </si>
  <si>
    <t xml:space="preserve">FTCN 1730 TO 1300 Member has Accepted. . FTCH FROM 1530 TO 1730 Member has Accepted. </t>
  </si>
  <si>
    <t xml:space="preserve">lorraine </t>
  </si>
  <si>
    <t>FTCH WAS 19:30 BOOKING REPORT SENT 2/2</t>
  </si>
  <si>
    <t>MARK</t>
  </si>
  <si>
    <t>CASH</t>
  </si>
  <si>
    <t>MBR0026359</t>
  </si>
  <si>
    <t>mcash@powerup.com.au</t>
  </si>
  <si>
    <t xml:space="preserve">Member has Accepted. FTCH 1530 TO 1730 Accepted from Mobile. </t>
  </si>
  <si>
    <t>[ID-LHT302]</t>
  </si>
  <si>
    <t>889959_1</t>
  </si>
  <si>
    <t>Shift Created to Adjust the Pay against the Docket no. 889959</t>
  </si>
  <si>
    <t>889959_2</t>
  </si>
  <si>
    <t>ORD+ PCA+ AIN</t>
  </si>
  <si>
    <t>SOPHIA</t>
  </si>
  <si>
    <t>COLIN THOMSON</t>
  </si>
  <si>
    <t>MBR0027113</t>
  </si>
  <si>
    <t>sophiasharma2006@gmail.com</t>
  </si>
  <si>
    <t>Accepted from Mobile. Sent "forward booking" SMS to all AIN's</t>
  </si>
  <si>
    <t>DEB SAGE</t>
  </si>
  <si>
    <t>Member has Accepted. Declined from Mobile. Shift Release from Cascom</t>
  </si>
  <si>
    <t>[ID-LBN624]</t>
  </si>
  <si>
    <t>Member has Accepted. REQ P Balicka</t>
  </si>
  <si>
    <t>Member has Accepted. STCH WAS 07:30  BOOKING REPORT SENT 2/2</t>
  </si>
  <si>
    <t>Member has Accepted. Auto book 02/02-SFTCH 9.00-17.00</t>
  </si>
  <si>
    <t>NEHA</t>
  </si>
  <si>
    <t>MBR0023920</t>
  </si>
  <si>
    <t>ngaurav46@gmail.com</t>
  </si>
  <si>
    <t>SHIFT EDITED BY USER KATE 02/02/2026 19:31 SHIFT EDITED BY USER KATE 02/02/2026 19:30 SHIFT EDITED BY USER KATE 02/02/2026 19:27 STCH WAS 0700-1500 (SHERYL) Auto book 02/02</t>
  </si>
  <si>
    <t>11@39</t>
  </si>
  <si>
    <t>ANA+ REC</t>
  </si>
  <si>
    <t>WEN</t>
  </si>
  <si>
    <t>CHEN</t>
  </si>
  <si>
    <t>MBR0022810</t>
  </si>
  <si>
    <t>zoe.wen.chen@gmail.com</t>
  </si>
  <si>
    <t>confirmed 2/2</t>
  </si>
  <si>
    <t>MASOMA</t>
  </si>
  <si>
    <t>HAIDARI</t>
  </si>
  <si>
    <t>MBR0026988</t>
  </si>
  <si>
    <t>masoma_haidari@hotmail.com</t>
  </si>
  <si>
    <t xml:space="preserve">Berry (no)- Zerella (no)-booking email sent 02/02-proact sent with email </t>
  </si>
  <si>
    <t>11@12</t>
  </si>
  <si>
    <t xml:space="preserve">SHIFT EDITED BY USER SHELBY 02/02/2026 09:30 Member has Accepted. </t>
  </si>
  <si>
    <t>4@22</t>
  </si>
  <si>
    <t>Member has Accepted. STCH WAS 8 BOOKING REPORT SENT 2/2</t>
  </si>
  <si>
    <t>NEXT SMILE - ADELAIDE</t>
  </si>
  <si>
    <t>ELLY PEARSON</t>
  </si>
  <si>
    <t>65 MAGILL ROAD</t>
  </si>
  <si>
    <t>Zerella: Crocker: Mai: Marsh-booking email sent 30/01</t>
  </si>
  <si>
    <t>dental IV sedation list-65 Magill Road: Stepney SA 5069.</t>
  </si>
  <si>
    <t>CAMERON</t>
  </si>
  <si>
    <t>EELES</t>
  </si>
  <si>
    <t>MBR0024906</t>
  </si>
  <si>
    <t>cameron.eeles@yahoo.com</t>
  </si>
  <si>
    <t>SHIFT EDITED BY USER KATE 02/02/2026 20:03 Member has Accepted. STFCH was 1000-1800 Accepted from Mobile. [ID-LHJ803]</t>
  </si>
  <si>
    <t>[ID-LHJ803]</t>
  </si>
  <si>
    <t>Member has Accepted. . STCH WAS 9AM BOOKING REPORT SENT 2/2</t>
  </si>
  <si>
    <t>Member has Accepted. [ID-LIE401] Shift Release from Cascom</t>
  </si>
  <si>
    <t>[ID-LIE401]</t>
  </si>
  <si>
    <t>amy</t>
  </si>
  <si>
    <t xml:space="preserve">. Member has Accepted. </t>
  </si>
  <si>
    <t>2@9</t>
  </si>
  <si>
    <t>LUCY BROWNE</t>
  </si>
  <si>
    <t>Accepted from Mobile. N Lobo No. P Balicka No.</t>
  </si>
  <si>
    <t>HAIYING</t>
  </si>
  <si>
    <t>GUO</t>
  </si>
  <si>
    <t>MBR0020887</t>
  </si>
  <si>
    <t>stacy6314@hotmail.com</t>
  </si>
  <si>
    <t>Member has Accepted. Ho: Boseley-SFTCH 13.00-21.00</t>
  </si>
  <si>
    <t>5@12</t>
  </si>
  <si>
    <t>SARAH BOYLE</t>
  </si>
  <si>
    <t>7@19</t>
  </si>
  <si>
    <t>Member has Accepted. NLG Sue aware</t>
  </si>
  <si>
    <t>16@24</t>
  </si>
  <si>
    <t>LVM/EMAILED - SFTCH WAS 10 - 18:30  BOOKING REPORT SENT 2/2</t>
  </si>
  <si>
    <t>RECONFIRM BOOKED SHIFT DAY B4-booking report sent 03/02</t>
  </si>
  <si>
    <t>SS-HANDS</t>
  </si>
  <si>
    <t>FIONA STRACHAN</t>
  </si>
  <si>
    <t xml:space="preserve">BOOKING REPORT SENT 2/2 </t>
  </si>
  <si>
    <t>2@20</t>
  </si>
  <si>
    <t xml:space="preserve">kelly </t>
  </si>
  <si>
    <t>14@22</t>
  </si>
  <si>
    <t xml:space="preserve">NATASHA MITROVIC                      </t>
  </si>
  <si>
    <t>gino please</t>
  </si>
  <si>
    <t xml:space="preserve">Member has Accepted. LVM - STCH WAS 12;30  Member has Accepted. </t>
  </si>
  <si>
    <t>NLG Matt aware-**STCN** 1400 Neo (no)</t>
  </si>
  <si>
    <t>WORKING FROM FPH</t>
  </si>
  <si>
    <t xml:space="preserve">LEAH </t>
  </si>
  <si>
    <t xml:space="preserve">Bakul: Zainabu (no) - Shaturskaya </t>
  </si>
  <si>
    <t xml:space="preserve">HHQ RN JUSTINE LAU (0449915863) </t>
  </si>
  <si>
    <t>Manny</t>
  </si>
  <si>
    <t>BARBARA</t>
  </si>
  <si>
    <t>GOLD COAST PRIVATE</t>
  </si>
  <si>
    <t>Bernie</t>
  </si>
  <si>
    <t>14 HILL STREET</t>
  </si>
  <si>
    <t xml:space="preserve">LVM SHANNON </t>
  </si>
  <si>
    <t>MIKE</t>
  </si>
  <si>
    <t>ROMEO</t>
  </si>
  <si>
    <t>MBR0023252</t>
  </si>
  <si>
    <t>mikromeo3@gmail.com</t>
  </si>
  <si>
    <t>BONDI JUNCTION PRIVATE HOSPITAL</t>
  </si>
  <si>
    <t>LEVEL 2  21 SPRING STREET</t>
  </si>
  <si>
    <t>MARISA</t>
  </si>
  <si>
    <t>GODENZI</t>
  </si>
  <si>
    <t>MBR0020939</t>
  </si>
  <si>
    <t>marisagodenzi@hotmail.com</t>
  </si>
  <si>
    <t>Off roster Guinto: Udayabhanu: Bradock: Lindsay: Meaney-wanting someone who has been before -SFTCN 13.00-21.00</t>
  </si>
  <si>
    <t>SINEAD</t>
  </si>
  <si>
    <t>OCONNOR</t>
  </si>
  <si>
    <t>Linda Maddaford</t>
  </si>
  <si>
    <t>MBR0024265</t>
  </si>
  <si>
    <t>sinead1541@gmail.com</t>
  </si>
  <si>
    <t>Emailed client for confirmation before booking.</t>
  </si>
  <si>
    <t>KAREN WARD</t>
  </si>
  <si>
    <t xml:space="preserve">STCH WAS 21:30 Member has Accepted. </t>
  </si>
  <si>
    <t>RECONFIRM BOOKED SHIFT DAY B4-booking report sent 02/02: 03/02</t>
  </si>
  <si>
    <t>ST VINCENTS PRIVATE WERRIBEE</t>
  </si>
  <si>
    <t>ASMITA</t>
  </si>
  <si>
    <t>BASHISTHA</t>
  </si>
  <si>
    <t>MBR0027206</t>
  </si>
  <si>
    <t>bashistha.asmita@gmail.com</t>
  </si>
  <si>
    <t>240 HOOPERS LANE</t>
  </si>
  <si>
    <t>Member has Accepted. CLIENT CONFIRMED ASMITA BASHISTHA</t>
  </si>
  <si>
    <t>ST VINCENTS PRIVATE HOSPITAL EAST MELBOURNE</t>
  </si>
  <si>
    <t>159 GREY STREET</t>
  </si>
  <si>
    <t>[ID-LHR182]</t>
  </si>
  <si>
    <t>SONIKA</t>
  </si>
  <si>
    <t>KAMBO</t>
  </si>
  <si>
    <t>DAMIR SAROVOVIC</t>
  </si>
  <si>
    <t>MBR0022563</t>
  </si>
  <si>
    <t>sonikasandhal@gmail.com</t>
  </si>
  <si>
    <t>TAYLEM</t>
  </si>
  <si>
    <t>Accepted from Mobile. Call back if filled</t>
  </si>
  <si>
    <t>16@28</t>
  </si>
  <si>
    <t>prebooking</t>
  </si>
  <si>
    <t>4@12</t>
  </si>
  <si>
    <t xml:space="preserve">Member has Accepted. PREBOOKING - LEAVE FOR QLD </t>
  </si>
  <si>
    <t>PETRA</t>
  </si>
  <si>
    <t>WATSON</t>
  </si>
  <si>
    <t>Amy</t>
  </si>
  <si>
    <t>MBR0027348</t>
  </si>
  <si>
    <t>watsonpetra1@gmail.com</t>
  </si>
  <si>
    <t>Member has Accepted. STCH WAS 0630 BOOKING REPORT SENT 3/2</t>
  </si>
  <si>
    <t xml:space="preserve">Member has Accepted. LVM AMY </t>
  </si>
  <si>
    <t>10@19</t>
  </si>
  <si>
    <t>hay;ey</t>
  </si>
  <si>
    <t>BOOKING REPORT SENT 3/2</t>
  </si>
  <si>
    <t>11@19</t>
  </si>
  <si>
    <t>STCH WAS 7:30 BOOKING REPORT SENT 3/2</t>
  </si>
  <si>
    <t>STIJO</t>
  </si>
  <si>
    <t>JOHN</t>
  </si>
  <si>
    <t>MARITA</t>
  </si>
  <si>
    <t>MBR0024243</t>
  </si>
  <si>
    <t>psstijo2014@gmail.com</t>
  </si>
  <si>
    <t xml:space="preserve">SHIFT CHANGE 0830- 1300 TO 0630 - 1400 SFTCH AS REQ BY MICHELLE 3/2 - 0830 - 1300 TO 0630 - 1400 CONFIRMED WITH MARIA Member has Accepted. </t>
  </si>
  <si>
    <t>5@18</t>
  </si>
  <si>
    <t>PERTH EYE HOSPITAL</t>
  </si>
  <si>
    <t>Email</t>
  </si>
  <si>
    <t>2@47</t>
  </si>
  <si>
    <t>42 ORD ST</t>
  </si>
  <si>
    <t>WEST PERTH</t>
  </si>
  <si>
    <t>MARIAN DIMACULANGAN</t>
  </si>
  <si>
    <t>RQST FIONA KENNEDY CWH</t>
  </si>
  <si>
    <t>LEE-ANNE</t>
  </si>
  <si>
    <t>RUSKIN</t>
  </si>
  <si>
    <t>MARK REMINGTON</t>
  </si>
  <si>
    <t>MBR0011852</t>
  </si>
  <si>
    <t>HOLLYBR2012@GMAIL.COM</t>
  </si>
  <si>
    <t>Accepted from Mobile. NLG Kyara awareEscarian (no)</t>
  </si>
  <si>
    <t>Short shift 0700 1300 would be fine.</t>
  </si>
  <si>
    <t>MBR0021861</t>
  </si>
  <si>
    <t>lisa.williams.281@pm.me</t>
  </si>
  <si>
    <t>Kellie</t>
  </si>
  <si>
    <t>Booking report sent 04/02</t>
  </si>
  <si>
    <t>JACARANDA- SURGICAL</t>
  </si>
  <si>
    <t>SHIFT EDITED BY USER EMAM 04/02/2026 04:50 Member has Accepted. CLIENT CONFIRMED MEI LEN THAY Shift Release from Cascom</t>
  </si>
  <si>
    <t>[ID-LDB776]</t>
  </si>
  <si>
    <t>889960_1</t>
  </si>
  <si>
    <t>Shift Created to Adjust the Pay against the Docket no. 889960</t>
  </si>
  <si>
    <t>889960_2</t>
  </si>
  <si>
    <t>ADELAIDE DAY SURGERY</t>
  </si>
  <si>
    <t>SCR-EYES</t>
  </si>
  <si>
    <t>NIKKI BENNETT</t>
  </si>
  <si>
    <t>MBR0024813</t>
  </si>
  <si>
    <t>leazheng@outlook.com</t>
  </si>
  <si>
    <t>18 NORTH TERRACE</t>
  </si>
  <si>
    <t>REBECCA KNIGHT</t>
  </si>
  <si>
    <t>Accepted from Mobile. Axford (no)</t>
  </si>
  <si>
    <t>Member has Accepted. SHIFT EDITED BY USER KATE 07/02/2026 17:15 Shift Release from Cascom</t>
  </si>
  <si>
    <t>[ID-LIZ157] in charge</t>
  </si>
  <si>
    <t xml:space="preserve">Robbins </t>
  </si>
  <si>
    <t>WOLLONGONG PRIVATE HOSPITAL</t>
  </si>
  <si>
    <t>360-364 CROWN STREET</t>
  </si>
  <si>
    <t>WOLLONGONG</t>
  </si>
  <si>
    <t>NIC</t>
  </si>
  <si>
    <t>DEEMA</t>
  </si>
  <si>
    <t>TAHA</t>
  </si>
  <si>
    <t>MBR0025269</t>
  </si>
  <si>
    <t>d.taha95@hotmail.com</t>
  </si>
  <si>
    <t>890615_1</t>
  </si>
  <si>
    <t>Shift Created to Adjust the Pay against the Docket no. 890615</t>
  </si>
  <si>
    <t>890615_2</t>
  </si>
  <si>
    <t>6@23</t>
  </si>
  <si>
    <t>BOOKING REPORT SENT 13/2</t>
  </si>
  <si>
    <t>GAN</t>
  </si>
  <si>
    <t xml:space="preserve">ANNA </t>
  </si>
  <si>
    <t>MBR0027299</t>
  </si>
  <si>
    <t>juliemincq@yahoo.com</t>
  </si>
  <si>
    <t>7@21</t>
  </si>
  <si>
    <t>anna</t>
  </si>
  <si>
    <t>11@14</t>
  </si>
  <si>
    <t>1 CENTRAL</t>
  </si>
  <si>
    <t>INURSE</t>
  </si>
  <si>
    <t xml:space="preserve">SHIFT EDITED BY USER SARAHC 14/02/2026 12:55 SHIFT EDITED BY USER ELLAD 14/02/2026 07:34 Member has Accepted. **CC SHAUNA HAND </t>
  </si>
  <si>
    <t>890626_1</t>
  </si>
  <si>
    <t>Shift Created to Adjust the Pay against the Docket no. 890626</t>
  </si>
  <si>
    <t>890626_2</t>
  </si>
  <si>
    <t>PHILIPP</t>
  </si>
  <si>
    <t>michelle</t>
  </si>
  <si>
    <t>MBR0022731</t>
  </si>
  <si>
    <t>sandraphilipp1@gmx.de</t>
  </si>
  <si>
    <t>7@23</t>
  </si>
  <si>
    <t>Member has Accepted. STCH WAS 7-14:30 BOOKING REPORT SENT 13/2</t>
  </si>
  <si>
    <t>ED - EMERGENCY DEPARTMENT</t>
  </si>
  <si>
    <t>ED RN Y1-4</t>
  </si>
  <si>
    <t>ELIZA</t>
  </si>
  <si>
    <t>SZANTO</t>
  </si>
  <si>
    <t>MBR0023877</t>
  </si>
  <si>
    <t>eliza.szanto@gmail.com</t>
  </si>
  <si>
    <t>LISA BOYLE</t>
  </si>
  <si>
    <t>JEFFERSON</t>
  </si>
  <si>
    <t>ENCARNACION</t>
  </si>
  <si>
    <t>DANI</t>
  </si>
  <si>
    <t>MBR0021473</t>
  </si>
  <si>
    <t>jefferson_encarnacion@yahoo.com</t>
  </si>
  <si>
    <t xml:space="preserve">Accepted from Mobile. Declined from Mobile. </t>
  </si>
  <si>
    <t>Member has Accepted. CLIENT CONFIRMED NAVJOT CHAHAL</t>
  </si>
  <si>
    <t>12@14</t>
  </si>
  <si>
    <t>MURRAY BRIDGE SOLDIERS HOSPITAL</t>
  </si>
  <si>
    <t>WARDS MEDICAL</t>
  </si>
  <si>
    <t>96 SWANPORT RD</t>
  </si>
  <si>
    <t>MURRAY BRIDGE</t>
  </si>
  <si>
    <t>[ID-LKQ640]</t>
  </si>
  <si>
    <t>MAXINE</t>
  </si>
  <si>
    <t>PLEASE CHARGE AND PAY $450 PER WEEK ACCOMMODATION ALLOWANCE</t>
  </si>
  <si>
    <t>Please pay member $200 for car hire. Please also pay $50 owing from last week. Total $250. Do not charge Pay only</t>
  </si>
  <si>
    <t>CORRINE</t>
  </si>
  <si>
    <t>BARDALLO</t>
  </si>
  <si>
    <t>max</t>
  </si>
  <si>
    <t>MBR0027342</t>
  </si>
  <si>
    <t>monicabari69@hotmail.com</t>
  </si>
  <si>
    <t xml:space="preserve">SHIFT EDITED BY USER ELLAD 15/02/2026 10:16 Member has Accepted. </t>
  </si>
  <si>
    <t>3 WEST - MATERNITY</t>
  </si>
  <si>
    <t xml:space="preserve">POSTNATAL+ </t>
  </si>
  <si>
    <t>[ID-LKS955]</t>
  </si>
  <si>
    <t>AISLINN</t>
  </si>
  <si>
    <t>HOLLAND</t>
  </si>
  <si>
    <t>MBR0026727</t>
  </si>
  <si>
    <t>aislinnholland56@icloud.com</t>
  </si>
  <si>
    <t>5 NORTH- SURGICAL</t>
  </si>
  <si>
    <t>14@14</t>
  </si>
  <si>
    <t>11@15</t>
  </si>
  <si>
    <t>RECONFIRM BOOKED SHIFT DAY B4 - booking report sent 13/02</t>
  </si>
  <si>
    <t>KAYLA</t>
  </si>
  <si>
    <t>HINDE</t>
  </si>
  <si>
    <t>MBR0024622</t>
  </si>
  <si>
    <t>Kaylahinde@y7mail.com</t>
  </si>
  <si>
    <t>Member has Accepted. STCH was 1900. BOOKING REPORT SENT 13/2</t>
  </si>
  <si>
    <t>FERNANDA</t>
  </si>
  <si>
    <t>mechelle</t>
  </si>
  <si>
    <t>Member has Accepted. DUPLICATE TO REPLACE CATHERINE SESAY</t>
  </si>
  <si>
    <t>PRISCILLA</t>
  </si>
  <si>
    <t>Member has Accepted. RQST UMARU FOR IN CHARGE SHIFT VM: confirm to 4 North Priscilla on 0407 154 953 or 88077474</t>
  </si>
  <si>
    <t>THOMSON</t>
  </si>
  <si>
    <t xml:space="preserve">LYN </t>
  </si>
  <si>
    <t>MBR0024709</t>
  </si>
  <si>
    <t>nhethomson@googlemail.com</t>
  </si>
  <si>
    <t>LEANNE</t>
  </si>
  <si>
    <t xml:space="preserve">Member has Accepted. DUPE to cover Lu Wang </t>
  </si>
  <si>
    <t>CLIENT CONFIRMED NAVJOT CHAHAL Shift Release from Cascom</t>
  </si>
  <si>
    <t>[ID-LKV186]</t>
  </si>
  <si>
    <t>CSU - CARDIAC SERVICES UNIT</t>
  </si>
  <si>
    <t xml:space="preserve">CCU+ </t>
  </si>
  <si>
    <t>Member has Accepted. CLIENT CONFIRMED PERO TOPALOVIC. Shift Release from Cascom</t>
  </si>
  <si>
    <t>[ID-LGF643]</t>
  </si>
  <si>
    <t>NICO</t>
  </si>
  <si>
    <t>Member has Accepted. CLIENT CONFIRMED ANNA LINDENMAYER Shift Release from Cascom</t>
  </si>
  <si>
    <t>[ID-LKV237]</t>
  </si>
  <si>
    <t>28@28</t>
  </si>
  <si>
    <t>3D- 40216</t>
  </si>
  <si>
    <t>[ID-LKV632]</t>
  </si>
  <si>
    <t>1M- 10383</t>
  </si>
  <si>
    <t>REC RN Y2</t>
  </si>
  <si>
    <t>CRAIG</t>
  </si>
  <si>
    <t>MBR0027335</t>
  </si>
  <si>
    <t>lisamkcraig@me.com</t>
  </si>
  <si>
    <t xml:space="preserve">SHIFT EDITED BY USER KATE 15/02/2026 18:09 </t>
  </si>
  <si>
    <t>jodie</t>
  </si>
  <si>
    <t>MERILE</t>
  </si>
  <si>
    <t>confirmed jodie 14/02</t>
  </si>
  <si>
    <t>NICU</t>
  </si>
  <si>
    <t>MARTA</t>
  </si>
  <si>
    <t xml:space="preserve">CLIENT WILL CALL BACK  Member has Accepted. </t>
  </si>
  <si>
    <t xml:space="preserve"> SHIFT BOOKED from Job Roster</t>
  </si>
  <si>
    <t>Member has Accepted. STCH WAS 6:45 BOOKING REPORT SENT 13/2</t>
  </si>
  <si>
    <t xml:space="preserve">Accepted from Mobile. Declined from Mobile. JUSTINE FULLER PULLED OUT. *CWH IRENE  if Justine can work  at Ripley specialised inpatient services: have left vm and SMS to Justine. Accepted from Mobile. PREBOOKING - LEAVE FOR QLD </t>
  </si>
  <si>
    <t xml:space="preserve">COULD BE IPSWICH OR AT RIPLEY SPECIALISED INPATIENT SERVICES LOCATED AT 	150 Botany Drive: South Ripley </t>
  </si>
  <si>
    <t>AIN 1</t>
  </si>
  <si>
    <t>SOHAILA</t>
  </si>
  <si>
    <t>MURTAZAWEE</t>
  </si>
  <si>
    <t xml:space="preserve">PREBOOKING </t>
  </si>
  <si>
    <t>MBR0026059</t>
  </si>
  <si>
    <t>SOHAILA_MURTAZAWEE@OUTLOOK.COM</t>
  </si>
  <si>
    <t>TAEGYU</t>
  </si>
  <si>
    <t>HWANG</t>
  </si>
  <si>
    <t>MBR0027125</t>
  </si>
  <si>
    <t>unisaeddie@gmail.com</t>
  </si>
  <si>
    <t>SHIFT EDITED BY USER KATE 16/02/2026 18:16 Booking email sent 10/02</t>
  </si>
  <si>
    <t>THE GEORGE CENTRE</t>
  </si>
  <si>
    <t>ACURIO HEALTH GROUP</t>
  </si>
  <si>
    <t>HHQ</t>
  </si>
  <si>
    <t>LOTS 832 &amp; 833) THE HERMITAGE WAY</t>
  </si>
  <si>
    <t>GLEDSWOOD HILLS</t>
  </si>
  <si>
    <t>SHILA</t>
  </si>
  <si>
    <t>HHQ AIN Nikhil Narwal - 0422466605 - BOOKING REPORT SENT 13/2</t>
  </si>
  <si>
    <t xml:space="preserve">Leanne </t>
  </si>
  <si>
    <t>PAEDS</t>
  </si>
  <si>
    <t>LADY ROSE</t>
  </si>
  <si>
    <t>DEMAIN</t>
  </si>
  <si>
    <t>MBR0025626</t>
  </si>
  <si>
    <t>ladyrose32002@gmail.com</t>
  </si>
  <si>
    <t>RENEE MCHUGH</t>
  </si>
  <si>
    <t>CAROL GILES PULLED OUT. *CWH Auto book 02/02</t>
  </si>
  <si>
    <t xml:space="preserve">block booking: have linids name already for this day </t>
  </si>
  <si>
    <t>Member has Accepted. SHIFT EDITED BY USER SARAHC 13/02/2026 20:01 Auto book 02/02</t>
  </si>
  <si>
    <t>can be 7.00-15.00 or 13.00-21.00</t>
  </si>
  <si>
    <t>Member has Accepted. M Marsh</t>
  </si>
  <si>
    <t>WARDS+ ED</t>
  </si>
  <si>
    <t xml:space="preserve">SHIFT EDITED BY USER JENNY 16/02/2026 04:54 Member has Accepted. </t>
  </si>
  <si>
    <t xml:space="preserve">faye </t>
  </si>
  <si>
    <t>1@14</t>
  </si>
  <si>
    <t>31@41</t>
  </si>
  <si>
    <t>gemma</t>
  </si>
  <si>
    <t>21@40</t>
  </si>
  <si>
    <t>GEMMA</t>
  </si>
  <si>
    <t>O HALLORAN</t>
  </si>
  <si>
    <t>Richard</t>
  </si>
  <si>
    <t>MBR0026689</t>
  </si>
  <si>
    <t>Shannonohalloran50@gmail.com</t>
  </si>
  <si>
    <t>richard</t>
  </si>
  <si>
    <t>XIANGTAO</t>
  </si>
  <si>
    <t>LIAO</t>
  </si>
  <si>
    <t>MBR0021376</t>
  </si>
  <si>
    <t>lfanyun521@gmail.com</t>
  </si>
  <si>
    <t xml:space="preserve">SHIFT EDITED BY USER DION 16/02/2026 09:39 Accepted from Mobile. RECONFIRM BOOKED SHIFT DAY B4 </t>
  </si>
  <si>
    <t>26@47</t>
  </si>
  <si>
    <t>Accepted from Mobile. NLG Sam aware</t>
  </si>
  <si>
    <t>Not Signed</t>
  </si>
  <si>
    <t>For records- paper timesheet Signed by Rachel Prosser.</t>
  </si>
  <si>
    <t>ST GEORGE PRIVATE HOSPITAL</t>
  </si>
  <si>
    <t>NELSON WISNIEWSKI</t>
  </si>
  <si>
    <t>1 SOUTH STREET</t>
  </si>
  <si>
    <t>CONFIRMATION EMAIL SENT 13/2</t>
  </si>
  <si>
    <t>1@23</t>
  </si>
  <si>
    <t>Member has Accepted. STFTCH WAS 6:30 TILL FINISH BOOKING REPORT SENT 13/2</t>
  </si>
  <si>
    <t>CAMDEN SURGICAL HOSPITAL</t>
  </si>
  <si>
    <t>ELIZABETH GLAVINCEVSKI</t>
  </si>
  <si>
    <t>HILDER ST</t>
  </si>
  <si>
    <t>ELDERSLIE</t>
  </si>
  <si>
    <t>EMANUELA</t>
  </si>
  <si>
    <t>KOOSNEY</t>
  </si>
  <si>
    <t>neme</t>
  </si>
  <si>
    <t>MBR0026673</t>
  </si>
  <si>
    <t>koosney_emanuela@yahoo.com</t>
  </si>
  <si>
    <t>Neme gomez</t>
  </si>
  <si>
    <t>email sent 13/02</t>
  </si>
  <si>
    <t>SHERBROOK</t>
  </si>
  <si>
    <t>barbara</t>
  </si>
  <si>
    <t>Member has Accepted. Luke okay with 8-12pm.  Sujana called - can only work until 12pm. Email sent to Luke. awaiting response. REQ Zerella (no)-Sharma: Fabbro: Marsh-email sent to Luke 11/2-SFTCH 7.30-15.30</t>
  </si>
  <si>
    <t>Sienia Mahoney</t>
  </si>
  <si>
    <t>Member has Accepted. REQ FRANCES</t>
  </si>
  <si>
    <t>Email booking off Ho- Sarah sent 10/02</t>
  </si>
  <si>
    <t>time negotiable</t>
  </si>
  <si>
    <t xml:space="preserve">NLG Co ord aware Cuk: Tonks </t>
  </si>
  <si>
    <t>SOUTHERN SYDNEY PRIVATE HOSPITAL</t>
  </si>
  <si>
    <t>LIZZA MATAPAJA</t>
  </si>
  <si>
    <t xml:space="preserve">LEVEL 2 </t>
  </si>
  <si>
    <t>629 KINGSWAY</t>
  </si>
  <si>
    <t>confirmed email 13/02</t>
  </si>
  <si>
    <t>20@39</t>
  </si>
  <si>
    <t>Member has Accepted. STCH WAS 8:30 Accepted from Mobile. SURESH KUTTICHEN PULLED OUT. *CWH*</t>
  </si>
  <si>
    <t>Marsh-booking report sent 13/02 - email sent to Scott confirming Marsh</t>
  </si>
  <si>
    <t>JAI MATTHEWS-COX</t>
  </si>
  <si>
    <t>Member has Accepted. STCH WAS 07:30  BOOKING REPORT SENT 13/2</t>
  </si>
  <si>
    <t>[ID-LMW403]</t>
  </si>
  <si>
    <t>tanja</t>
  </si>
  <si>
    <t>18@20</t>
  </si>
  <si>
    <t>42@47</t>
  </si>
  <si>
    <t>SUHA KAUSHAL</t>
  </si>
  <si>
    <t>JENNY BOSELEY PULLED OUT. Member has Accepted. Fabbro (no) Boseley</t>
  </si>
  <si>
    <t>Can be ANA or BB ANA</t>
  </si>
  <si>
    <t>Accepted from Mobile. NLG Olivia aware</t>
  </si>
  <si>
    <t>LEVEL 6- ORTHO</t>
  </si>
  <si>
    <t>Matt</t>
  </si>
  <si>
    <t>Carol</t>
  </si>
  <si>
    <t>Booking email sent 25/02</t>
  </si>
  <si>
    <t>YAMORENA</t>
  </si>
  <si>
    <t>KOPI</t>
  </si>
  <si>
    <t>MBR0023150</t>
  </si>
  <si>
    <t>emmanuelkopi@gmail.com</t>
  </si>
  <si>
    <t>NLG Olivia aware-booking report sent 24/02</t>
  </si>
  <si>
    <t>FRIEL</t>
  </si>
  <si>
    <t>BERNIE</t>
  </si>
  <si>
    <t>MBR0024917</t>
  </si>
  <si>
    <t>fayhunter6@gmail.com</t>
  </si>
  <si>
    <t>Member has Accepted. Has Name</t>
  </si>
  <si>
    <t>Verbally confirmed on phone - Has Name</t>
  </si>
  <si>
    <t>GLENELG COMMUNITY HOSPITAL</t>
  </si>
  <si>
    <t xml:space="preserve">DAY SURGERY UNIT </t>
  </si>
  <si>
    <t>LEISA</t>
  </si>
  <si>
    <t>CHAPPELL</t>
  </si>
  <si>
    <t>MELANIE CURRY</t>
  </si>
  <si>
    <t>MBR0011831</t>
  </si>
  <si>
    <t>chapps@outlook.com.au</t>
  </si>
  <si>
    <t xml:space="preserve">5 FARRELL STREET </t>
  </si>
  <si>
    <t>ANNABEL GANLEY</t>
  </si>
  <si>
    <t>call Mel Curry in the morning to book.</t>
  </si>
  <si>
    <t>CRONIN</t>
  </si>
  <si>
    <t>MICHELLE WAKENS</t>
  </si>
  <si>
    <t>MBR0026281</t>
  </si>
  <si>
    <t>mcmarycronin@gmail.com</t>
  </si>
  <si>
    <t>TRACY</t>
  </si>
  <si>
    <t>DEARLOVE</t>
  </si>
  <si>
    <t>MBR0020613</t>
  </si>
  <si>
    <t>dearlove4@yahoo.com.au</t>
  </si>
  <si>
    <t>Accepted from Mobile. NLG Mel awareCrocker: Cuk</t>
  </si>
  <si>
    <t>*CWH*-JANE PARKER PULLED OUT. Booking email sent 24/02</t>
  </si>
  <si>
    <t>THE LIFE HOUSE</t>
  </si>
  <si>
    <t>8 NORTH</t>
  </si>
  <si>
    <t>ELLIOT BROWN</t>
  </si>
  <si>
    <t>119-143 MISSENDEN ROAD</t>
  </si>
  <si>
    <t>CAMPERDOWN</t>
  </si>
  <si>
    <t>HHQ AIN AIN Simran Kaur // Ph - 0451135413</t>
  </si>
  <si>
    <t>Sarah Sheppard</t>
  </si>
  <si>
    <t xml:space="preserve">STC 22.45 - 0715 TO 1900 - 0730 -TC VERBALLY CONFIRMED WITH MICHAEL Member has Accepted. </t>
  </si>
  <si>
    <t>RECONFIRM BOOKED SHIFT DAY B4 - 24/02: 25/02</t>
  </si>
  <si>
    <t>CONDOR CARDIOLOGY- CCU</t>
  </si>
  <si>
    <t>BEAU</t>
  </si>
  <si>
    <t xml:space="preserve">Member has Accepted. GERRY MAHONEY BOOKED: CLIENT GETTING BACK AS TO IF CAN TAKE CERT. DIDN'T GO THROUGH OUR SYSTEM BUT CONFIRMED THROUGH CLIENTS. </t>
  </si>
  <si>
    <t>LAURA FITZGERALD</t>
  </si>
  <si>
    <t>Member has Accepted. Shift Reinstated. Shift Release from Cascom</t>
  </si>
  <si>
    <t>[ID-LKX507]</t>
  </si>
  <si>
    <t>MEDICAL/SURGICAL</t>
  </si>
  <si>
    <t>[ID-LMV938]</t>
  </si>
  <si>
    <t xml:space="preserve">Member has Accepted. STCH WAS 6 Member has Accepted. . . . </t>
  </si>
  <si>
    <t>ANA RN Y2</t>
  </si>
  <si>
    <t>LOK YEN</t>
  </si>
  <si>
    <t>MBR0026442</t>
  </si>
  <si>
    <t>lokyen.tan@gmail.com</t>
  </si>
  <si>
    <t>[ID-LMM009]</t>
  </si>
  <si>
    <t>SHIFT EDITED BY USER DION 25/02/2026 18:12 SHIFT EDITED BY USER DION 25/02/2026 18:10 Auto book 16/02</t>
  </si>
  <si>
    <t>ANY SHIFT AM/PM</t>
  </si>
  <si>
    <t>21@22</t>
  </si>
  <si>
    <t>BOOKING REPORT SENT 25/2</t>
  </si>
  <si>
    <t>PAQUITA KENNETT</t>
  </si>
  <si>
    <t>SHIFT EDITED BY USER VERTEXLS 01/03/2026 11:34 BOOKING REPORT SENT 25/2</t>
  </si>
  <si>
    <t>EILIDH</t>
  </si>
  <si>
    <t>THOM</t>
  </si>
  <si>
    <t>MBR0027482</t>
  </si>
  <si>
    <t>eilidh_thom@hotmail.com</t>
  </si>
  <si>
    <t>SHIFT EDITED BY USER VERTEXLS 01/03/2026 11:36 BOOKING REPORT SENT 25/2</t>
  </si>
  <si>
    <t>HHQ ROSE PEARSE - 0490375085</t>
  </si>
  <si>
    <t>KELLY PHILLIPS</t>
  </si>
  <si>
    <t>RECONFIRM BOOKED SHIFT DAY B4 -FTCN 15.30-spoke with Kelly time change good _Booking report sent 26/02</t>
  </si>
  <si>
    <t>SULTANA</t>
  </si>
  <si>
    <t>MBR0026259</t>
  </si>
  <si>
    <t>lucysultana@gmail.com</t>
  </si>
  <si>
    <t>Member has Accepted. FTCH was 1730. BOOKING REPORT SENT 25/2</t>
  </si>
  <si>
    <t>BERNETTE - MEDICAL</t>
  </si>
  <si>
    <t>891873_1</t>
  </si>
  <si>
    <t>Shift Created to Adjust the Pay against the Docket no. 891873</t>
  </si>
  <si>
    <t>891873_2</t>
  </si>
  <si>
    <t xml:space="preserve">Member has Accepted. CLIENT CONFIRMED MEI-LEN THAY </t>
  </si>
  <si>
    <t>bec bracken</t>
  </si>
  <si>
    <t>Patricia</t>
  </si>
  <si>
    <t>CONFIRMATION EMAIL SENT 25/2</t>
  </si>
  <si>
    <t>22@23</t>
  </si>
  <si>
    <t>SHIFT EDITED BY USER VERTEXLS 01/03/2026 11:37 BOOKING REPORT SENT 25/2</t>
  </si>
  <si>
    <t>[ID-LND332]</t>
  </si>
  <si>
    <t>SHIFT EDITED BY USER DION 25/02/2026 15:06 Member has Accepted. [ID-LMZ855] S Sharma</t>
  </si>
  <si>
    <t>[ID-LMZ855]</t>
  </si>
  <si>
    <t>891914_1</t>
  </si>
  <si>
    <t>Shift Created to Adjust the Pay against the Docket no. 891914</t>
  </si>
  <si>
    <t>891914_2</t>
  </si>
  <si>
    <t xml:space="preserve">SHIFT EDITED BY USER VERTEXLS 01/03/2026 11:30 Member has Accepted. </t>
  </si>
  <si>
    <t>Member has Accepted. SHIFT EDITED BY USER KATE 25/02/2026 17:34 STCH WAS 0800 (DEX) BOOKING REPORT SENT 25/2</t>
  </si>
  <si>
    <t>Tonks - email sent 24/02 - can stay till 14.30</t>
  </si>
  <si>
    <t>3@9</t>
  </si>
  <si>
    <t>Accepted from Mobile. NLG Olivia aware-Marsh (no): Zerella (no): Cornish (no)</t>
  </si>
  <si>
    <t xml:space="preserve">Accepted from Mobile. BLOCK BOOKING REQUEST FROM BEVERLY </t>
  </si>
  <si>
    <t>S Marsh-booking report sent 24/02</t>
  </si>
  <si>
    <t>Rachel confirmed 8.30-12.30 shift fine -Giles -Booking report sent 26/02</t>
  </si>
  <si>
    <t xml:space="preserve">No Epas - urology: general: gastro </t>
  </si>
  <si>
    <t>Cathy</t>
  </si>
  <si>
    <t>Member has Accepted. REQ BY FAC - LEAVE FOR QLD</t>
  </si>
  <si>
    <t>19@20</t>
  </si>
  <si>
    <t>MA FLORENCE</t>
  </si>
  <si>
    <t>TOLEDANO</t>
  </si>
  <si>
    <t>MBR0021828</t>
  </si>
  <si>
    <t>fna0215@yahoo.com</t>
  </si>
  <si>
    <t>Accepted from Mobile.  Lyons (no)</t>
  </si>
  <si>
    <t>ARUN</t>
  </si>
  <si>
    <t xml:space="preserve">Member has Accepted. SHIFT EDITED BY USER KATE 25/02/2026 16:31 </t>
  </si>
  <si>
    <t>TOM</t>
  </si>
  <si>
    <t>Tom</t>
  </si>
  <si>
    <t>COURTNEY TRENORDEN </t>
  </si>
  <si>
    <t xml:space="preserve">Eleena avail from 9AM. Email sent to book. awaiting conf. Accepted from Mobile. </t>
  </si>
  <si>
    <t>Member has Accepted. Either Anaes or Rec only 1 M Berry</t>
  </si>
  <si>
    <t>SAMUELS</t>
  </si>
  <si>
    <t>MBR0024372</t>
  </si>
  <si>
    <t>rachellesamuels@hotmail.com</t>
  </si>
  <si>
    <t>Member has Accepted. Rachelle needs to finish at 1600. theatre in charge advised it should be fine. email sent to Nepean. Member has Accepted. SHIFT EDITED BY USER KATE 25/02/2026 17:33 STCH (DEX) WAS 0730 BOOKING REPORT SENT 25/2</t>
  </si>
  <si>
    <t>SARAH JORGENSON</t>
  </si>
  <si>
    <t>SHIFT EDITED BY USER VERTEXLS 01/03/2026 11:33 BOOKING REPORT SENT 25/2</t>
  </si>
  <si>
    <t xml:space="preserve">SHIFT EDITED BY USER VERTEXLS 01/03/2026 11:32 LVM Zerella - off roster </t>
  </si>
  <si>
    <t>Member has Accepted. SHIFT EDITED BY USER KATE 25/02/2026 17:33 STCH WAS 0700 (DEX) BOOKING REPORT SENT 25/2</t>
  </si>
  <si>
    <t xml:space="preserve">SHIFT EDITED BY USER NOREENM 25/02/2026 14:10 CONFIRMATION EMAIL SENT 23/2 Member has Accepted. </t>
  </si>
  <si>
    <t>SCR RN G2 Y5+</t>
  </si>
  <si>
    <t>MURPHY</t>
  </si>
  <si>
    <t>MBR0027089</t>
  </si>
  <si>
    <t>katemurphy335@gmail.com</t>
  </si>
  <si>
    <t>Member has Accepted. **SFTCH** 0630 - 1430</t>
  </si>
  <si>
    <t>2@25</t>
  </si>
  <si>
    <t>Debbie</t>
  </si>
  <si>
    <t>DANICA</t>
  </si>
  <si>
    <t>VOIVODICH</t>
  </si>
  <si>
    <t>MBR0024124</t>
  </si>
  <si>
    <t>pvoivodich@bigpond.com</t>
  </si>
  <si>
    <t>RECONFIRM BOOKED SHIFT DAY B4 -Booking report sent 26/02</t>
  </si>
  <si>
    <t>2@24</t>
  </si>
  <si>
    <t xml:space="preserve">Booking email sent 17/02. </t>
  </si>
  <si>
    <t>7@8</t>
  </si>
  <si>
    <t>FTCH 21.00-Neha</t>
  </si>
  <si>
    <t>TAMARA PEARSON</t>
  </si>
  <si>
    <t>39@41</t>
  </si>
  <si>
    <t>RECONFIRM BOOKED SHIFT DAY B4 Booking report sent 26/02</t>
  </si>
  <si>
    <t xml:space="preserve">STACEY </t>
  </si>
  <si>
    <t xml:space="preserve">SHIFT EDITED BY USER DION 25/02/2026 18:10 </t>
  </si>
  <si>
    <t>FIONA BOLTON</t>
  </si>
  <si>
    <t>[ID-LNE899]</t>
  </si>
  <si>
    <t>CORNISH</t>
  </si>
  <si>
    <t>MBR0026630</t>
  </si>
  <si>
    <t>cornish45@bigpond.com</t>
  </si>
  <si>
    <t>Tonks - double -Cornish booking report sent 25/02</t>
  </si>
  <si>
    <t>REC RN Y4</t>
  </si>
  <si>
    <t>D SOUZA</t>
  </si>
  <si>
    <t>MBR0027656</t>
  </si>
  <si>
    <t>dsouzajess5@gmail.com</t>
  </si>
  <si>
    <t>Accepted from Mobile. [ID-LMZ836]</t>
  </si>
  <si>
    <t>[ID-LMZ836]</t>
  </si>
  <si>
    <t>LU</t>
  </si>
  <si>
    <t>MBR0027531</t>
  </si>
  <si>
    <t>luwang0724@outlook.com</t>
  </si>
  <si>
    <t>8@14</t>
  </si>
  <si>
    <t>Marsh -booking report sent 24/02</t>
  </si>
  <si>
    <t>Member has Accepted. Gelastopoulos</t>
  </si>
  <si>
    <t xml:space="preserve">DSouza (no)-Rough </t>
  </si>
  <si>
    <t>WARD ALLOCATIONS</t>
  </si>
  <si>
    <t>URSZULA</t>
  </si>
  <si>
    <t>OBIERZYNSKI</t>
  </si>
  <si>
    <t>MBR0023184</t>
  </si>
  <si>
    <t>urszulaob@hotmail.com</t>
  </si>
  <si>
    <t>Member has Accepted. CLIENT CONFIRMED URSZULA OBIERZYNSKI</t>
  </si>
  <si>
    <t xml:space="preserve">Member has Accepted. NLG Nima aware-SFTCN 12.00-20-00-SFTCH </t>
  </si>
  <si>
    <t>[ID-LNA480]</t>
  </si>
  <si>
    <t>Member has Accepted. REQ WENZ</t>
  </si>
  <si>
    <t>KAT</t>
  </si>
  <si>
    <t>incharge</t>
  </si>
  <si>
    <t>7 SOUTH</t>
  </si>
  <si>
    <t>SWEENEY</t>
  </si>
  <si>
    <t>MBR0027235</t>
  </si>
  <si>
    <t>kristy_xo@live.com.au</t>
  </si>
  <si>
    <t>21@23</t>
  </si>
  <si>
    <t>MOVING TO SCN - MAK ALREADY AGREED - WILL BE 3RD ON  BOOKING REPORT SENT 25/2</t>
  </si>
  <si>
    <t xml:space="preserve">ICU </t>
  </si>
  <si>
    <t>SHIFT EDITED BY USER JENNY 26/02/2026 14:42 SHIFT EDITED BY USER JENNY 26/02/2026 14:39 Member has Accepted. Shift Release from Cascom</t>
  </si>
  <si>
    <t>[ID-LNG352]</t>
  </si>
  <si>
    <t>JEENA</t>
  </si>
  <si>
    <t>Daniel</t>
  </si>
  <si>
    <t>MBR0027120</t>
  </si>
  <si>
    <t>jeenajoseph26.jj@gmail.com</t>
  </si>
  <si>
    <t>CONFIRMED WITH STAFF DIRECTLY</t>
  </si>
  <si>
    <t>Member has Accepted. BACK TO ORIGINAL TIME Declined from Mobile. LVM - FTCH WAS 15:30 - WILL TAKE ORIGINAL TIME IF SHE DECLINES BOOKING REPORT SENT 3/2</t>
  </si>
  <si>
    <t>STCH WAS 06:30  BOOKING REPORT SENT 3/2</t>
  </si>
  <si>
    <t xml:space="preserve">Member has Accepted. LVM PHYLLIS </t>
  </si>
  <si>
    <t>MCCOURT STREET DAY SURGERY</t>
  </si>
  <si>
    <t>RENEE</t>
  </si>
  <si>
    <t>SIMMS</t>
  </si>
  <si>
    <t>JOANNE GRANT</t>
  </si>
  <si>
    <t>MBR0023696</t>
  </si>
  <si>
    <t>reneesimms@live.com.au</t>
  </si>
  <si>
    <t xml:space="preserve">28 MCCOURT STREET </t>
  </si>
  <si>
    <t xml:space="preserve"> Emailed client for confirmation. Member has Accepted. </t>
  </si>
  <si>
    <t xml:space="preserve">CONFIRMED JORDAN PHNE 03/02 **SHIFT EDITED BY USER KATE 03/02/2026 20:15 FTCN WAS 1530 NEEDS TO FINISH 1430 TO PICK UP DAUGHTER Member has Accepted. . . </t>
  </si>
  <si>
    <t>Member has Accepted. SHIFT EDITED BY USER JENNIG 03/02/2026 14:23 BOOKING REPORT SENT 3/2</t>
  </si>
  <si>
    <t>5@22</t>
  </si>
  <si>
    <t>Member has Accepted. STCH WAS 8 BOOKING REPORT SENT 3/2</t>
  </si>
  <si>
    <t>13@30</t>
  </si>
  <si>
    <t>SS RN Y3</t>
  </si>
  <si>
    <t>CEVDET</t>
  </si>
  <si>
    <t>AKIN</t>
  </si>
  <si>
    <t>MBR0026135</t>
  </si>
  <si>
    <t>Cevdet.a1995@hotmail.com</t>
  </si>
  <si>
    <t xml:space="preserve">confirmed nexus </t>
  </si>
  <si>
    <t>DR JODY</t>
  </si>
  <si>
    <t>Member has Accepted. SHIFT EDITED BY USER KATE 03/02/2026 19:20 STCH WAS 0800-1600 EMAILED CLIENT TO CONFIRM Member has Accepted. Rqst Frances</t>
  </si>
  <si>
    <t>KAREN</t>
  </si>
  <si>
    <t>Member has Accepted. LVM - STCH WAS 7AM BOOKING REPORT SENT 3/2</t>
  </si>
  <si>
    <t>Member has Accepted. LVM - STCH WAS 7AM  BOOKING REPORT SENT 3/2</t>
  </si>
  <si>
    <t>LOBO</t>
  </si>
  <si>
    <t>DANIEL HA</t>
  </si>
  <si>
    <t>MBR0027245</t>
  </si>
  <si>
    <t>lobnic25@gmail.com</t>
  </si>
  <si>
    <t>Member has Accepted. Rqst Lobo</t>
  </si>
  <si>
    <t>Accepted from Mobile. SHIFT EDITED BY USER KATE 03/02/2026 17:31 NLG Olivia awareOff roster De castro</t>
  </si>
  <si>
    <t>6@18</t>
  </si>
  <si>
    <t>Erica</t>
  </si>
  <si>
    <t>jordan</t>
  </si>
  <si>
    <t xml:space="preserve">SHIFT EDITED BY USER LINDAG 03/02/2026 15:10 </t>
  </si>
  <si>
    <t xml:space="preserve">SHIFT EDITED BY USER SHELBY 03/02/2026 14:54 ELEENA CAN DO 0900 START Accepted from Mobile. </t>
  </si>
  <si>
    <t>9@15</t>
  </si>
  <si>
    <t>Member has Accepted. EMAILED 3/2 - STCH WAS 7AM BOOKING REPORT SENT 3/2</t>
  </si>
  <si>
    <t>12@39</t>
  </si>
  <si>
    <t>Member has Accepted. STCH WAS 8:30 BOOKING REPORT SENT 3/2</t>
  </si>
  <si>
    <t>CONFIRMED 3/2</t>
  </si>
  <si>
    <t>KATHERINE</t>
  </si>
  <si>
    <t>REC+ WARDS+ DPU</t>
  </si>
  <si>
    <t>Tracking shift</t>
  </si>
  <si>
    <t>GRACE BACENA</t>
  </si>
  <si>
    <t>CHELSEA CLARKE</t>
  </si>
  <si>
    <t>MBR0021692</t>
  </si>
  <si>
    <t>nursenicky77@yahoo.co.uk</t>
  </si>
  <si>
    <t>COORDINATOR GEBNERIC</t>
  </si>
  <si>
    <t>CHANGING BACK TO ORIGINAL TIME.  LVM - STCH WAS 12 BOOKING REPORT SENT 3/2</t>
  </si>
  <si>
    <t xml:space="preserve">ANAESTHETICS DEPT </t>
  </si>
  <si>
    <t>Member has Accepted. Marsh - email sent booking off 30/01-STCH 7.00</t>
  </si>
  <si>
    <t>SHIFT EDITED BY USER DION 03/02/2026 15:43 Booking report sent 02/02</t>
  </si>
  <si>
    <t>MBR0023738</t>
  </si>
  <si>
    <t>helenofchoi88@hotmail.com</t>
  </si>
  <si>
    <t>10@12</t>
  </si>
  <si>
    <t>CHANT-ARMSTRONG</t>
  </si>
  <si>
    <t>MBR0023346</t>
  </si>
  <si>
    <t>kdarmstrong8@bigpond.com</t>
  </si>
  <si>
    <t>Client requested for Karen</t>
  </si>
  <si>
    <t>Member has Accepted. SHIFT EDITED BY USER DION 03/02/2026 13:22 SHIFT EDITED BY USER DION 03/02/2026 13:21 Auto book 02/02</t>
  </si>
  <si>
    <t>general/plastics</t>
  </si>
  <si>
    <t>TAHLIA PAPINI</t>
  </si>
  <si>
    <t>8@19</t>
  </si>
  <si>
    <t>17@24</t>
  </si>
  <si>
    <t>Angela Bevan please</t>
  </si>
  <si>
    <t>3@20</t>
  </si>
  <si>
    <t>*CWH** ANALISA FABBRO PULLED OUT. Booking email sent 04/02</t>
  </si>
  <si>
    <t>Analisa Fabro please</t>
  </si>
  <si>
    <t>[ID-LIM093]-STCN 13.00</t>
  </si>
  <si>
    <t>[ID-LIM093]</t>
  </si>
  <si>
    <t>TARA</t>
  </si>
  <si>
    <t>tara</t>
  </si>
  <si>
    <t>GRATWICK WARD</t>
  </si>
  <si>
    <t>LEKI</t>
  </si>
  <si>
    <t>ZANGMO</t>
  </si>
  <si>
    <t>MBR0025812</t>
  </si>
  <si>
    <t>Leklekzang_46@hotmail.com</t>
  </si>
  <si>
    <t xml:space="preserve">SHIFT EDITED BY USER NOREENM 04/02/2026 12:31 Accepted from Mobile. </t>
  </si>
  <si>
    <t xml:space="preserve"> CALL DIALED TO MEMBER FROM ALLOCATION SCREEN - MEMBER CONTACT CARD</t>
  </si>
  <si>
    <t>Medical &amp; Ward 4E[ID-LIN159]</t>
  </si>
  <si>
    <t>W Williams</t>
  </si>
  <si>
    <t>Booking report sent 03/02</t>
  </si>
  <si>
    <t>PROCEDURE SUITE</t>
  </si>
  <si>
    <t>THANJAN</t>
  </si>
  <si>
    <t>MBR0011714</t>
  </si>
  <si>
    <t>PRISCILLATHANJAN@GMAIL.COM</t>
  </si>
  <si>
    <t>Member has Accepted. Forby (no) Thanjan</t>
  </si>
  <si>
    <t>[ID-LII232]</t>
  </si>
  <si>
    <t>LINDA MADDAFORD</t>
  </si>
  <si>
    <t xml:space="preserve">Pay for parking: was initally booked as recovery but changed to wards by the client. Client used her in recovery anyway. Finance note to pay recovery rates REQ SINEAD O CONNOR  </t>
  </si>
  <si>
    <t>TERENCE</t>
  </si>
  <si>
    <t>RIVERA</t>
  </si>
  <si>
    <t>MBR0022723</t>
  </si>
  <si>
    <t>srgamefarm@gmail.com</t>
  </si>
  <si>
    <t xml:space="preserve">Member has Accepted. NCWH** RICARDO DOS SANTOS PULLED OUT. Member has Accepted. </t>
  </si>
  <si>
    <t>5@13</t>
  </si>
  <si>
    <t>Member has Accepted. . Shift Reinstated. Member Acknowledged Cancellation. LVM and emailed</t>
  </si>
  <si>
    <t xml:space="preserve">SHIFTMATCH                               </t>
  </si>
  <si>
    <t>Member has Accepted. [ID-KYX829]-Kearon</t>
  </si>
  <si>
    <t>[ID-KYX829]</t>
  </si>
  <si>
    <t>[ID-LFI532]</t>
  </si>
  <si>
    <t>Nico</t>
  </si>
  <si>
    <t>Member has Accepted. Binni</t>
  </si>
  <si>
    <t>Orderly Shift - some bed &amp; trolley pushing required</t>
  </si>
  <si>
    <t>JODIE MEEHAN-JOHNSON</t>
  </si>
  <si>
    <t xml:space="preserve">Member has Accepted. CLIENT CONFIRMED WEAVER </t>
  </si>
  <si>
    <t xml:space="preserve">Bec verbally accepted </t>
  </si>
  <si>
    <t>ZHAOMING</t>
  </si>
  <si>
    <t>YANG</t>
  </si>
  <si>
    <t>WENDY HERMEL</t>
  </si>
  <si>
    <t>MBR0027320</t>
  </si>
  <si>
    <t>jimmyzhaoming@gmail.com</t>
  </si>
  <si>
    <t xml:space="preserve">Selenia </t>
  </si>
  <si>
    <t>Member has Accepted. LVM AND EMAILED- STCH WAS 7 BOOKING REPORT SENT 4/2</t>
  </si>
  <si>
    <t>6@22</t>
  </si>
  <si>
    <t>BOOKING REPORT SENT 4/2</t>
  </si>
  <si>
    <t>ARYAN</t>
  </si>
  <si>
    <t>DHULL</t>
  </si>
  <si>
    <t>MBR0027106</t>
  </si>
  <si>
    <t>aryandhull2105@gmail.com</t>
  </si>
  <si>
    <t>24@41</t>
  </si>
  <si>
    <t>RECONFIRM BOOKED SHIFT DAY B4 -Booking report sent 04/02: 05/02</t>
  </si>
  <si>
    <t>Member has Accepted. Booking report sent 02/02-FTCH 15.00</t>
  </si>
  <si>
    <t xml:space="preserve">spreasheet sent: awaiting conf. Member has Accepted. Declined from Mobile. </t>
  </si>
  <si>
    <t>13@47</t>
  </si>
  <si>
    <t xml:space="preserve">SHIFT EDITED BY USER DION 03/02/2026 15:36 </t>
  </si>
  <si>
    <t>Member has Accepted. STCH WAS 0900 Member has Accepted. SFTCH 0730-1600 TO 0900-1800 RQST Emily Wilson</t>
  </si>
  <si>
    <t>Booking report sent 03/02-STCH 7.30</t>
  </si>
  <si>
    <t>amanda</t>
  </si>
  <si>
    <t>SURGICAL WARD</t>
  </si>
  <si>
    <t>pre bookings</t>
  </si>
  <si>
    <t>Accepted from Mobile. PREBOOKINGS LEAVE FOR QLD</t>
  </si>
  <si>
    <t>rebecca</t>
  </si>
  <si>
    <t xml:space="preserve">SHIFT EDITED BY USER JENNIG 05/02/2026 05:40 Member has Accepted. </t>
  </si>
  <si>
    <t>889961_1</t>
  </si>
  <si>
    <t>Shift Created to Adjust the Pay against the Docket no. 889961</t>
  </si>
  <si>
    <t>889961_2</t>
  </si>
  <si>
    <t>[ID-KWN737]</t>
  </si>
  <si>
    <t>**FTCH** 1300 M Zheng</t>
  </si>
  <si>
    <t xml:space="preserve">Member has Accepted. CLIENT CONFIRMED KIM RATANA VM </t>
  </si>
  <si>
    <t>diane</t>
  </si>
  <si>
    <t xml:space="preserve">SHIFT EDITED BY USER SHELBY 27/01/2026 14:40 Member has Accepted. </t>
  </si>
  <si>
    <t>889425_1</t>
  </si>
  <si>
    <t>Shift Created to Adjust the Pay against the Docket no. 889425</t>
  </si>
  <si>
    <t>889425_2</t>
  </si>
  <si>
    <t>Shift Created to Adjust the Pay against the Docket no. 889425 - min charge 4hrs</t>
  </si>
  <si>
    <t>Esther</t>
  </si>
  <si>
    <t>Member has Accepted. STCH WAS 7 BOOKING REPORT SENT 4/2</t>
  </si>
  <si>
    <t>SHORT STAY UNIT</t>
  </si>
  <si>
    <t>SS RN Y1-4</t>
  </si>
  <si>
    <t>DANIELLE</t>
  </si>
  <si>
    <t>ADAMSON</t>
  </si>
  <si>
    <t>Abbie</t>
  </si>
  <si>
    <t>MBR0027473</t>
  </si>
  <si>
    <t>danielleadamson123@gmail.com</t>
  </si>
  <si>
    <t>LAINEY</t>
  </si>
  <si>
    <t xml:space="preserve">Running late due to traffic: have not been able to get through to staffing 0800 </t>
  </si>
  <si>
    <t>0435642161</t>
  </si>
  <si>
    <t>jody</t>
  </si>
  <si>
    <t>courtney</t>
  </si>
  <si>
    <t xml:space="preserve">COURTNEY </t>
  </si>
  <si>
    <t xml:space="preserve">confirmed courtney phne </t>
  </si>
  <si>
    <t>RHEA</t>
  </si>
  <si>
    <t>Member has Accepted. Ho -booking report sent to Rhea 07/01</t>
  </si>
  <si>
    <t>RAC RN</t>
  </si>
  <si>
    <t>28339-1</t>
  </si>
  <si>
    <t>Meditech</t>
  </si>
  <si>
    <t>PREETIG</t>
  </si>
  <si>
    <t>Meditech RN Chiamaka IkemePhone - 0499194141</t>
  </si>
  <si>
    <t>Member has Accepted. STCH WAS 13:00 BOOKING REPORT SENT 13/2</t>
  </si>
  <si>
    <t>SHIFT EDITED BY USER DION 16/02/2026 09:43 SHIFT EDITED BY USER DION 16/02/2026 08:21 NLG Nima aware*CWH*-TORY GELASTOPOULOS PULLED OUT. Booking report sent 13/02 Zhou</t>
  </si>
  <si>
    <t>COORDINATOR</t>
  </si>
  <si>
    <t>KEMP</t>
  </si>
  <si>
    <t xml:space="preserve">SHIFT EDITED BY USER KATE 16/02/2026 18:16 </t>
  </si>
  <si>
    <t>AGNES</t>
  </si>
  <si>
    <t>MANIGSACA</t>
  </si>
  <si>
    <t>TIFFANY</t>
  </si>
  <si>
    <t>MBR0025561</t>
  </si>
  <si>
    <t>agnesdurango@yahoo.com</t>
  </si>
  <si>
    <t>TUFFANY</t>
  </si>
  <si>
    <t xml:space="preserve">Accepted from Mobile. . </t>
  </si>
  <si>
    <t>ERIKA</t>
  </si>
  <si>
    <t xml:space="preserve">LVM Ben. Sent email to Erika: Ben and Lauren to book. Accepted from Mobile. </t>
  </si>
  <si>
    <t>REPLACING JACOBI</t>
  </si>
  <si>
    <t>Booking report sent 13/02</t>
  </si>
  <si>
    <t>Dr Isaac Harvey - someone who has scrubbed for Harvey before</t>
  </si>
  <si>
    <t xml:space="preserve">Member has Accepted. Declined from Mobile. Declined from Mobile. Declined from Mobile. Declined from Mobile. </t>
  </si>
  <si>
    <t>Member has Accepted. LVM - STCH WAS 6:45 BOOKING REPORT SENT 13/2</t>
  </si>
  <si>
    <t>Megan Elseworth</t>
  </si>
  <si>
    <t>JASON</t>
  </si>
  <si>
    <t>Member has Accepted. SHIFT EDITED BY USER SARAHC 13/02/2026 18:04 Booking report sent 13/02STCH 0700-1500</t>
  </si>
  <si>
    <t>CAROLINE</t>
  </si>
  <si>
    <t>ORTHO/SPINE</t>
  </si>
  <si>
    <t>Member has Accepted. Clifford</t>
  </si>
  <si>
    <t>Or Rec</t>
  </si>
  <si>
    <t>8@11</t>
  </si>
  <si>
    <t xml:space="preserve">EMAILED CLIENT Member has Accepted. </t>
  </si>
  <si>
    <t>6@16</t>
  </si>
  <si>
    <t>HHQ AIIN India Love - Ph No - 0468946528</t>
  </si>
  <si>
    <t xml:space="preserve">Member has Accepted. SHIFT EDITED BY USER SIMONE 16/02/2026 11:43 LVM for aimee has aimee  name </t>
  </si>
  <si>
    <t>RIPLEY HEALTH SERVICE</t>
  </si>
  <si>
    <t>irene</t>
  </si>
  <si>
    <t>150 BOTANY DRIVE</t>
  </si>
  <si>
    <t>SOUTH RIPLEY</t>
  </si>
  <si>
    <t>IRENE</t>
  </si>
  <si>
    <t>23@47</t>
  </si>
  <si>
    <t>gina</t>
  </si>
  <si>
    <t>ELISA</t>
  </si>
  <si>
    <t>PARTRIDGE</t>
  </si>
  <si>
    <t>MBR0024928</t>
  </si>
  <si>
    <t>elisapartridge@myyahoo.com</t>
  </si>
  <si>
    <t>Member has Accepted. RQST Elisa. hospital confirmed direcly with Elisa.</t>
  </si>
  <si>
    <t>SMS</t>
  </si>
  <si>
    <t>Member has Accepted. DUPLICATE to replace MAK MOYO</t>
  </si>
  <si>
    <t>can be 7.00-15.00 or 13.00-21.00-ortho/spine</t>
  </si>
  <si>
    <t>SHIFT EDITED BY USER KATE 16/02/2026 16:13 Member has Accepted. SHIFT EDITED BY USER KATE 16/02/2026 16:11 Shift Reinstated. Shift Release from Cascom</t>
  </si>
  <si>
    <t>[ID-LKY020]</t>
  </si>
  <si>
    <t>9@21</t>
  </si>
  <si>
    <t>Member has Accepted. STCH WAS 21:30 BOOKING REPORT SENT 13/2</t>
  </si>
  <si>
    <t xml:space="preserve">Member has Accepted. CLIENT CONFIRMED PERO TOPALOVIC </t>
  </si>
  <si>
    <t>Accepted from Mobile. no avails</t>
  </si>
  <si>
    <t>[ID-LLC844]</t>
  </si>
  <si>
    <t>RECONFIRM BOOKED SHIFT DAY B4-booking report sent 13/02</t>
  </si>
  <si>
    <t>10@16</t>
  </si>
  <si>
    <t>12@16</t>
  </si>
  <si>
    <t>HHQ RN AINE BRIDGEMAN - 0455428316</t>
  </si>
  <si>
    <t>MITCHAM PRIVATE HOSPITAL</t>
  </si>
  <si>
    <t>WINDSOR COURT- MED SURG</t>
  </si>
  <si>
    <t>27 DONCASTER EAST ROAD</t>
  </si>
  <si>
    <t>MITCHAM</t>
  </si>
  <si>
    <t>[ID-LKY111]</t>
  </si>
  <si>
    <t>10 hours in overtime for the week</t>
  </si>
  <si>
    <t xml:space="preserve">AIN+ </t>
  </si>
  <si>
    <t>[ID-LKZ116]</t>
  </si>
  <si>
    <t>Megan Johnstone</t>
  </si>
  <si>
    <t xml:space="preserve">jamie </t>
  </si>
  <si>
    <t>Member has Accepted. SHIFT EDITED BY USER DION 16/02/2026 13:34 Auto book 02/02</t>
  </si>
  <si>
    <t>can be 7.00-15.00 or 13.00-21.00 -ortho/spine</t>
  </si>
  <si>
    <t xml:space="preserve">WARDS+ PSYC </t>
  </si>
  <si>
    <t>11@18</t>
  </si>
  <si>
    <t>BOOKING REPORT SENT 16/2</t>
  </si>
  <si>
    <t>NICOLE RUSSELL-HIGGINS</t>
  </si>
  <si>
    <t>Req Totani-booked off 05/02</t>
  </si>
  <si>
    <t>KARINA</t>
  </si>
  <si>
    <t>PASTEN</t>
  </si>
  <si>
    <t>MBR0021178</t>
  </si>
  <si>
    <t>kpasten5@optusnet.com.au</t>
  </si>
  <si>
    <t>LAURA-JANE</t>
  </si>
  <si>
    <t>EDGINGTON</t>
  </si>
  <si>
    <t>MBR0025651</t>
  </si>
  <si>
    <t>Laura-jane.edgington@hotmail.co.uk</t>
  </si>
  <si>
    <t>Created by Payroll Officer.Pay &amp; Charge 4hrs late cancellation.</t>
  </si>
  <si>
    <t>block booking req by beverly</t>
  </si>
  <si>
    <t xml:space="preserve">SHIFT EDITED BY USER EMAM 17/02/2026 04:48 Accepted from Mobile. </t>
  </si>
  <si>
    <t>DPU-RN</t>
  </si>
  <si>
    <t>NATASHA</t>
  </si>
  <si>
    <t>HANCOCK</t>
  </si>
  <si>
    <t>MBR0026354</t>
  </si>
  <si>
    <t>tashh72@bigpond.net.au</t>
  </si>
  <si>
    <t>SHIFT EDITED BY USER DION 17/02/2026 13:26 Member has Accepted. Shift Release from Cascom</t>
  </si>
  <si>
    <t>[ID-LLC290]</t>
  </si>
  <si>
    <t>REPLACING RADIC</t>
  </si>
  <si>
    <t>14@16</t>
  </si>
  <si>
    <t xml:space="preserve">FTCN WAS 19:30  </t>
  </si>
  <si>
    <t>INCHRGE</t>
  </si>
  <si>
    <t xml:space="preserve">Member has Accepted. . Shift Reinstated. cwh* SARAH ESIENAKIFE PULLED OUT. Accepted from Mobile. PREBOOKING - LEAVE FOR QLD </t>
  </si>
  <si>
    <t>WARD 3B</t>
  </si>
  <si>
    <t>SONIA</t>
  </si>
  <si>
    <t>MBR0027489</t>
  </si>
  <si>
    <t>soniabugra8080@gmail.com</t>
  </si>
  <si>
    <t>10@13</t>
  </si>
  <si>
    <t>ANYA</t>
  </si>
  <si>
    <t xml:space="preserve">Member has Accepted. . REQ JAMES SMITH </t>
  </si>
  <si>
    <t>GUTSCHON</t>
  </si>
  <si>
    <t>MBR0025422</t>
  </si>
  <si>
    <t>rachel.gutschon@gmail.com</t>
  </si>
  <si>
    <t>Member has Accepted. FTCH was 1330. Emailed Lucy</t>
  </si>
  <si>
    <t>FRANK</t>
  </si>
  <si>
    <t>ACKERLY</t>
  </si>
  <si>
    <t>MBR0025534</t>
  </si>
  <si>
    <t>frank.j.ackerly@gmail.com</t>
  </si>
  <si>
    <t>Member has Accepted. CLIENT CONFIRMED KELLIE SOLOMONS</t>
  </si>
  <si>
    <t>7@9</t>
  </si>
  <si>
    <t>STCH WAS 10:30  Member has Accepted. SHIFT EDITED BY USER KATE 16/02/2026 19:43 STCH WAS 1200 (KIM) BOOKING REPORT SENT 16/2</t>
  </si>
  <si>
    <t>DYLAN CARTER</t>
  </si>
  <si>
    <t xml:space="preserve">Shift Reinstated. Accepted from Mobile. [ID-LLD193]-CA aware Denise late </t>
  </si>
  <si>
    <t>[ID-LLD193]</t>
  </si>
  <si>
    <t>21@39</t>
  </si>
  <si>
    <t>JIN</t>
  </si>
  <si>
    <t>MBR0022861</t>
  </si>
  <si>
    <t>zjnoriko@gmail.com</t>
  </si>
  <si>
    <t>Accepted from Mobile. NLG Rachel awareClifford: Zerella</t>
  </si>
  <si>
    <t xml:space="preserve"> Verbally confirmed - SHIFT EDITED BY USER KARENK 17/02/2026 08:06 STC 0830 - 0900 - 1400 TO 1600 - CWH BEV</t>
  </si>
  <si>
    <t>9@11</t>
  </si>
  <si>
    <t>Sarah confirmed directly with hospital. SFTCH was 1300-2100. Auto book 02/02</t>
  </si>
  <si>
    <t>HARVY</t>
  </si>
  <si>
    <t>MBR0027238</t>
  </si>
  <si>
    <t>harvypatel2001@gmail.com</t>
  </si>
  <si>
    <t xml:space="preserve">. STCN 0630 TO 0830 CWH Accepted from Mobile. PREBOOKING - LEAVE FOR QLD </t>
  </si>
  <si>
    <t>HENDERSON</t>
  </si>
  <si>
    <t>MBR0025335</t>
  </si>
  <si>
    <t>gamencaffine@proton.me</t>
  </si>
  <si>
    <t xml:space="preserve">SHIFT EDITED BY USER KATE 16/02/2026 17:36 STCH RCH WAS ANA 0700-1300 (MICHELLE) Member has Accepted. name in nexus </t>
  </si>
  <si>
    <t>Member has Accepted. LVM - STCH WAS 13:00  BOOKING REPORT SENT 16/2</t>
  </si>
  <si>
    <t>CONFIRMED 16/2</t>
  </si>
  <si>
    <t>[ID-LLC710]</t>
  </si>
  <si>
    <t>[ID-LLE601]</t>
  </si>
  <si>
    <t>[ID-LLC647]</t>
  </si>
  <si>
    <t>. STCH WAS 07:00 BOOKING REPORT SENT 16/2</t>
  </si>
  <si>
    <t xml:space="preserve">jody </t>
  </si>
  <si>
    <t>verbally acccepted</t>
  </si>
  <si>
    <t>LIZ</t>
  </si>
  <si>
    <t xml:space="preserve">Member has Accepted. . AWARE LIZZA Declined from Mobile. Declined from Mobile. </t>
  </si>
  <si>
    <t>can be ANA or REC: approx 1730 finish</t>
  </si>
  <si>
    <t>Totani- booked off 05/02</t>
  </si>
  <si>
    <t>JIANHONG</t>
  </si>
  <si>
    <t>HU</t>
  </si>
  <si>
    <t>LISSA FOX</t>
  </si>
  <si>
    <t>MBR0021784</t>
  </si>
  <si>
    <t>a.jianhonghu@gmail.com</t>
  </si>
  <si>
    <t>BEST</t>
  </si>
  <si>
    <t>MBR0021268</t>
  </si>
  <si>
    <t>kirstenbest@hotmail.com</t>
  </si>
  <si>
    <t>ELISHA</t>
  </si>
  <si>
    <t xml:space="preserve"> Emailed to book : awaiting confirmation</t>
  </si>
  <si>
    <t>TUMILTY</t>
  </si>
  <si>
    <t>Debbie harding</t>
  </si>
  <si>
    <t>MBR0027606</t>
  </si>
  <si>
    <t>atumilty893@gmail.com</t>
  </si>
  <si>
    <t>debbie harding</t>
  </si>
  <si>
    <t>TEAM LEADER  OT WESTERN</t>
  </si>
  <si>
    <t>FTCN 2100 TO 1900 Declined from Mobile. CWH* CHRIS BECKER PULLED OUT. Member has Accepted. Becker</t>
  </si>
  <si>
    <t xml:space="preserve">Member has Accepted. RECONFIRM BOOKED SHIFT DAY B4 </t>
  </si>
  <si>
    <t>891996_1</t>
  </si>
  <si>
    <t>Shift Created to Adjust the Pay against the Docket no. 891996</t>
  </si>
  <si>
    <t>CCU/HDU/ICU</t>
  </si>
  <si>
    <t xml:space="preserve">Confirmed with Amala will take cert. Member has Accepted. </t>
  </si>
  <si>
    <t>ccu</t>
  </si>
  <si>
    <t>JACKLYN</t>
  </si>
  <si>
    <t>NAIYEP</t>
  </si>
  <si>
    <t>MBR0026530</t>
  </si>
  <si>
    <t>jaxnaiyep@gmail.com</t>
  </si>
  <si>
    <t>Member has Accepted. Declined from Mobile. DUPE X 1</t>
  </si>
  <si>
    <t>. Tamryn LVM</t>
  </si>
  <si>
    <t>jblake</t>
  </si>
  <si>
    <t>Member has Accepted. STCH WAS 6:30 BOOKING REPORT SENT 26/2</t>
  </si>
  <si>
    <t>GABBIE</t>
  </si>
  <si>
    <t>Member has Accepted. client confirmed RACHEL KELLY</t>
  </si>
  <si>
    <t>13@18</t>
  </si>
  <si>
    <t xml:space="preserve">FOLLOW UP REQ WITH SARAH AS DOUBLE BOOKED Accepted from Mobile. PREBOOKING - LEAVE FOR QLD </t>
  </si>
  <si>
    <t>CONFIRMED 26/2</t>
  </si>
  <si>
    <t>CALVARY NORTH ADELAIDE HOSPITAL</t>
  </si>
  <si>
    <t>HDU/ICU</t>
  </si>
  <si>
    <t>ZHENZHEN</t>
  </si>
  <si>
    <t>MBR0021207</t>
  </si>
  <si>
    <t>jenny19810704@163.com</t>
  </si>
  <si>
    <t xml:space="preserve">89 STRANGWAYS TERRACE </t>
  </si>
  <si>
    <t>([ID-LNJ962] **FTCH** 1445 Z Wang</t>
  </si>
  <si>
    <t>[ID-LNJ962]</t>
  </si>
  <si>
    <t>BERNADETTE</t>
  </si>
  <si>
    <t>REYNOLDS</t>
  </si>
  <si>
    <t>MBR0023979</t>
  </si>
  <si>
    <t>bernreynolds69@gmail.com</t>
  </si>
  <si>
    <t>BOOKING REPORT SENT 26/2</t>
  </si>
  <si>
    <t>Member has Accepted. STCH was 1200. Member has Accepted. SHIFT EDITED BY USER ELLAD 26/02/2026 21:47 STCH was 0700. BOOKING REPORT SENT 26/2</t>
  </si>
  <si>
    <t>SHIFT EDITED BY USER VERTEXLS 01/03/2026 11:35 BOOKING REPORT SENT 26/2</t>
  </si>
  <si>
    <t>20@20</t>
  </si>
  <si>
    <t>MEL OAKLEY-BIRRELL</t>
  </si>
  <si>
    <t>Mel aware of shift and time change RECONFIRM BOOKED SHIFT DAY B4 -FTCN 15.30-booking report sent 27/02</t>
  </si>
  <si>
    <t>LINA</t>
  </si>
  <si>
    <t>MBR0026601</t>
  </si>
  <si>
    <t>lina.m.min18@gmail.com</t>
  </si>
  <si>
    <t>STEPHANIE MCMAHON</t>
  </si>
  <si>
    <t>SHIFT EDITED BY USER VERTEXLS 01/03/2026 11:36 BOOKING REPORT SENT 26/2</t>
  </si>
  <si>
    <t>Member has Accepted. CLIENT CONFIRMED SHAUNA HAND</t>
  </si>
  <si>
    <t>[ID-LNK080]</t>
  </si>
  <si>
    <t>. SUSHILA CAN DO 07:00 - 12:30</t>
  </si>
  <si>
    <t xml:space="preserve">SHIFT EDITED BY USER VERTEXLS 01/03/2026 11:30 CONFIRMATION EMAIL SENT 16/2 Member has Accepted. </t>
  </si>
  <si>
    <t>THE SKIN HOSPITAL WESTMEAD</t>
  </si>
  <si>
    <t>THE SKIN HOSPITAL</t>
  </si>
  <si>
    <t>BURNS</t>
  </si>
  <si>
    <t xml:space="preserve">DONNA GARA                          </t>
  </si>
  <si>
    <t>MBR0021458</t>
  </si>
  <si>
    <t>sam_whit@bigpond.com</t>
  </si>
  <si>
    <t>7 ASHLEY LANE</t>
  </si>
  <si>
    <t>DONNA GARA</t>
  </si>
  <si>
    <t>ciara</t>
  </si>
  <si>
    <t>Member has Accepted. LAURA FITZGERALD PULLED OUT.  CWH CATHY. BOOKING REPORT SENT 26/2</t>
  </si>
  <si>
    <t>LUCIA</t>
  </si>
  <si>
    <t>CHARUMBIRA TAKUNDWA</t>
  </si>
  <si>
    <t>Maddy</t>
  </si>
  <si>
    <t>MBR0027425</t>
  </si>
  <si>
    <t>charumbiralucy@yahoo.com</t>
  </si>
  <si>
    <t xml:space="preserve">SHIFT EDITED BY USER VERTEXLS 01/03/2026 11:32 SHIFT EDITED BY USER NOREENM 26/02/2026 11:42 Member has Accepted. </t>
  </si>
  <si>
    <t>SUBIACO PRIVATE HOSPITAL</t>
  </si>
  <si>
    <t>SHANNON HILL</t>
  </si>
  <si>
    <t>SUITE 9 1 SALVADO RD</t>
  </si>
  <si>
    <t>Member has Accepted. Client rqst - Marie Milloy</t>
  </si>
  <si>
    <t>Erin</t>
  </si>
  <si>
    <t>SHIFT EDITED BY USER VERTEXLS 01/03/2026 11:30 . Member has Accepted. Memory No.</t>
  </si>
  <si>
    <t>PEK</t>
  </si>
  <si>
    <t>MBR0026862</t>
  </si>
  <si>
    <t>lynntan_89@hotmail.com</t>
  </si>
  <si>
    <t>Member has Accepted. Willis</t>
  </si>
  <si>
    <t>JODY</t>
  </si>
  <si>
    <t>BLOCK BOOKING / BEVERLY</t>
  </si>
  <si>
    <t>MBR0025933</t>
  </si>
  <si>
    <t>gerryburns@yahoo.com.au</t>
  </si>
  <si>
    <t>CAROLYN CONTI</t>
  </si>
  <si>
    <t xml:space="preserve">Member has Accepted. SHIFT EDITED BY USER EMAM 26/02/2026 07:55 </t>
  </si>
  <si>
    <t>REPLACING FAY</t>
  </si>
  <si>
    <t>CHELSEA HOCKING</t>
  </si>
  <si>
    <t>Member has Accepted. SHIFT EDITED BY USER EMAM 27/02/2026 07:42 Shift Reinstated. Member Acknowledged Cancellation. *CWH* ALISSA FAY PULLED OUT. Booking email sent 19/02-Ward (no)</t>
  </si>
  <si>
    <t>SHIFT EDITED BY USER NOREENM 27/02/2026 08:20 LVm to update Subi - Shauna can only 1400</t>
  </si>
  <si>
    <t>HUGGINS</t>
  </si>
  <si>
    <t>tracey</t>
  </si>
  <si>
    <t>MBR0026893</t>
  </si>
  <si>
    <t>tmhug17@gmail.com</t>
  </si>
  <si>
    <t xml:space="preserve">EML to Tracey 13/02. Awaiting response. -Accepted from Mobile. </t>
  </si>
  <si>
    <t>ANAESTHETICS DEPT AND RECOVERY</t>
  </si>
  <si>
    <t>NABILAH</t>
  </si>
  <si>
    <t>ISMAIL</t>
  </si>
  <si>
    <t>MBR0020565</t>
  </si>
  <si>
    <t>nabilah_syaza@hotmail.com</t>
  </si>
  <si>
    <t>Ismail - booking report sent 30/01</t>
  </si>
  <si>
    <t xml:space="preserve">Member has Accepted. STCH WAS 07:30  BOOKING REPORT SENT 26/2 </t>
  </si>
  <si>
    <t>REQ Khang - booking report sent 11/02 Sarah</t>
  </si>
  <si>
    <t>PRF0002910</t>
  </si>
  <si>
    <t>Booking email sent 27/02</t>
  </si>
  <si>
    <t>MARIE STOPES PERTH</t>
  </si>
  <si>
    <t>MARIE STOPES FAMILY PLANNING</t>
  </si>
  <si>
    <t>HELEN FRIEDLE</t>
  </si>
  <si>
    <t>8 SAYER ST</t>
  </si>
  <si>
    <t>MIDLAND</t>
  </si>
  <si>
    <t>sareeta</t>
  </si>
  <si>
    <t xml:space="preserve">email sent to sareeta awaiting confirmation before bookng off </t>
  </si>
  <si>
    <t>CATHY KITE</t>
  </si>
  <si>
    <t>Cathy Kite changed this shift from PM TO AM SMS Totani Sarah aware NLG-Off roster Totani (no)-off roster Prescott: Kambo: Reseigh: Anns: Sun: Smith</t>
  </si>
  <si>
    <t>Andrea</t>
  </si>
  <si>
    <t>SHIFT EDITED BY USER VERTEXLS 01/03/2026 11:32 Call back in 10-booking report sent 27/02</t>
  </si>
  <si>
    <t xml:space="preserve">no epas needed </t>
  </si>
  <si>
    <t>VALENTINA</t>
  </si>
  <si>
    <t>COSTA</t>
  </si>
  <si>
    <t>Hayley</t>
  </si>
  <si>
    <t>MBR0025557</t>
  </si>
  <si>
    <t>costavalentina346@gmail.com</t>
  </si>
  <si>
    <t>NERIDA MEADEN</t>
  </si>
  <si>
    <t>dental list</t>
  </si>
  <si>
    <t>KRISTINA</t>
  </si>
  <si>
    <t>shella</t>
  </si>
  <si>
    <t>HHQ AIN Orlando Feng // 0424052175</t>
  </si>
  <si>
    <t>22@22</t>
  </si>
  <si>
    <t>Member has Accepted. LVM - STCH WAS 0800 BOOKING REPORT SENT 26/2</t>
  </si>
  <si>
    <t xml:space="preserve">Member has Accepted. SHIFT EDITED BY USER NOREENM 27/02/2026 08:19 Declined from Mobile. Declined from Mobile. . </t>
  </si>
  <si>
    <t>JOVELITT BRICENO</t>
  </si>
  <si>
    <t>RECONFIRM BOOKED SHIFT DAY B4 -Trying to get through to Modbury X 2</t>
  </si>
  <si>
    <t>40@41</t>
  </si>
  <si>
    <t>RECONFIRM BOOKED SHIFT DAY B4 -Booking report sent 26/02: 27/02</t>
  </si>
  <si>
    <t>Kim Garvan</t>
  </si>
  <si>
    <t xml:space="preserve">Email sent to Maree and Kim to book. Awaiting confirmation. Accepted from Mobile. Declined from Mobile. Declined from Mobile. </t>
  </si>
  <si>
    <t>RECONFIRM BOOKED SHIFT DAY B4 - Hull-Booking report sent 26/02: 27/02</t>
  </si>
  <si>
    <t>STPEH</t>
  </si>
  <si>
    <t xml:space="preserve">Gillis - email Olivia 26/02 booking off Gillis </t>
  </si>
  <si>
    <t>LIYA</t>
  </si>
  <si>
    <t>ABRAHAM</t>
  </si>
  <si>
    <t>MBR0026332</t>
  </si>
  <si>
    <t>liya_pynadath@yahoo.co.uk</t>
  </si>
  <si>
    <t>. Accepted from Mobile. [ID-LMZ560]</t>
  </si>
  <si>
    <t>[ID-LMZ560]</t>
  </si>
  <si>
    <t xml:space="preserve">mechelle </t>
  </si>
  <si>
    <t>mechele</t>
  </si>
  <si>
    <t>Marsh - booking report sent 24/02</t>
  </si>
  <si>
    <t>NATALIE</t>
  </si>
  <si>
    <t>MADONIS</t>
  </si>
  <si>
    <t>MBR0026927</t>
  </si>
  <si>
    <t>natalie_vidaic@hotmail.com</t>
  </si>
  <si>
    <t>STEPHANIE</t>
  </si>
  <si>
    <t>MBR0024896</t>
  </si>
  <si>
    <t>drsstaska@gmail.com</t>
  </si>
  <si>
    <t>nicki</t>
  </si>
  <si>
    <t>PENINSULA PRIVATE HOSPITAL QLD</t>
  </si>
  <si>
    <t>WARDS-SURGICAL</t>
  </si>
  <si>
    <t>TEIGAN</t>
  </si>
  <si>
    <t>HORWOOD</t>
  </si>
  <si>
    <t>Josh</t>
  </si>
  <si>
    <t>MBR0027527</t>
  </si>
  <si>
    <t>Teiganhorwood@gmail.com</t>
  </si>
  <si>
    <t>CORNER GEORGE &amp; FLORENCE STREETS</t>
  </si>
  <si>
    <t>KIPPA RING</t>
  </si>
  <si>
    <t>marina</t>
  </si>
  <si>
    <t xml:space="preserve">Member has Accepted. Has Kevins name </t>
  </si>
  <si>
    <t xml:space="preserve"> Booking email sent 19/02</t>
  </si>
  <si>
    <t>CLIENT CONFIRMED ZEINEB SALEH. Declined from Mobile. Declined from Mobile. Shift Release from Cascom</t>
  </si>
  <si>
    <t>[ID-LNJ460]</t>
  </si>
  <si>
    <t>MERYL</t>
  </si>
  <si>
    <t>AITKEN</t>
  </si>
  <si>
    <t>MBR0024413</t>
  </si>
  <si>
    <t>mesdog1@gmail.com</t>
  </si>
  <si>
    <t>REC-ADULT</t>
  </si>
  <si>
    <t>AMANDA RENTSCH</t>
  </si>
  <si>
    <t>SHIFT EDITED BY USER EMAM 27/02/2026 12:36 Shift Release from Cascom</t>
  </si>
  <si>
    <t>[ID-LFS622]</t>
  </si>
  <si>
    <t>JENNITA</t>
  </si>
  <si>
    <t>ABRA</t>
  </si>
  <si>
    <t>hhq</t>
  </si>
  <si>
    <t>MBR0021430</t>
  </si>
  <si>
    <t>janitaabra4@outlook.com</t>
  </si>
  <si>
    <t>CONFIRMATION EMAIL SENT 26/2. HHQ SHIFT</t>
  </si>
  <si>
    <t>reverse</t>
  </si>
  <si>
    <t>TANUNDA WAR MEMORIAL HOSPITAL</t>
  </si>
  <si>
    <t>CCU RN Y5+</t>
  </si>
  <si>
    <t>BINCY</t>
  </si>
  <si>
    <t>GEORGE</t>
  </si>
  <si>
    <t xml:space="preserve">TANYA </t>
  </si>
  <si>
    <t>MBR0025510</t>
  </si>
  <si>
    <t>bincyji12@gmail.com</t>
  </si>
  <si>
    <t>15 MILL STREET</t>
  </si>
  <si>
    <t>TANUNDA</t>
  </si>
  <si>
    <t>[ID-LNN269]-FTCN 7.30</t>
  </si>
  <si>
    <t>[ID-LNN269]</t>
  </si>
  <si>
    <t>CARLA</t>
  </si>
  <si>
    <t>DREADON</t>
  </si>
  <si>
    <t>HELENA WHITE</t>
  </si>
  <si>
    <t>MBR0027575</t>
  </si>
  <si>
    <t>carla98d@gmail.com</t>
  </si>
  <si>
    <t>SESAY</t>
  </si>
  <si>
    <t>MBR0025500</t>
  </si>
  <si>
    <t>cathjoe5@hotmail.com</t>
  </si>
  <si>
    <t>FARAH</t>
  </si>
  <si>
    <t>ADHAMI</t>
  </si>
  <si>
    <t>MBR0026128</t>
  </si>
  <si>
    <t>farahadhami91@gmail.com</t>
  </si>
  <si>
    <t>lee</t>
  </si>
  <si>
    <t>Fiona</t>
  </si>
  <si>
    <t>Fadima LVM Tamryn LVM</t>
  </si>
  <si>
    <t>BOOKING REPORT SENT 27/2</t>
  </si>
  <si>
    <t>Member has Accepted. STCH WAS 0700 BOOKING REPORT SENT 27/2</t>
  </si>
  <si>
    <t>PRF0002963</t>
  </si>
  <si>
    <t>Booking report sent 02/02-Chelsea aware running 5 mins late</t>
  </si>
  <si>
    <t>SUN DOCTORS SKIN CANCER CLINIC GLENUNGA</t>
  </si>
  <si>
    <t>SOUTHERN SUN PRACTICES PTY LTD</t>
  </si>
  <si>
    <t>REC+ SCOUT+ WARDS+ CLINIC</t>
  </si>
  <si>
    <t>ALISON</t>
  </si>
  <si>
    <t>SUITE 9</t>
  </si>
  <si>
    <t>311 GLEN OSMOND ROAD</t>
  </si>
  <si>
    <t>GLENUNGA</t>
  </si>
  <si>
    <t>SHIFT EDITED BY USER KATE 04/02/2026 20:16 Confirm to Alison 0419 303 306</t>
  </si>
  <si>
    <t xml:space="preserve">DPU SCOUT NURSE ROLE= ASSIST IN THEATRE=WOUND CARE= SUTURE REMOVALS= INSTUMENT CLEAN (NOT STERILIZING) PATIENT CHANGEOVERS- CAN BE A RECOVERY OR WARD NURSE </t>
  </si>
  <si>
    <t>LEE-ANNE CREW</t>
  </si>
  <si>
    <t>Member has Accepted. SALLY MARSH PULLED OUT. Booking report sent 03/02</t>
  </si>
  <si>
    <t>13@39</t>
  </si>
  <si>
    <t>Speak to Toni Axford re EPAS</t>
  </si>
  <si>
    <t>Member has Accepted. LVM AND EMAILED - STCH WAS 7 BOOKING REPORT SENT 4/2</t>
  </si>
  <si>
    <t>12@19</t>
  </si>
  <si>
    <t>SHIFT EDITED BY USER EMAM 05/02/2026 06:44 Booking report sent 04/02</t>
  </si>
  <si>
    <t>HAYLEY</t>
  </si>
  <si>
    <t>16@19</t>
  </si>
  <si>
    <t xml:space="preserve">Member has Accepted. Declined from Mobile. . Shift Reinstated. </t>
  </si>
  <si>
    <t>Tiffany</t>
  </si>
  <si>
    <t>15@30</t>
  </si>
  <si>
    <t>17@19</t>
  </si>
  <si>
    <t xml:space="preserve">Clifford </t>
  </si>
  <si>
    <t>CHRISTY</t>
  </si>
  <si>
    <t>SHIFT EDITED BY USER NOREENM 05/02/2026 10:32 Member has Accepted. Declined from Mobile. Client aware- NLG A Patel No. K Kaur No.</t>
  </si>
  <si>
    <t>Member has Accepted. SFTCH WAS 0630-1400 Booking report sent 04/02</t>
  </si>
  <si>
    <t>18@24</t>
  </si>
  <si>
    <t>Booking report sent 05/02</t>
  </si>
  <si>
    <t>LAUREN</t>
  </si>
  <si>
    <t>Jaccobi</t>
  </si>
  <si>
    <t>*CWH*-ALBE SKARIA PULLED OUT. Abraham (no)</t>
  </si>
  <si>
    <t>RECONFIRM BOOKED SHIFT DAY B4-booking report sent 04/02: 05/02</t>
  </si>
  <si>
    <t>SE JIN</t>
  </si>
  <si>
    <t>PYO</t>
  </si>
  <si>
    <t>MBR0025649</t>
  </si>
  <si>
    <t>vytpwls@hotmail.com</t>
  </si>
  <si>
    <t>[ID-LIL524]</t>
  </si>
  <si>
    <t>DONALDSON WARD</t>
  </si>
  <si>
    <t xml:space="preserve">SHIFT EDITED BY USER SHELBY 05/02/2026 11:48 Accepted from Mobile. </t>
  </si>
  <si>
    <t>Member has Accepted. STCH WAS 12:30 BOOKING REPORT SENT 4/2</t>
  </si>
  <si>
    <t>SAJEEBHANU</t>
  </si>
  <si>
    <t>UDAYABHANU</t>
  </si>
  <si>
    <t>MBR0023587</t>
  </si>
  <si>
    <t>sajeeubhanu@yahoo.com</t>
  </si>
  <si>
    <t>Accepted from Mobile. WORKING FROM FPH</t>
  </si>
  <si>
    <t>Member has Accepted. REQ Mai</t>
  </si>
  <si>
    <t>PRESCOTT</t>
  </si>
  <si>
    <t>MBR0026703</t>
  </si>
  <si>
    <t>Gemmalouiseprescott@gmail.com</t>
  </si>
  <si>
    <t>Prescott-swap to Cardiac services</t>
  </si>
  <si>
    <t>Lousie</t>
  </si>
  <si>
    <t xml:space="preserve">. . . </t>
  </si>
  <si>
    <t>[ID-KZP421]-Partridge **STCN**</t>
  </si>
  <si>
    <t>[ID-KZP421]</t>
  </si>
  <si>
    <t>bernie</t>
  </si>
  <si>
    <t>Member has Accepted. bernie has jills name</t>
  </si>
  <si>
    <t xml:space="preserve">SHIFT EDITED BY USER JENNY 05/02/2026 09:39 SHIFT EDITED BY USER JENNY 04/02/2026 08:01 Member has Accepted. </t>
  </si>
  <si>
    <t xml:space="preserve"> EMAILED LINDA</t>
  </si>
  <si>
    <t>NOMZAMO</t>
  </si>
  <si>
    <t>MTHAYISI</t>
  </si>
  <si>
    <t>MBR0020391</t>
  </si>
  <si>
    <t>nomzamomthayisi@gmail.com</t>
  </si>
  <si>
    <t>Kristie</t>
  </si>
  <si>
    <t>ROS</t>
  </si>
  <si>
    <t>ROBERTSON</t>
  </si>
  <si>
    <t>CELIA</t>
  </si>
  <si>
    <t>MBR0020445</t>
  </si>
  <si>
    <t>rosrobbo@tpg.com.au</t>
  </si>
  <si>
    <t xml:space="preserve">Member has Accepted. SHIFT EDITED BY USER KATE 03/02/2026 23:19 STCH WAS 2200 (CELIA) CLIENT WILL CALL BACK Member has Accepted. SHIFT EDITED BY USER KATE 03/02/2026 21:23 </t>
  </si>
  <si>
    <t xml:space="preserve">ICU+ HDU+ CCU+ </t>
  </si>
  <si>
    <t>[ID-LIR392]-Binni</t>
  </si>
  <si>
    <t>[ID-LIR392]</t>
  </si>
  <si>
    <t>WARDS+ AIN</t>
  </si>
  <si>
    <t>KYLIE-KIM MCKEY</t>
  </si>
  <si>
    <t>PRE BOOKINGS</t>
  </si>
  <si>
    <t xml:space="preserve"> . 33449307</t>
  </si>
  <si>
    <t>LGF543</t>
  </si>
  <si>
    <t>Member has Accepted. Client confirmed PERO TOPALOVIC</t>
  </si>
  <si>
    <t>WARDS+ POSTNATAL</t>
  </si>
  <si>
    <t>Member has Accepted. STCN CONFIRMED WITH STEPH AT WESTMEAD Declined from Mobile. Declined from Mobile. Declined from Mobile. REVERSE</t>
  </si>
  <si>
    <t>Member has Accepted. WILL GET BACK TO US - STCH WAS 12:30 BOOKING REPORT SENT 5/2</t>
  </si>
  <si>
    <t>13@15</t>
  </si>
  <si>
    <t>STCH WAS 630 BOOKING REPORT SENT 5/2</t>
  </si>
  <si>
    <t xml:space="preserve">MANDU </t>
  </si>
  <si>
    <t>Member has Accepted. STCH was 0700. Member has Accepted. LVM - STCH WAS 6AM  BOOKING REPORT SENT 5/2</t>
  </si>
  <si>
    <t>STCH WAS 6:30  BOOKING REPORT SENT 5/2</t>
  </si>
  <si>
    <t>Megan</t>
  </si>
  <si>
    <t>BOOKING REPORT SENT 5/2</t>
  </si>
  <si>
    <t>email sent to erika and benjamin to confirm time change Member has Accepted. 97170137 Member has Accepted. STCH WAS 12:30 BOOKING REPORT SENT 5/2</t>
  </si>
  <si>
    <t xml:space="preserve">BOOKING REPORT SENT 5/2 </t>
  </si>
  <si>
    <t>VIANNE VILLAREAL</t>
  </si>
  <si>
    <t>SANTOS</t>
  </si>
  <si>
    <t>CHERYL MCALLISTER</t>
  </si>
  <si>
    <t>MBR0022791</t>
  </si>
  <si>
    <t>viannevill@yahoo.com</t>
  </si>
  <si>
    <t>LVM Santos Auto book 02/02-SFTCH 13.00-21.00</t>
  </si>
  <si>
    <t>15@19</t>
  </si>
  <si>
    <t>ANGKASA</t>
  </si>
  <si>
    <t>MBR0027581</t>
  </si>
  <si>
    <t>waa694111@gmail.com</t>
  </si>
  <si>
    <t>Member has Accepted. LVM - STCH WAS 12:30  STCH WAS 7 BOOKING REPORT SENT 5/2</t>
  </si>
  <si>
    <t xml:space="preserve">Accepted from Mobile. Declined from Mobile. . </t>
  </si>
  <si>
    <t>gastro list -ID: 487908</t>
  </si>
  <si>
    <t xml:space="preserve">ICU - HDU </t>
  </si>
  <si>
    <t>TAAFFE</t>
  </si>
  <si>
    <t>MBR0027049</t>
  </si>
  <si>
    <t>emmataaffe1999@icloud.com</t>
  </si>
  <si>
    <t>STCH WAS 12:30  Member has Accepted. LVM - STCH WAS 7 BOOKING REPORT SENT 5/2</t>
  </si>
  <si>
    <t>ENTERED BY CLIENT-Boseley</t>
  </si>
  <si>
    <t>Sally Forby please</t>
  </si>
  <si>
    <t>WILKINSON</t>
  </si>
  <si>
    <t>MBR0027257</t>
  </si>
  <si>
    <t>jenwilks05@gmail.com</t>
  </si>
  <si>
    <t>Member has Accepted. LVM CLIENT CONFIRMED MEI LEN THAY</t>
  </si>
  <si>
    <t>[ID-LIW628]</t>
  </si>
  <si>
    <t>889962_1</t>
  </si>
  <si>
    <t>Shift Created to Adjust the Pay against the Docket no. 889962</t>
  </si>
  <si>
    <t>889962_2</t>
  </si>
  <si>
    <t>WARDS RN 1.6</t>
  </si>
  <si>
    <t>PAMELA</t>
  </si>
  <si>
    <t>CHI</t>
  </si>
  <si>
    <t>iN cHARGE</t>
  </si>
  <si>
    <t>MBR0025238</t>
  </si>
  <si>
    <t>pam_chi@yahoo.com</t>
  </si>
  <si>
    <t>2 CENTRAL - SURGICAL</t>
  </si>
  <si>
    <t xml:space="preserve">SHIFT EDITED BY USER ELLAD 05/02/2026 20:10 Duplicate to replace ELLA MIDDLETON if she works NS. Member has Accepted. </t>
  </si>
  <si>
    <t>**FTCN** 1230 De Castro</t>
  </si>
  <si>
    <t>JANE LYNCH</t>
  </si>
  <si>
    <t xml:space="preserve">Gideon was send to the wrong address he was meant to be at 320 Victoria ParadeMember has Accepted. </t>
  </si>
  <si>
    <t>889574_1</t>
  </si>
  <si>
    <t>Shift Created to Adjust the Pay against the Docket no. 889574- Pay only</t>
  </si>
  <si>
    <t>Nicole</t>
  </si>
  <si>
    <t xml:space="preserve">Member has Accepted. FTCH 1300  TO 1730 Member has Accepted. </t>
  </si>
  <si>
    <t>KIRANDEEP</t>
  </si>
  <si>
    <t>MBR0027578</t>
  </si>
  <si>
    <t>kaurk270323@gmail.com</t>
  </si>
  <si>
    <t xml:space="preserve">R Simms A Patel S Manaya NO </t>
  </si>
  <si>
    <t>Member has Accepted. LVM - STCH WAS 7AM BOOKING REPORT SENT 5/2</t>
  </si>
  <si>
    <t>Rqst Veronica</t>
  </si>
  <si>
    <t>7@22</t>
  </si>
  <si>
    <t>Member has Accepted. STCH was 0715. BOOKING REPORT SENT 5/2</t>
  </si>
  <si>
    <t>19@24</t>
  </si>
  <si>
    <t>JENA</t>
  </si>
  <si>
    <t>MBR0026711</t>
  </si>
  <si>
    <t>jenachen03@gmail.com</t>
  </si>
  <si>
    <t>Chen -booking report sent 05/02: 06/02</t>
  </si>
  <si>
    <t>Jordan</t>
  </si>
  <si>
    <t>SHIFT EDITED BY USER NOREENM 05/02/2026 10:37 Tracking shift</t>
  </si>
  <si>
    <t>Jacobi-booking report sent 05/02</t>
  </si>
  <si>
    <t xml:space="preserve">JODY </t>
  </si>
  <si>
    <t>Sinha: Cubacub: Im - booking report sent 06/02</t>
  </si>
  <si>
    <t xml:space="preserve">Epas not required </t>
  </si>
  <si>
    <t>Member has Accepted. . CHANGED TO REC AND SFTCH WAS 06:30 - 13:30  BOOKING REPORT SENT 5/2</t>
  </si>
  <si>
    <t>32@41</t>
  </si>
  <si>
    <t xml:space="preserve">RECONFIRM BOOKED SHIFT DAY B4 </t>
  </si>
  <si>
    <t>12@20</t>
  </si>
  <si>
    <t>Member has Accepted. SHIFT EDITED BY USER DION 11/02/2026 13:59 Auto book 02/02</t>
  </si>
  <si>
    <t>MARIAMA</t>
  </si>
  <si>
    <t>TARAWALLY</t>
  </si>
  <si>
    <t>MBR0022910</t>
  </si>
  <si>
    <t>mariamatarawally@hotmail.com</t>
  </si>
  <si>
    <t>ANASTASIA</t>
  </si>
  <si>
    <t>BOJIC</t>
  </si>
  <si>
    <t>MBR0026814</t>
  </si>
  <si>
    <t>anaboj17@gmail.com</t>
  </si>
  <si>
    <t>CLAIRE YOUNG</t>
  </si>
  <si>
    <t>DIVINA</t>
  </si>
  <si>
    <t>DAVINA TASEER</t>
  </si>
  <si>
    <t>GINA</t>
  </si>
  <si>
    <t>STEP</t>
  </si>
  <si>
    <t xml:space="preserve">- </t>
  </si>
  <si>
    <t>10@21</t>
  </si>
  <si>
    <t>[ID-LLE333]</t>
  </si>
  <si>
    <t xml:space="preserve">SHIFT EDITED BY USER DION 16/02/2026 07:05 Accepted from Mobile. RECONFIRM BOOKED SHIFT DAY B4 </t>
  </si>
  <si>
    <t>RECONFIRM BOOKED SHIFT DAY B4</t>
  </si>
  <si>
    <t>RECONFIRM BOOKED SHIFT DAY B4 Stewart EN</t>
  </si>
  <si>
    <t>[ID-LLD891]</t>
  </si>
  <si>
    <t>RATU</t>
  </si>
  <si>
    <t>WAQA</t>
  </si>
  <si>
    <t>MBR0025866</t>
  </si>
  <si>
    <t>b.waqa@yahoo.com.au</t>
  </si>
  <si>
    <t>PREBOOKNG</t>
  </si>
  <si>
    <t>SHAGUN</t>
  </si>
  <si>
    <t>MBR0027376</t>
  </si>
  <si>
    <t>shagun19sharma95@gmail.com</t>
  </si>
  <si>
    <t>BREYAS</t>
  </si>
  <si>
    <t>ANNETTE HABIB</t>
  </si>
  <si>
    <t>Accepted from Mobile. NLG Nette aware-Lee: Legget</t>
  </si>
  <si>
    <t>BEN AUSTIN</t>
  </si>
  <si>
    <t>MBR0024092</t>
  </si>
  <si>
    <t>benasantos@yahoo.com</t>
  </si>
  <si>
    <t>[ID-LJE173]-worked 6.30-12.30 no meal break</t>
  </si>
  <si>
    <t>[ID-LJE173]</t>
  </si>
  <si>
    <t>PRF0000833</t>
  </si>
  <si>
    <t>BOOKING REPORT SENT 17/2</t>
  </si>
  <si>
    <t>Member has Accepted. Name in Nexus</t>
  </si>
  <si>
    <t>RECONFIRM BOOKED SHIFT DAY B4-booking report sent 17/02: 18/02</t>
  </si>
  <si>
    <t>QUIRKE</t>
  </si>
  <si>
    <t>JULIE CARTON</t>
  </si>
  <si>
    <t>MBR0026480</t>
  </si>
  <si>
    <t>quirkemj@bigpond.com.au</t>
  </si>
  <si>
    <t>Rhondell Vella</t>
  </si>
  <si>
    <t>Booking report sent 17/02</t>
  </si>
  <si>
    <t>JAS</t>
  </si>
  <si>
    <t>Member has Accepted. Jacobi</t>
  </si>
  <si>
    <t>Ward dooing a double- Sam Booking email sent 17/02</t>
  </si>
  <si>
    <t>Member has Accepted. Req Gunn (no): Wright: Fay: Forby -booking report sent 05/02</t>
  </si>
  <si>
    <t>SS-IVF</t>
  </si>
  <si>
    <t>STOCKS</t>
  </si>
  <si>
    <t>MBR0023420</t>
  </si>
  <si>
    <t>sarahgetgood@outlook.com</t>
  </si>
  <si>
    <t>Member has Accepted. STCH WAS 6:45 BOOKING REPORT SENT 17/2</t>
  </si>
  <si>
    <t>24@30</t>
  </si>
  <si>
    <t xml:space="preserve">Member has Accepted. REQ JAMWS SMITH </t>
  </si>
  <si>
    <t>TALEESA</t>
  </si>
  <si>
    <t>TELISA</t>
  </si>
  <si>
    <t xml:space="preserve">Accepted from Mobile. SHIFT EDITED BY USER NOREENM 17/02/2026 14:41 </t>
  </si>
  <si>
    <t>Telisa</t>
  </si>
  <si>
    <t>TANIA ARNOLD</t>
  </si>
  <si>
    <t>rainy</t>
  </si>
  <si>
    <t>RAINY</t>
  </si>
  <si>
    <t>Member has Accepted. Giles Booking email sent 17/02-STCH 7.30-11.30-couldn't leave Giles a VM-mailbox full</t>
  </si>
  <si>
    <t>. HHQ LEENA KAUR - 0420 291 600 - BOOKING REPORT SENT 17/2</t>
  </si>
  <si>
    <t xml:space="preserve">SHIFT EDITED BY USER ELLAD 17/02/2026 21:12 LVM. FTCH was 1200. Member has Accepted. </t>
  </si>
  <si>
    <t>ASLEEP DENTAL</t>
  </si>
  <si>
    <t>ANA RN Y5+ M ROCK</t>
  </si>
  <si>
    <t>PLUNKETT</t>
  </si>
  <si>
    <t>Jeff Field</t>
  </si>
  <si>
    <t>MBR0025909</t>
  </si>
  <si>
    <t>Maplunkett6@gmail.com</t>
  </si>
  <si>
    <t>19 HURD STREET</t>
  </si>
  <si>
    <t>PORTLAND</t>
  </si>
  <si>
    <t>JEFF FIELD</t>
  </si>
  <si>
    <t>14@18</t>
  </si>
  <si>
    <t>Member has Accepted. STCH WAS 7 JASMINE NGUYEN PULLED OUT. BOOKING REPORT SENT 17/2</t>
  </si>
  <si>
    <t>22@39</t>
  </si>
  <si>
    <t>NLG Scott aware sunrise not required-Jacobi: Zuniga: Hlaing-booking report sent 17/02:1802</t>
  </si>
  <si>
    <t>sunrise not required</t>
  </si>
  <si>
    <t>MONASH IVF KENT STREET</t>
  </si>
  <si>
    <t>MONASH IVF</t>
  </si>
  <si>
    <t>sophie</t>
  </si>
  <si>
    <t>LEVEL 10 207 KENT STREET</t>
  </si>
  <si>
    <t>SOPHIE</t>
  </si>
  <si>
    <t>Member has Accepted. CLIENT CONFIRMED KIM RATANA Shift Release from Cascom</t>
  </si>
  <si>
    <t>[ID-LLD134]</t>
  </si>
  <si>
    <t>Sonetta</t>
  </si>
  <si>
    <t>NLG Scott aware-S A Marsh - booking report sent 18/02</t>
  </si>
  <si>
    <t>HANNA</t>
  </si>
  <si>
    <t>WOUBISHET</t>
  </si>
  <si>
    <t>MBR0011710</t>
  </si>
  <si>
    <t>POIKAY@YAHOO.COM.AU</t>
  </si>
  <si>
    <t>FTCN 17.00-Mitchell</t>
  </si>
  <si>
    <t>Member has Accepted. SHIFT EDITED BY USER SARAHC 17/02/2026 17:46 Booking email sent 17/02STCH1200-2000</t>
  </si>
  <si>
    <t xml:space="preserve">TEA Relief </t>
  </si>
  <si>
    <t>[ID-LLH778]</t>
  </si>
  <si>
    <t>kim</t>
  </si>
  <si>
    <t>Member has Accepted. STCH WAS 7 BOOKING REPORT SENT 17/2</t>
  </si>
  <si>
    <t xml:space="preserve">SHIFT EDITED BY USER NOREENM 17/02/2026 13:41 Member has Accepted. Shift Edited by SHELBY at 09/02/2026 11:46. </t>
  </si>
  <si>
    <t>890977_3</t>
  </si>
  <si>
    <t>Shift Created to Adjust the Pay against the Docket no. 890977</t>
  </si>
  <si>
    <t>890977_4</t>
  </si>
  <si>
    <t>890977_1</t>
  </si>
  <si>
    <t>890977_2</t>
  </si>
  <si>
    <t>20@24</t>
  </si>
  <si>
    <t xml:space="preserve">LVM Crocker: LMV Berry </t>
  </si>
  <si>
    <t xml:space="preserve">Member has Accepted. Sadie Ward doing double </t>
  </si>
  <si>
    <t>Catherine</t>
  </si>
  <si>
    <t>CATHERINE QUINLAN</t>
  </si>
  <si>
    <t>LAURA HALE</t>
  </si>
  <si>
    <t>Member has Accepted. **SFTCH** 1300 -2100 L Zhang</t>
  </si>
  <si>
    <t>14@23</t>
  </si>
  <si>
    <t>jaiah</t>
  </si>
  <si>
    <t xml:space="preserve">Member has Accepted. has ryans name </t>
  </si>
  <si>
    <t xml:space="preserve">BOOKING REPORT SENT 17/2 </t>
  </si>
  <si>
    <t>Debbie Harding</t>
  </si>
  <si>
    <t>major joint replacement.</t>
  </si>
  <si>
    <t>33@41</t>
  </si>
  <si>
    <t>RECONFIRM BOOKED SHIFT DAY B4 - booking report sent 17/02: 18/02</t>
  </si>
  <si>
    <t xml:space="preserve">Member has Accepted. Declined from Mobile. UNASSIGN BY JACQUI THOMPSON AT 14:28 ON 17/02/2026 Declined from Mobile. Declined from Mobile. Declined from Mobile. </t>
  </si>
  <si>
    <t>MEDICAL WARD</t>
  </si>
  <si>
    <t>ADRIAN</t>
  </si>
  <si>
    <t>YVANOFF</t>
  </si>
  <si>
    <t>AH COORD</t>
  </si>
  <si>
    <t>MBR0027227</t>
  </si>
  <si>
    <t>adrianyvanoff@gmail.com</t>
  </si>
  <si>
    <t>LEBA</t>
  </si>
  <si>
    <t xml:space="preserve">. Member has Accepted. Fac has Adrians name </t>
  </si>
  <si>
    <t>MARION WARD</t>
  </si>
  <si>
    <t>Marion ward</t>
  </si>
  <si>
    <t>HHQ SIMRAN KAUR 0451 135 413 - BOOKING REPORT SENT 17/2</t>
  </si>
  <si>
    <t>11@23</t>
  </si>
  <si>
    <t>UPDATED BOOKING REPORT SENT 17/2</t>
  </si>
  <si>
    <t>SHIFT EDITED BY USER VERTEXLS 01/03/2026 11:35 BOOKING REPORT SENT 27/2</t>
  </si>
  <si>
    <t>MAYNARD</t>
  </si>
  <si>
    <t>GADIANE</t>
  </si>
  <si>
    <t>MBR0022629</t>
  </si>
  <si>
    <t>maynard.gadiane@gmail.com</t>
  </si>
  <si>
    <t>MASADA PRIVATE HOSPITAL</t>
  </si>
  <si>
    <t>26 BALACLAVA ROAD</t>
  </si>
  <si>
    <t>ST KILDA EAST</t>
  </si>
  <si>
    <t>[ID-LNR943]</t>
  </si>
  <si>
    <t>892219_1</t>
  </si>
  <si>
    <t>Shift Created to Adjust the Pay against the Docket no. 892219</t>
  </si>
  <si>
    <t>892219_2</t>
  </si>
  <si>
    <t xml:space="preserve">SHIFT EDITED BY USER VERTEXLS 01/03/2026 11:35 Accepted from Mobile. Declined from Mobile. </t>
  </si>
  <si>
    <t>email sent to sareeta awaiting confirmation before bookng off</t>
  </si>
  <si>
    <t>JOEL</t>
  </si>
  <si>
    <t>VALLE</t>
  </si>
  <si>
    <t>Mel</t>
  </si>
  <si>
    <t>MBR0021233</t>
  </si>
  <si>
    <t>valle.joel@gmail.com</t>
  </si>
  <si>
    <t>SHIFT EDITED BY USER VERTEXLS 01/03/2026 11:37 BOOKING REPORT SENT 27/2</t>
  </si>
  <si>
    <t>WARDS RN Y3</t>
  </si>
  <si>
    <t>YULIZA</t>
  </si>
  <si>
    <t>SANTOSO</t>
  </si>
  <si>
    <t>MBR0027347</t>
  </si>
  <si>
    <t>yulizasantoso@gmail.com</t>
  </si>
  <si>
    <t>LEVEL 4- ENT PLASTICS</t>
  </si>
  <si>
    <t>MARYAM</t>
  </si>
  <si>
    <t>BAZARGAN</t>
  </si>
  <si>
    <t>MBR0024646</t>
  </si>
  <si>
    <t>bazargan1382@yahoo.com</t>
  </si>
  <si>
    <t>danielle</t>
  </si>
  <si>
    <t>confirmed danielle 28/02</t>
  </si>
  <si>
    <t>SHIFT EDITED BY USER SAOIRSE 04/02/2026 09:22 FTCN WAS 1700</t>
  </si>
  <si>
    <t>Member has Accepted. STCH WAS 7AM BOOKING REPORT SENT 5/2</t>
  </si>
  <si>
    <t>Member has Accepted. Ho-booking report sent to Rhea 07/01</t>
  </si>
  <si>
    <t>SALOME</t>
  </si>
  <si>
    <t>MWAGAMOYO</t>
  </si>
  <si>
    <t>MBR0026524</t>
  </si>
  <si>
    <t>sallyjmk9@yahoo.com</t>
  </si>
  <si>
    <t>Accepted from Mobile. Duplicate shift released and to stay open on the APP</t>
  </si>
  <si>
    <t>14@39</t>
  </si>
  <si>
    <t xml:space="preserve">SARAH ZANKER                        </t>
  </si>
  <si>
    <t>REQ Khang-booking email sent 12/01</t>
  </si>
  <si>
    <t>WORKING FROM FPH-Willis -STCN 7.00</t>
  </si>
  <si>
    <t>alex</t>
  </si>
  <si>
    <t>ROCHELLE</t>
  </si>
  <si>
    <t>QUIROZ</t>
  </si>
  <si>
    <t>MBR0024966</t>
  </si>
  <si>
    <t>quirozrochelle@gmail.com</t>
  </si>
  <si>
    <t>Member has Accepted. STFTCH WAS 12:00-18:00 . LVM - STCH WAS 7AM BOOKING REPORT SENT 5/2</t>
  </si>
  <si>
    <t>AMY FRECHTLING</t>
  </si>
  <si>
    <t>Member has Accepted. SFTCH 0930-1800 TO 1100-1930 Member has Accepted. REQ by Fac - Shift confirmed by Fac</t>
  </si>
  <si>
    <t>CONFIRMED 5/2</t>
  </si>
  <si>
    <t>SCR-DENTAL-ORAL</t>
  </si>
  <si>
    <t>Gillis - booking report sent 05/02</t>
  </si>
  <si>
    <t xml:space="preserve">SCRUBSCOUT+ </t>
  </si>
  <si>
    <t>[ID-LEE799]</t>
  </si>
  <si>
    <t>ENTERED BY CLIENT-Thanjan (no) Tran (no): Marsh: Mai</t>
  </si>
  <si>
    <t>Tran- booking report sent 05/02</t>
  </si>
  <si>
    <t>ENTERED BY CLIENT-off roster Mai: Irving: Clifford</t>
  </si>
  <si>
    <t>RECONFIRM BOOKED SHIFT DAY B4-Hull-booking report sent 05/02: 06/02</t>
  </si>
  <si>
    <t>5@20</t>
  </si>
  <si>
    <t>Member has Accepted. Auto book 02/02</t>
  </si>
  <si>
    <t>FRITZ</t>
  </si>
  <si>
    <t>GUINTO</t>
  </si>
  <si>
    <t>MBR0024238</t>
  </si>
  <si>
    <t>fritz.guinto@yahoo.com</t>
  </si>
  <si>
    <t>10@11</t>
  </si>
  <si>
    <t>STCN 13.00</t>
  </si>
  <si>
    <t>MELANIE</t>
  </si>
  <si>
    <t>FOLEY</t>
  </si>
  <si>
    <t>Jasmine</t>
  </si>
  <si>
    <t>MBR0025368</t>
  </si>
  <si>
    <t>melanie_foley@hotmail.com</t>
  </si>
  <si>
    <t>Member has Accepted. nil avails - very short staffed will take any times</t>
  </si>
  <si>
    <t>Member has Accepted. Gelestopoulos</t>
  </si>
  <si>
    <t>Member has Accepted. Totani</t>
  </si>
  <si>
    <t xml:space="preserve">Member has Accepted. C/C Kevin </t>
  </si>
  <si>
    <t xml:space="preserve">Booking report sent 05/02 </t>
  </si>
  <si>
    <t>STELLA</t>
  </si>
  <si>
    <t>CHO</t>
  </si>
  <si>
    <t>MBR0022714</t>
  </si>
  <si>
    <t>miresarang@gmail.com</t>
  </si>
  <si>
    <t>6@8</t>
  </si>
  <si>
    <t>WARD 5A</t>
  </si>
  <si>
    <t>889668_1</t>
  </si>
  <si>
    <t>Shift Created to Adjust the Pay against the Docket no. 889668</t>
  </si>
  <si>
    <t>889668_2</t>
  </si>
  <si>
    <t>jo</t>
  </si>
  <si>
    <t>confirmed jo phne 06/02</t>
  </si>
  <si>
    <t>[ID-LHR183]</t>
  </si>
  <si>
    <t>DSU - PINCE OF WALES</t>
  </si>
  <si>
    <t>TONIA EDWARDS</t>
  </si>
  <si>
    <t>teresa</t>
  </si>
  <si>
    <t>Member has Accepted. duped to replace Cherry as too early no transport</t>
  </si>
  <si>
    <t>SS-ORTHOPAEDICS-MAJOR</t>
  </si>
  <si>
    <t>VAN THUY</t>
  </si>
  <si>
    <t>TRUONG</t>
  </si>
  <si>
    <t>jess</t>
  </si>
  <si>
    <t>MBR0022862</t>
  </si>
  <si>
    <t>vanomfh@yahoo.com</t>
  </si>
  <si>
    <t>BOOKING REPORT SENT 6/2</t>
  </si>
  <si>
    <t>lissa</t>
  </si>
  <si>
    <t>MBR0011758</t>
  </si>
  <si>
    <t>BERNADETTE_M_HICKEY@YAHOO.CO.UK</t>
  </si>
  <si>
    <t>Member has Accepted. EMAILED 6/2</t>
  </si>
  <si>
    <t>SHIFT EDITED BY USER SHELBY 27/01/2026 11:10 Member has Accepted. Rqst Heffernan</t>
  </si>
  <si>
    <t>DONNA</t>
  </si>
  <si>
    <t>BENNETTS</t>
  </si>
  <si>
    <t>MBR0026973</t>
  </si>
  <si>
    <t>donnabennetts@msn.com</t>
  </si>
  <si>
    <t>. BOOKING REPORT SENT 6/2</t>
  </si>
  <si>
    <t>HAPPY TO TAKE RM OR RN WHO WILL WORK ON POSTNATAL WARD (EXPERINCE PREFERRED)</t>
  </si>
  <si>
    <t>SUNITA</t>
  </si>
  <si>
    <t>PETTIT</t>
  </si>
  <si>
    <t>MBR0022264</t>
  </si>
  <si>
    <t>beaker616@hotmail.com</t>
  </si>
  <si>
    <t>Member has Accepted. SFTCH WAS 08:30 - 17:00  VERBALLY ACCEPTED</t>
  </si>
  <si>
    <t>Member has Accepted. [ID-LIZ175] Req Kearon</t>
  </si>
  <si>
    <t>[ID-LIZ175]</t>
  </si>
  <si>
    <t>CARMEL</t>
  </si>
  <si>
    <t xml:space="preserve">ED+ </t>
  </si>
  <si>
    <t>JACINTA</t>
  </si>
  <si>
    <t>WHITE</t>
  </si>
  <si>
    <t>MBR0026477</t>
  </si>
  <si>
    <t>moey47@proton.me</t>
  </si>
  <si>
    <t xml:space="preserve">[ID-LFK482]-White </t>
  </si>
  <si>
    <t>[ID-LFK482]</t>
  </si>
  <si>
    <t>FIONA DAVIES</t>
  </si>
  <si>
    <t>rhonda</t>
  </si>
  <si>
    <t>RANJITA</t>
  </si>
  <si>
    <t>KHADKA</t>
  </si>
  <si>
    <t>HHQ JOY</t>
  </si>
  <si>
    <t>MBR0027506</t>
  </si>
  <si>
    <t>ranjitaakhadkaa@gmail.com</t>
  </si>
  <si>
    <t>Emailed HHQ - awaiting conf. Accepted from Mobile. HHQ</t>
  </si>
  <si>
    <t>Member has Accepted. CLIENT CONFIRMED JENNY HARDING</t>
  </si>
  <si>
    <t>NEUMANN</t>
  </si>
  <si>
    <t>MALANI</t>
  </si>
  <si>
    <t>MBR0020405</t>
  </si>
  <si>
    <t>aaangie78@gmail.com</t>
  </si>
  <si>
    <t xml:space="preserve">MALANI </t>
  </si>
  <si>
    <t xml:space="preserve">ICU+ </t>
  </si>
  <si>
    <t>[ID-LJE154]</t>
  </si>
  <si>
    <t>Member has Accepted. LVM - STCH WAS 15:00 BOOKING REPORT SENT 6/2</t>
  </si>
  <si>
    <t xml:space="preserve">WARDS </t>
  </si>
  <si>
    <t xml:space="preserve">SHIFT EDITED BY USER ELLAD 08/02/2026 09:29 Member has Accepted. SHIFT EDITED BY USER KATE 07/02/2026 17:32 </t>
  </si>
  <si>
    <t>cardiac/surgical</t>
  </si>
  <si>
    <t>RAY</t>
  </si>
  <si>
    <t>MBR0026437</t>
  </si>
  <si>
    <t>georgieray@ymail.com</t>
  </si>
  <si>
    <t>[ID-LIO286]</t>
  </si>
  <si>
    <t>8@8</t>
  </si>
  <si>
    <t>Member has Accepted. client confirmednavjot chahal- jasanpreet kandra name in shift</t>
  </si>
  <si>
    <t>Member has Accepted. LVM - SFTCH WAS 07:00 - 1933 CONFIRMATION EMAIL SENT 6/2</t>
  </si>
  <si>
    <t>GAWLER HEALTH SERVICE</t>
  </si>
  <si>
    <t>MID SURGICAL WARDS FORGIE</t>
  </si>
  <si>
    <t>SCHEGGETMAN</t>
  </si>
  <si>
    <t>MBR0024439</t>
  </si>
  <si>
    <t>amandascheggetmanela@gmail.com</t>
  </si>
  <si>
    <t>21 HUTCHINSON RD</t>
  </si>
  <si>
    <t>GAWLER EAST</t>
  </si>
  <si>
    <t>Member has Accepted. SHIFT EDITED BY USER ELLAD 08/02/2026 12:02 Shift Reinstated. Member Acknowledged Cancellation. Accepted from Mobile. [ID-LJI057]</t>
  </si>
  <si>
    <t>[ID-LJI057]</t>
  </si>
  <si>
    <t>Member has Accepted. [ID-LIZ181]Req Kearon</t>
  </si>
  <si>
    <t>[ID-LIZ181]</t>
  </si>
  <si>
    <t>HHQ Amie Salem</t>
  </si>
  <si>
    <t>AWAITING REPLY HHQ Shift Reinstated. Accepted from Mobile. HHQ -  emailed to hhq to check if required</t>
  </si>
  <si>
    <t>RECONFIRM BOOKED SHIFT DAY B4 - booking report sent 06/02</t>
  </si>
  <si>
    <t>el</t>
  </si>
  <si>
    <t xml:space="preserve">Member has Accepted. SHIFT EDITED BY USER AEVANS 08/02/2026 18:28 SHIFT EDITED BY USER AEVANS 08/02/2026 18:27 Member has Accepted. </t>
  </si>
  <si>
    <t>sendra</t>
  </si>
  <si>
    <t>ROLE-RN-INCHARGE</t>
  </si>
  <si>
    <t>lvm to umaru to check he is happy to be the incharge</t>
  </si>
  <si>
    <t>4NORTH - REHAB</t>
  </si>
  <si>
    <t>LGC669 view comments</t>
  </si>
  <si>
    <t xml:space="preserve">Accepted from Mobile. DUPLICATE TO REPLACE KELLIE SOLOMONS  Kellie solomons :must of been to cabrini malvern ed before </t>
  </si>
  <si>
    <t>Must've been to Cabrini ED before</t>
  </si>
  <si>
    <t>CWH 6/2</t>
  </si>
  <si>
    <t>lvm re x1 STCH WAS 0700 BOOKING REPORT SENT 6/2</t>
  </si>
  <si>
    <t>Member has Accepted. Auto book 02/02-STCH 6.00</t>
  </si>
  <si>
    <t>14@47</t>
  </si>
  <si>
    <t>Booking report sent 06/02</t>
  </si>
  <si>
    <t>26@41</t>
  </si>
  <si>
    <t>RECONFIRM BOOKED SHIFT DAY B4 -booking report sent 09/02</t>
  </si>
  <si>
    <t xml:space="preserve">Emily aware NLG Boseley-Green </t>
  </si>
  <si>
    <t>RECONFIRM BOOKED SHIFT DAY B4-Harding-booking report sent 06/02: 09/02</t>
  </si>
  <si>
    <t>JETHRO JOHN</t>
  </si>
  <si>
    <t>MARQUEZ</t>
  </si>
  <si>
    <t>MBR0024691</t>
  </si>
  <si>
    <t>jeth_marquez@yahoo.com</t>
  </si>
  <si>
    <t>LVM x 3 also rang main switch and nurses station have advised if they do not ring back cx shifts and re route members and Emailed Olivia to book.</t>
  </si>
  <si>
    <t>NLG Nancy awareJacobi (no): Clifford : Chappell</t>
  </si>
  <si>
    <t>Lindi accepted shift via email 5/02 - ID: 497566 Shift for Lindi - To be activated</t>
  </si>
  <si>
    <t>Member has Accepted. SHIFT EDITED BY USER KATE 08/02/2026 19:57 STCH WAS 0730 (OLIVIA) Member has Accepted. NLG Nancy aware-Best (no): Grogan (no) Wright</t>
  </si>
  <si>
    <t>2 EAST - MEDICAL</t>
  </si>
  <si>
    <t>[ID-LJJ336]</t>
  </si>
  <si>
    <t>Tania</t>
  </si>
  <si>
    <t>[ID-LLH781]</t>
  </si>
  <si>
    <t>[ID-LLK781]</t>
  </si>
  <si>
    <t>12@21</t>
  </si>
  <si>
    <t>PHYLLIS BOATENG-ADIGAO PULLED OUT. CWH Kim. duped. BOOKING REPORT SENT 17/2</t>
  </si>
  <si>
    <t>cwh 18/2</t>
  </si>
  <si>
    <t>11@13</t>
  </si>
  <si>
    <t>RECONFIRM BOOKED SHIFT DAY B4 Stewart EN-booking report sent 17/02: 18/02</t>
  </si>
  <si>
    <t>MANI</t>
  </si>
  <si>
    <t xml:space="preserve">Accepted from Mobile. Declined from Mobile. Declined from Mobile. </t>
  </si>
  <si>
    <t>LEVEL 2- ORTHO NEURO GYNAE</t>
  </si>
  <si>
    <t xml:space="preserve">Member has Accepted. RACHEL OREGAN PULLED OUT. *CWH DANI Member has Accepted. </t>
  </si>
  <si>
    <t>MATILDA</t>
  </si>
  <si>
    <t>DECANO</t>
  </si>
  <si>
    <t>MBR0026949</t>
  </si>
  <si>
    <t>matilda.okine@yahoo.com</t>
  </si>
  <si>
    <t>Member has Accepted. DUPLICATE TO REPLACE SHAGUN SHARMA</t>
  </si>
  <si>
    <t xml:space="preserve">Member has Accepted. C/C with Facility. Had Mels name. </t>
  </si>
  <si>
    <t>NAOMI</t>
  </si>
  <si>
    <t>SFTCH WAS 7AM - 15:30  Member has Accepted. SFTCH WAS 23:00 - 07:30  BOOKING REPORT SENT 17/2</t>
  </si>
  <si>
    <t>STCH WAS 0700 BOOKING REPORT SENT 18/2</t>
  </si>
  <si>
    <t>jency</t>
  </si>
  <si>
    <t>Member has Accepted. STCH WAS 7AM  BOOKING REPORT SENT 18/2</t>
  </si>
  <si>
    <t>CLIENT CONFIRMED RYAN SINDEN Shift Release from Cascom</t>
  </si>
  <si>
    <t>[ID-LLQ901]</t>
  </si>
  <si>
    <t>TANYA RICHARDSON</t>
  </si>
  <si>
    <t xml:space="preserve">ST ANDREWS WILL CALL BACK IF THEY ARE NEEING ALBEES -SEND CONFIRMATION MESSAGE IF NEEDED -*STCN** 1300 NLG Dearbhla awareREQ Im (no)-SFTCN 15.00-21.00 </t>
  </si>
  <si>
    <t>ANISHA</t>
  </si>
  <si>
    <t>REDDY</t>
  </si>
  <si>
    <t>MBR0020437</t>
  </si>
  <si>
    <t>anisha.reddy52@yahoo.com</t>
  </si>
  <si>
    <t>Member has Accepted. CLIENT CONFIRMED ANISHA REDDY</t>
  </si>
  <si>
    <t>[ID-LLQ594]</t>
  </si>
  <si>
    <t>CONNIE</t>
  </si>
  <si>
    <t>Paul</t>
  </si>
  <si>
    <t xml:space="preserve">called conny: said to send an email - look for reply and book if they accept her. Accepted from Mobile. </t>
  </si>
  <si>
    <t>2 WEST - CCU ICU</t>
  </si>
  <si>
    <t>Member has Accepted. Shift Release from Cascom No avails</t>
  </si>
  <si>
    <t>[ID-LKR208]</t>
  </si>
  <si>
    <t>HHQ RN Aisling Staunton 0457147081</t>
  </si>
  <si>
    <t>BOOKING REPORT SENT 18/2</t>
  </si>
  <si>
    <t xml:space="preserve">STAFF CENTRAL </t>
  </si>
  <si>
    <t>Staff Central</t>
  </si>
  <si>
    <t>CONFIRMED 18/2</t>
  </si>
  <si>
    <t>STCH was 1000. confirmed directly with Lee. BOOKING REPORT SENT 17/2</t>
  </si>
  <si>
    <t xml:space="preserve">Auto book 16/02-FTCN 15.00-Dearbhla aware of time change </t>
  </si>
  <si>
    <t xml:space="preserve">. </t>
  </si>
  <si>
    <t>Mustafa</t>
  </si>
  <si>
    <t>MUSTAFA</t>
  </si>
  <si>
    <t xml:space="preserve">SHIFT EDITED BY USER JENNIG 19/02/2026 05:10 SHIFT EDITED BY USER JENNIG 19/02/2026 05:09 </t>
  </si>
  <si>
    <t>Booking email sent 19/02</t>
  </si>
  <si>
    <t>Bakul - LVM Abbey</t>
  </si>
  <si>
    <t>891156_1</t>
  </si>
  <si>
    <t>Shift Created to Adjust the Pay against the Docket no. 891156</t>
  </si>
  <si>
    <t>891156_2</t>
  </si>
  <si>
    <t>ALLISON MERRIGAN</t>
  </si>
  <si>
    <t>[ID-LKQ379]</t>
  </si>
  <si>
    <t>DANYELLE RODGERS</t>
  </si>
  <si>
    <t>Line busy x 3. Stijo will not do endo. no avails</t>
  </si>
  <si>
    <t>JOHNNY</t>
  </si>
  <si>
    <t xml:space="preserve">Member has Accepted. Shift Reinstated. </t>
  </si>
  <si>
    <t>ALICIA RAWSON</t>
  </si>
  <si>
    <t>VM Marsh -booking report sent 19/02</t>
  </si>
  <si>
    <t>14@20</t>
  </si>
  <si>
    <t>[ID-LLQ240]</t>
  </si>
  <si>
    <t>STAMARTINA MARTINA</t>
  </si>
  <si>
    <t>AGRIOS</t>
  </si>
  <si>
    <t>MBR0026374</t>
  </si>
  <si>
    <t>martinanursing@gmail.com</t>
  </si>
  <si>
    <t>Booking report sent 16/01</t>
  </si>
  <si>
    <t xml:space="preserve">SHIFT EDITED BY USER KATE 18/02/2026 22:54 STCN WAS 0800 Member has Accepted. </t>
  </si>
  <si>
    <t>4@20</t>
  </si>
  <si>
    <t>[ID-LLO827]</t>
  </si>
  <si>
    <t>Member has Accepted. . Declined from Mobile. LVM - STCH WAS 12:30  BOOKING REPORT SENT 17/2</t>
  </si>
  <si>
    <t>CAMBRIDGE DAY SURGERY</t>
  </si>
  <si>
    <t>JULIE ANNE</t>
  </si>
  <si>
    <t>SUITE 12  178 CAMBRIDGE ST</t>
  </si>
  <si>
    <t>MORGAN TOEROEK</t>
  </si>
  <si>
    <t>SFTCH 6.30-14.00 Booking email sent 17/02</t>
  </si>
  <si>
    <t>JANINE RANDLE</t>
  </si>
  <si>
    <t>34@41</t>
  </si>
  <si>
    <t>SHIFT EDITED BY USER ELLAD 19/02/2026 21:51 SHIFT EDITED BY USER ELLAD 19/02/2026 21:51 RECONFIRM BOOKED SHIFT DAY B4 - booking report sent 19/02</t>
  </si>
  <si>
    <t>ORD</t>
  </si>
  <si>
    <t>SHELLA</t>
  </si>
  <si>
    <t>. HHQ AIN Simran Kaur // Ph - 0451135413</t>
  </si>
  <si>
    <t>REC RN Y1-4</t>
  </si>
  <si>
    <t>ALEX</t>
  </si>
  <si>
    <t>HEATH</t>
  </si>
  <si>
    <t>erica</t>
  </si>
  <si>
    <t>MBR0027659</t>
  </si>
  <si>
    <t>alexheath142@gmail.com</t>
  </si>
  <si>
    <t>SHIFT EDITED BY USER SHELBY 19/02/2026 12:05 J Wilson No. C Conway No</t>
  </si>
  <si>
    <t>Member has Accepted. LVM -STCH WAS 12:30 BOOKING REPORT SENT 18/2</t>
  </si>
  <si>
    <t>TRAINER</t>
  </si>
  <si>
    <t>MBR0011838</t>
  </si>
  <si>
    <t>angelatrainer884@gmail.com</t>
  </si>
  <si>
    <t xml:space="preserve">Member has Accepted. LVM - STCH WAS 12:30 UTC OT IN CHARGE: CLODAGH ADVISED JASON CONFIRMED HER SHIFT WITH HER BEFORE LEAVING. PLEASE CALL AGAIN IN AM TO CONFIRM.  Shift Reinstated. Member Acknowledged Cancellation. SHIFT EDITED BY USER KATE 18/02/2026 20:15 EMAIL SNET AND LVM FOR JASON: tried calling again 1716 no answer </t>
  </si>
  <si>
    <t>Totani</t>
  </si>
  <si>
    <t>ANNETTE NUGENT</t>
  </si>
  <si>
    <t>MICHELLE SHAW</t>
  </si>
  <si>
    <t>NLG Matt aware</t>
  </si>
  <si>
    <t>ICU- 10241</t>
  </si>
  <si>
    <t>ICU RN 1.5</t>
  </si>
  <si>
    <t>SIRUI (SALLY)</t>
  </si>
  <si>
    <t>MBR0027522</t>
  </si>
  <si>
    <t>sally.zheng07@gmail.com</t>
  </si>
  <si>
    <t>MEIXI</t>
  </si>
  <si>
    <t>YUAN</t>
  </si>
  <si>
    <t>MBR0027091</t>
  </si>
  <si>
    <t>yuanmeixi0317@gmail.com</t>
  </si>
  <si>
    <t>Member has Accepted. . Shift Release from Cascom</t>
  </si>
  <si>
    <t>[ID-LLT942]</t>
  </si>
  <si>
    <t>SHIFT EDITED BY USER SARAHC 20/02/2026 00:00 Member has Accepted. Shift Release from Cascom</t>
  </si>
  <si>
    <t>[ID-LLL521]</t>
  </si>
  <si>
    <t xml:space="preserve">Member has Accepted. . . STCH FROM 2230 1830 Member has Accepted. PREBOOKING - LEAVE FOR QLD </t>
  </si>
  <si>
    <t>AILISH</t>
  </si>
  <si>
    <t>HEALY</t>
  </si>
  <si>
    <t>MBR0025261</t>
  </si>
  <si>
    <t>ailish_healy@yahoo.com</t>
  </si>
  <si>
    <t xml:space="preserve">SHIFT EDITED BY USER SHELBY 19/02/2026 12:43 Emailed Bryony to book: awaiting conf. Accepted from Mobile. </t>
  </si>
  <si>
    <t>Member has Accepted. LVM - STCH WAS 2130  BOOKING REPORT SENT 18/2</t>
  </si>
  <si>
    <t>MOHAMMED</t>
  </si>
  <si>
    <t>FAIZAL</t>
  </si>
  <si>
    <t>MBR0026038</t>
  </si>
  <si>
    <t>MOHAMMED_FAIZAL313@HOTMAIL.COM</t>
  </si>
  <si>
    <t>reconfirmed BOOKING REPORT SENT 6/2</t>
  </si>
  <si>
    <t>NINIAN</t>
  </si>
  <si>
    <t>DSILVA</t>
  </si>
  <si>
    <t>TANYA HAMILTON</t>
  </si>
  <si>
    <t>MBR0023841</t>
  </si>
  <si>
    <t>niniandsilva@yahoo.com</t>
  </si>
  <si>
    <t>DEB</t>
  </si>
  <si>
    <t xml:space="preserve">SHIFT EDITED BY USER DION 09/02/2026 09:35 Member has Accepted. </t>
  </si>
  <si>
    <t>Member has Accepted. SFTCH 0730-1300 TO 0700-1530 Member has Accepted. FAC REQ STIJO</t>
  </si>
  <si>
    <t>Ortho/gen/urol</t>
  </si>
  <si>
    <t>8@22</t>
  </si>
  <si>
    <t>Member has Accepted. stch was 0800 BOOKING REPORT SENT 6/2</t>
  </si>
  <si>
    <t>Mandeep</t>
  </si>
  <si>
    <t>JAY</t>
  </si>
  <si>
    <t>SINNATHURAI</t>
  </si>
  <si>
    <t>REA</t>
  </si>
  <si>
    <t>MBR0021398</t>
  </si>
  <si>
    <t>jaysinna1978@gmail.com</t>
  </si>
  <si>
    <t>Accepted from Mobile. 0425 853 728 - Ahrs Coordinator</t>
  </si>
  <si>
    <t>Member has Accepted. LVM - STCH WAS 7 BOOKING REPORT SENT 6/2</t>
  </si>
  <si>
    <t>Member has Accepted. SHIFT EDITED BY USER KATE 07/02/2026 12:44 STCH WAS 0700 (MARGOT) BOOKING REPORT SENT 6/2</t>
  </si>
  <si>
    <t>Member has Accepted. SHIFT EDITED BY USER KATE 08/02/2026 20:33 SHIFT EDITED BY USER KATE 08/02/2026 20:32 STCH WAS 0730 (SEREIN) BOOKING REPORT SENT 6/2</t>
  </si>
  <si>
    <t>OUR GP COMPLEX LOGAN</t>
  </si>
  <si>
    <t>Reuben</t>
  </si>
  <si>
    <t>57 STATION ROAD</t>
  </si>
  <si>
    <t>WOODRIDGE</t>
  </si>
  <si>
    <t>REUBEN</t>
  </si>
  <si>
    <t>SHIFT EDITED BY USER SARAHC 10/02/2026 17:05 Member has Accepted. Naomi no. guanjun no. Frances no. Waiting confirmation from Reuben to assign Carmen</t>
  </si>
  <si>
    <t>1@30</t>
  </si>
  <si>
    <t>CONFIRMATION EMAIL SENT 6/2</t>
  </si>
  <si>
    <t>Ho - booking report sent 30/01</t>
  </si>
  <si>
    <t>times negotiable</t>
  </si>
  <si>
    <t>Myfanwy - email sent to Nancy booking off Berry 06/02</t>
  </si>
  <si>
    <t>RASHMI</t>
  </si>
  <si>
    <t>GIRI</t>
  </si>
  <si>
    <t>MBR0023795</t>
  </si>
  <si>
    <t>rashmigiri186@gmail.com</t>
  </si>
  <si>
    <t>Member has Accepted. NLG Nancy aware erin totani noZerella</t>
  </si>
  <si>
    <t>Booking report sent 16/01-Agrios</t>
  </si>
  <si>
    <t>15@39</t>
  </si>
  <si>
    <t>Member has Accepted. Declined from Mobile. CONFIRM TO 0413536658</t>
  </si>
  <si>
    <t>RICHARD DJURASEVICH</t>
  </si>
  <si>
    <t xml:space="preserve">UNIT 13 9-13 </t>
  </si>
  <si>
    <t>REDMYRE RD</t>
  </si>
  <si>
    <t>STRATHFIELD</t>
  </si>
  <si>
    <t>CONFIRMED 6/2</t>
  </si>
  <si>
    <t>TANYA</t>
  </si>
  <si>
    <t>Accepted from Mobile. ID 499641</t>
  </si>
  <si>
    <t xml:space="preserve">Member has Accepted. SHIFT EDITED BY USER JENNIG 06/02/2026 09:25 </t>
  </si>
  <si>
    <t>REPLACING BEVEN</t>
  </si>
  <si>
    <t>CLAUDIA</t>
  </si>
  <si>
    <t>REDMOND</t>
  </si>
  <si>
    <t>MBR0027139</t>
  </si>
  <si>
    <t>claudia.redmond98@gmail.com</t>
  </si>
  <si>
    <t>RODRIGUES</t>
  </si>
  <si>
    <t>MBR0023158</t>
  </si>
  <si>
    <t>find_patricia@hotmail.com</t>
  </si>
  <si>
    <t>cwh 6/2</t>
  </si>
  <si>
    <t>PACIFIC DAY SURGERY</t>
  </si>
  <si>
    <t>COORD</t>
  </si>
  <si>
    <t>38 MISTERTON ST</t>
  </si>
  <si>
    <t>FORTITUDE VALLEY</t>
  </si>
  <si>
    <t>KYRA HOOPER</t>
  </si>
  <si>
    <t xml:space="preserve">EML to fac. Awaiting reply - Member has Accepted. Declined from Mobile. </t>
  </si>
  <si>
    <t>[ID-LJK100]-Legget: Willis: Gelastopoulos: Eeles</t>
  </si>
  <si>
    <t>[ID-LJK100]</t>
  </si>
  <si>
    <t>Mili</t>
  </si>
  <si>
    <t>Member has Accepted. LVM STCH WQAS 12:30 Member has Accepted. STCH WAS 7 BOOKING REPORT SENT 6/2</t>
  </si>
  <si>
    <t>Member has Accepted. Booking email sent 04/02-STCH 12.30</t>
  </si>
  <si>
    <t>19@19</t>
  </si>
  <si>
    <t>Booking report sent 09/02</t>
  </si>
  <si>
    <t>Member has Accepted. . LVM x2 - STCH WAS 7AM  BOOKING REPORT SENT 6/2</t>
  </si>
  <si>
    <t>SHIFT EDITED BY USER DION 06/02/2026 12:07 Jacobi</t>
  </si>
  <si>
    <t xml:space="preserve">SHIFT EDITED BY USER AEVANS 08/02/2026 15:53 rqst rubA/MAREE/ MYRZA </t>
  </si>
  <si>
    <t>2@14</t>
  </si>
  <si>
    <t>STCH WAS 7AM  BOOKING REPORT SENT 6/2</t>
  </si>
  <si>
    <t>4@14</t>
  </si>
  <si>
    <t>RECONFIRM BOOKED SHIFT DAY B4 - booking report sent 06/02: 09/02</t>
  </si>
  <si>
    <t>Member has Accepted. SFTCH was 0800-1630. BOOKING REPORT SENT 6/2</t>
  </si>
  <si>
    <t>Accepted from Mobile. [ID-LJA247]</t>
  </si>
  <si>
    <t>[ID-LJA247]</t>
  </si>
  <si>
    <t>DONG</t>
  </si>
  <si>
    <t>MBR0027128</t>
  </si>
  <si>
    <t>diol-zd@hotmail.com</t>
  </si>
  <si>
    <t>renee</t>
  </si>
  <si>
    <t>verbally accetped</t>
  </si>
  <si>
    <t>Member has Accepted. [ID-LEG663]</t>
  </si>
  <si>
    <t>[ID-LEG663]</t>
  </si>
  <si>
    <t>Colorectal/general</t>
  </si>
  <si>
    <t>GA list</t>
  </si>
  <si>
    <t>Member has Accepted. -LVM Sarah bert - email sent replacing Lazarte</t>
  </si>
  <si>
    <t>SEEMA</t>
  </si>
  <si>
    <t>SUJITH</t>
  </si>
  <si>
    <t>MBR0023845</t>
  </si>
  <si>
    <t>seema_francise@yahoo.com</t>
  </si>
  <si>
    <t xml:space="preserve">Member has Accepted. C Conway No. C Hunter No. M Folley No. </t>
  </si>
  <si>
    <t>[ID-LJJ669]</t>
  </si>
  <si>
    <t xml:space="preserve">Member has Accepted. Member has Accepted. </t>
  </si>
  <si>
    <t xml:space="preserve">Req Godenzi-STCN 15.00 </t>
  </si>
  <si>
    <t xml:space="preserve">LVM WENS </t>
  </si>
  <si>
    <t>SHIFT EDITED BY USER KATE 08/02/2026 20:40 STCH WAS 2100 have left vm to check what time she cabn start as requested earlier start time by client.Member has Accepted. [ID-LIZ185]Req Kearon</t>
  </si>
  <si>
    <t>[ID-LIZ185]</t>
  </si>
  <si>
    <t>10@22</t>
  </si>
  <si>
    <t xml:space="preserve">Member has Accepted. SHIFT EDITED BY USER EMAM 09/02/2026 09:35 Member has Accepted. </t>
  </si>
  <si>
    <t>RECONFIRM BOOKED SHIFT DAY B4 - booking report sent 09/02</t>
  </si>
  <si>
    <t>EUDUNDA HOSPITAL</t>
  </si>
  <si>
    <t xml:space="preserve">EUDUNDA HOSPITAL </t>
  </si>
  <si>
    <t>40 WARD STREET</t>
  </si>
  <si>
    <t>EUDUNDA</t>
  </si>
  <si>
    <t>SHIFT EDITED BY USER DION 10/02/2026 09:54 Accepted from Mobile. [ID-LGC938]</t>
  </si>
  <si>
    <t>[ID-LGC938]</t>
  </si>
  <si>
    <t>RECONFIRM BOOKED SHIFT DAY B4-booking report sent 06/02: 09/02</t>
  </si>
  <si>
    <t>Member has Accepted. CLIENT CONFIRMED MUSKAN SATIJA</t>
  </si>
  <si>
    <t xml:space="preserve">to start ASAP </t>
  </si>
  <si>
    <t>verbally acceptedd</t>
  </si>
  <si>
    <t>Member has Accepted. UNASSIGN BY SIMONE PATINO AT 11:45 ON 09/02/2026 called</t>
  </si>
  <si>
    <t>Member has Accepted. STCH WAS 7 BOOKING REPORT SENT 9/2</t>
  </si>
  <si>
    <t>Member has Accepted. STCH WAS 7AM BOOKING REPORT SENT 9/2</t>
  </si>
  <si>
    <t>RIVERCITY PRIVATE HOSPITAL</t>
  </si>
  <si>
    <t>Claire</t>
  </si>
  <si>
    <t>401 MILTON RD  AUCHENFLOWER QLD 4066</t>
  </si>
  <si>
    <t xml:space="preserve">AUCHENFLOWER </t>
  </si>
  <si>
    <t>CLIARE</t>
  </si>
  <si>
    <t xml:space="preserve">VM left. EML to Fac - Accepted from Mobile. . </t>
  </si>
  <si>
    <t>STCH was 1200. Member has Accepted. RQST Rachel Kelly</t>
  </si>
  <si>
    <t>890030_1</t>
  </si>
  <si>
    <t>Shift Created to Adjust the Pay against the Docket no. 890030</t>
  </si>
  <si>
    <t>890030_2</t>
  </si>
  <si>
    <t>Member has Accepted. **STCH** IM 0600</t>
  </si>
  <si>
    <t>7@18</t>
  </si>
  <si>
    <t>BOOKING REPORT SENT 9/2</t>
  </si>
  <si>
    <t>CONFIRMED 9/2</t>
  </si>
  <si>
    <t>RECONFIRM BOOKED SHIFT DAY B4-booking report sent 09/02: 10/02</t>
  </si>
  <si>
    <t>SCO-DENTAL-ORAL</t>
  </si>
  <si>
    <t xml:space="preserve">Member has Accepted. NLG OliviaGiles </t>
  </si>
  <si>
    <t>DENIS</t>
  </si>
  <si>
    <t>DZEMAILOSKI</t>
  </si>
  <si>
    <t>MBR0023643</t>
  </si>
  <si>
    <t>ddzemailoski@gmail.com</t>
  </si>
  <si>
    <t>[ID-LHT050]</t>
  </si>
  <si>
    <t xml:space="preserve">Member has Accepted. SHIFT EDITED BY USER ELLAD 02/02/2026 19:47 </t>
  </si>
  <si>
    <t>Member has Accepted. LVM - STCH WAS 7 BOOKING REPORT SENT 9/2</t>
  </si>
  <si>
    <t>889967_1</t>
  </si>
  <si>
    <t>Shift Created to Adjust the Pay against the Docket no. 889967</t>
  </si>
  <si>
    <t>889967_2</t>
  </si>
  <si>
    <t xml:space="preserve">SHIFT EDITED BY USER NOREENM 09/02/2026 08:23 </t>
  </si>
  <si>
    <t>TESTING</t>
  </si>
  <si>
    <t>MBR0011878</t>
  </si>
  <si>
    <t>nsw@kemprecruitment.com.au</t>
  </si>
  <si>
    <t>HHQ RN Lauryn Grant 0403810364</t>
  </si>
  <si>
    <t>12@13</t>
  </si>
  <si>
    <t>891221_1</t>
  </si>
  <si>
    <t>Shift Created to Adjust the Pay against the Docket no. 891221</t>
  </si>
  <si>
    <t xml:space="preserve">SHIFT EDITED BY USER ELLAD 19/02/2026 17:20 Member has Accepted. SHIFT EDITED BY USER ELLAD 19/02/2026 17:16 </t>
  </si>
  <si>
    <t>RECONFIRM BOOKED SHIFT DAY B4-booking report sent 18/02</t>
  </si>
  <si>
    <t>RECONFIRM BOOKED SHIFT DAY B4 Stewart EN-booking report sent 18/02</t>
  </si>
  <si>
    <t>STCH was 1900. Email sent to HHQ and LVM Emma.. HHQ RN RN Emma ODwyer -0447871761</t>
  </si>
  <si>
    <t>HHQ RN Aine Bridgeman- 0455428316</t>
  </si>
  <si>
    <t>RN GR2 Y2</t>
  </si>
  <si>
    <t>OREGAN</t>
  </si>
  <si>
    <t>MBR0027447</t>
  </si>
  <si>
    <t>racheloregan70@gmail.com</t>
  </si>
  <si>
    <t xml:space="preserve">CHRISSY </t>
  </si>
  <si>
    <t>Member has Accepted. PLEASE CALL EPWORTH IF UMARU ACCEPTS - THEY REQUESTED HIM</t>
  </si>
  <si>
    <t>[ID-LGH852]</t>
  </si>
  <si>
    <t>[ID-LLV121]</t>
  </si>
  <si>
    <t>SS KNS</t>
  </si>
  <si>
    <t>TRENCH</t>
  </si>
  <si>
    <t>MBR0011865</t>
  </si>
  <si>
    <t>KATE.TRENCH@GMAIL.COM</t>
  </si>
  <si>
    <t>STCH WAS 7AM BOOKING REPORT SENT 19/2</t>
  </si>
  <si>
    <t>17@23</t>
  </si>
  <si>
    <t>BOOKING REPORT SENT 19/2</t>
  </si>
  <si>
    <t>catherine</t>
  </si>
  <si>
    <t>35@41</t>
  </si>
  <si>
    <t>RECONFIRM BOOKED SHIFT DAY B4 -booking report sent 19/02: 20/02</t>
  </si>
  <si>
    <t xml:space="preserve">STCH WAS 7:30  BOOKING REPORT SENT 19/2 </t>
  </si>
  <si>
    <t>9@14</t>
  </si>
  <si>
    <t>CONFIRMATION EMAIL SEN T 19/2</t>
  </si>
  <si>
    <t>12@23</t>
  </si>
  <si>
    <t>JAMIMOL ABRAHAMCHERUPARAMBIL</t>
  </si>
  <si>
    <t>RECONFIRM BOOKED SHIFT DAY B4-booking report sent 19/02: 20/02</t>
  </si>
  <si>
    <t>ROYAL ADELAIDE HOSPITAL</t>
  </si>
  <si>
    <t>POWER</t>
  </si>
  <si>
    <t>MBR0022416</t>
  </si>
  <si>
    <t>kajo@senet.com.au</t>
  </si>
  <si>
    <t>PORT ROAD</t>
  </si>
  <si>
    <t>RECONFIRM BOOKED SHIFT DAY B4 REVERSE BOOKING POWER-booking report sent 19/02</t>
  </si>
  <si>
    <t>DELIVERY SUITE</t>
  </si>
  <si>
    <t>MELANIE TAYLOR</t>
  </si>
  <si>
    <t>Member has Accepted. CLIENT CONFIRMED LAURA FITZGERALD</t>
  </si>
  <si>
    <t>**FTCN** 1500 NCWH</t>
  </si>
  <si>
    <t>SHIFT EDITED BY USER EMAM 20/02/2026 09:22 Member has Accepted. Shift Release from Cascom</t>
  </si>
  <si>
    <t>[ID-LLW758]</t>
  </si>
  <si>
    <t>JOANNE BRYAN</t>
  </si>
  <si>
    <t>Member has Accepted. LVM - STCH WAS 6AM BOOKING REPORT SENT 19/2</t>
  </si>
  <si>
    <t>Lorraine</t>
  </si>
  <si>
    <t xml:space="preserve">Member has Accepted. SHIFT EDITED BY USER SARAHC 19/02/2026 18:42 </t>
  </si>
  <si>
    <t xml:space="preserve">FTCH 1500 TO 1100 - FAC LET TEIGAN GO EARLY Accepted from Mobile. PREBOOKING - LEAVE FOR QLD </t>
  </si>
  <si>
    <t>Member has Accepted. LVM - STCH WAS 7 BOOKING REPORT SENT 19/2</t>
  </si>
  <si>
    <t>JACK HO</t>
  </si>
  <si>
    <t>CONFIRMED 19/2</t>
  </si>
  <si>
    <t>M Berry Booking email 17/02</t>
  </si>
  <si>
    <t>REPROMED</t>
  </si>
  <si>
    <t>PAULA BRAKE</t>
  </si>
  <si>
    <t xml:space="preserve">180 FULLARTON ROAD </t>
  </si>
  <si>
    <t>DULWICH</t>
  </si>
  <si>
    <t>Boseley</t>
  </si>
  <si>
    <t>ALEXANDRIA SPECIALIST DAY HOSPITAL</t>
  </si>
  <si>
    <t>VIRTUS HEALTH</t>
  </si>
  <si>
    <t>ANA-PAEDIATRICS-12 MONTHS AND OVER</t>
  </si>
  <si>
    <t>rina</t>
  </si>
  <si>
    <t>LEVEL 1 15 BOWDEN ST</t>
  </si>
  <si>
    <t>ALEXANDRIA</t>
  </si>
  <si>
    <t>RINA</t>
  </si>
  <si>
    <t>Anaesthetic RN for paediatric dental list</t>
  </si>
  <si>
    <t>STCN WAS730 STCH WAS 1230 BOOKING REPORT SENT 19/2</t>
  </si>
  <si>
    <t>15@20</t>
  </si>
  <si>
    <t>Member has Accepted. LVM - CHANGED ALLOCATION FROM ANA TO REC BOOKING REPORT SENT 19/2</t>
  </si>
  <si>
    <t>REQ Khang-Kevin will double check this date and let us know - Sarah Zanker aware email 11/02-booked off email Zanker 18/02</t>
  </si>
  <si>
    <t>Member has Accepted. **STCH** 0700</t>
  </si>
  <si>
    <t>Member has Accepted. SHIFT EDITED BY USER NOREENM 04/02/2026 14:45  STCH  confirmed with client- from 0800-1400 to 1000-16:30</t>
  </si>
  <si>
    <t>DSU- 40202</t>
  </si>
  <si>
    <t>WARDS-DAY SURGERY</t>
  </si>
  <si>
    <t>[ID-LLW352]</t>
  </si>
  <si>
    <t>Member has Accepted. SHIFT EDITED BY USER SARAHC 19/02/2026 22:38 Member has Accepted. STCH 0730-</t>
  </si>
  <si>
    <t>Christie</t>
  </si>
  <si>
    <t xml:space="preserve">.x2 needed </t>
  </si>
  <si>
    <t>orn</t>
  </si>
  <si>
    <t xml:space="preserve">Accepted from Mobile. DUP TO REPLACE NIAMH </t>
  </si>
  <si>
    <t>4@47</t>
  </si>
  <si>
    <t>Member has Accepted. STCH WAS 7 BOOKING REPORT SENT 19/2</t>
  </si>
  <si>
    <t>Client has Cancelled. Booking email sent 17/02</t>
  </si>
  <si>
    <t>Accepted from Mobile. NLG Sue aware-definitely needing one or both PM shifts</t>
  </si>
  <si>
    <t>Member has Accepted. NLG Sue aware-LVM Williams to call back - maybe double - Sue has a shift potentially finishing at 6pm if that's more helpful</t>
  </si>
  <si>
    <t>Member has Accepted. STFTCH WAS 10-18:30 VERBALLY ACCEPTED</t>
  </si>
  <si>
    <t>jin</t>
  </si>
  <si>
    <t>GILLIAN RIMMER</t>
  </si>
  <si>
    <t>PRF0002357</t>
  </si>
  <si>
    <t>Member has Accepted. ENTERED BY CLIENT</t>
  </si>
  <si>
    <t>RECONFIRM BOOKED SHIFT DAY B4 - booking report sent 19/02: 20/02</t>
  </si>
  <si>
    <t>WESTERN PRIVATE HOSPITAL</t>
  </si>
  <si>
    <t>MONTELEONE</t>
  </si>
  <si>
    <t xml:space="preserve">DENUTA </t>
  </si>
  <si>
    <t>MBR0021542</t>
  </si>
  <si>
    <t>ange12monte@gmail.com</t>
  </si>
  <si>
    <t>1-9 MARION STREET</t>
  </si>
  <si>
    <t>FOOTSCRAY</t>
  </si>
  <si>
    <t>BILL</t>
  </si>
  <si>
    <t>Member has Accepted. Declined from Mobile. Declined from Mobile.  Call Bill at 0434 988 272 to book.</t>
  </si>
  <si>
    <t>ICU- 40241</t>
  </si>
  <si>
    <t>[ID-LMA063]</t>
  </si>
  <si>
    <t xml:space="preserve">SHIFT EDITED BY USER SHELBY 20/02/2026 08:00 Member has Accepted. Declined from Mobile. Declined from Mobile. </t>
  </si>
  <si>
    <t>13@23</t>
  </si>
  <si>
    <t xml:space="preserve">Member has Accepted. Declined from Mobile. Declined from Mobile. </t>
  </si>
  <si>
    <t>891552_1</t>
  </si>
  <si>
    <t>Shift Created to Adjust the Pay against the Docket no. 891552</t>
  </si>
  <si>
    <t>891552_2</t>
  </si>
  <si>
    <t>[ID-LLL533]</t>
  </si>
  <si>
    <t>Member has Accepted. [ID-LLM210]</t>
  </si>
  <si>
    <t>[ID-LLM210]</t>
  </si>
  <si>
    <t>Member has Accepted. LVM - STCH WAS 21:30 BOOKING REPORT SENT 19/2</t>
  </si>
  <si>
    <t>[ID-LLP795]</t>
  </si>
  <si>
    <t>TANYA KENNEDY</t>
  </si>
  <si>
    <t>CONFIRMATION EMAIL SENT AND LVM 20/2</t>
  </si>
  <si>
    <t xml:space="preserve">anna </t>
  </si>
  <si>
    <t>cwh 20/2</t>
  </si>
  <si>
    <t>MARK TRIPP</t>
  </si>
  <si>
    <t>891318_1</t>
  </si>
  <si>
    <t>Shift Created to Adjust the Pay against the Docket no. 891318</t>
  </si>
  <si>
    <t>891318_2</t>
  </si>
  <si>
    <t>JINGYAN</t>
  </si>
  <si>
    <t>ZHAO</t>
  </si>
  <si>
    <t>MBR0021589</t>
  </si>
  <si>
    <t>jaychow2008@sina.com</t>
  </si>
  <si>
    <t>RECONFIRM BOOKED SHIFT DAY B4 Stewart EN-booking report sent 19/02: 20/02</t>
  </si>
  <si>
    <t xml:space="preserve">Member has Accepted. STCN WAS 1900 </t>
  </si>
  <si>
    <t>BRAD</t>
  </si>
  <si>
    <t xml:space="preserve">Emailed Name. Awaiting confirmation. Pauline No.. </t>
  </si>
  <si>
    <t>OUR GP COMPLEX SPRING HILL</t>
  </si>
  <si>
    <t>WARDS+ CLINIC</t>
  </si>
  <si>
    <t>525 BOUNDARY STREET</t>
  </si>
  <si>
    <t xml:space="preserve">Member has Accepted. Berry </t>
  </si>
  <si>
    <t>BOOKING RPEORT SENT 9/2</t>
  </si>
  <si>
    <t>emma page</t>
  </si>
  <si>
    <t>EMMA PAGE</t>
  </si>
  <si>
    <t>Member has Accepted. SHIFT EDITED BY USER KATE 09/02/2026 18:54 STCH WAS 0700 (PIPPA) BOOKING REPORT SENT 9/2</t>
  </si>
  <si>
    <t xml:space="preserve">ENTERED BY CLIENT-Beven </t>
  </si>
  <si>
    <t>NYBO</t>
  </si>
  <si>
    <t>MBR0026375</t>
  </si>
  <si>
    <t>katekhammash@outlook.com</t>
  </si>
  <si>
    <t>Nybo - booking report sent 09/02</t>
  </si>
  <si>
    <t>NLG Karen aware-**CWH** DARYL HO PULLED OUT. Ho - booking report sent 16/01: 09/02</t>
  </si>
  <si>
    <t>16@39</t>
  </si>
  <si>
    <t xml:space="preserve">CONFIRMATON EMAIL SENT 9/2 Accepted from Mobile.  </t>
  </si>
  <si>
    <t xml:space="preserve">SHIFT EDITED BY USER EMAM 09/02/2026 12:19 Member has Accepted. </t>
  </si>
  <si>
    <t>9@22</t>
  </si>
  <si>
    <t>Member has Accepted. STCH was 0800. BOOKING REPORT SENT 9/2</t>
  </si>
  <si>
    <t>HAILEY</t>
  </si>
  <si>
    <t>Member has Accepted. STCH WAS 12PM  LVM RUBA</t>
  </si>
  <si>
    <t xml:space="preserve">Emailed name Awaiting confirmation SHIFT EDITED BY USER NOREENM 06/02/2026 10:02 </t>
  </si>
  <si>
    <t>Member has Accepted. jasmine no: CWH. LVM - STFTCH WAS 7 - 2358 BOOKING REPORT SENT 9/2</t>
  </si>
  <si>
    <t>Cameron requests if he can work 12-8PM instead: CSSD TL will call back. STFCH was 1000-1800Member has Accepted. Shift Release from Cascom</t>
  </si>
  <si>
    <t>[ID-LJO763]</t>
  </si>
  <si>
    <t>[ID-LFX539]</t>
  </si>
  <si>
    <t>Accepted from Mobile. Req Becker N/A</t>
  </si>
  <si>
    <t>[ID-LJM435]</t>
  </si>
  <si>
    <t>GREGORY</t>
  </si>
  <si>
    <t>HOGAN</t>
  </si>
  <si>
    <t>MBR0022418</t>
  </si>
  <si>
    <t>greghogan70@gmail.com</t>
  </si>
  <si>
    <t xml:space="preserve">Accepted from Mobile. **CWH** KRYSTAL TRAN PULLED OUT. [ID-LGA838]-Tran </t>
  </si>
  <si>
    <t>[ID-LGA838]</t>
  </si>
  <si>
    <t>RECONFIRM BOOKED SHIFT DAY B4-Harding-booking report sent 09/02: 10/02</t>
  </si>
  <si>
    <t>SCR-ORTHOPAEDICS-MINOR</t>
  </si>
  <si>
    <t xml:space="preserve">SHIFT EDITED BY USER SARAHC 10/02/2026 17:34 [ID-LJQ968]FTCH2100 </t>
  </si>
  <si>
    <t>[ID-LJQ968]</t>
  </si>
  <si>
    <t>Jacobi : Cuk</t>
  </si>
  <si>
    <t>[ID-LJO371]</t>
  </si>
  <si>
    <t>RECONFIRM BOOKED SHIFT DAY B4-booking report sent 10/02:</t>
  </si>
  <si>
    <t>LEVEL 5- REHAB</t>
  </si>
  <si>
    <t>EMILY SABIEN</t>
  </si>
  <si>
    <t>NO ANSWER CLIENT X2 Member has Accepted. ENTERED BY CLIENT</t>
  </si>
  <si>
    <t>Or Recovery</t>
  </si>
  <si>
    <t>SHIFT ENTERED BY PROFESSIONAL.</t>
  </si>
  <si>
    <t xml:space="preserve">Member has Accepted. Has Jillians name </t>
  </si>
  <si>
    <t>eadon</t>
  </si>
  <si>
    <t>SHIFT EDITED BY USER SARAHC 10/02/2026 20:01 BOOKING REPORT SENT 9/2</t>
  </si>
  <si>
    <t>BACK TO ORIGINAL STCH WAS 19:00 BOOKING REPORT SENT 9/2</t>
  </si>
  <si>
    <t>[ID-LJS034]</t>
  </si>
  <si>
    <t>RECONFIRM BOOKED SHIFT DAY B4 - booking report sent 10/02</t>
  </si>
  <si>
    <t>kylie</t>
  </si>
  <si>
    <t>amyula</t>
  </si>
  <si>
    <t>Member has Accepted. 34883536 - amulya</t>
  </si>
  <si>
    <t>YU TING</t>
  </si>
  <si>
    <t>MBR0027020</t>
  </si>
  <si>
    <t>tamihu25@gmail.com</t>
  </si>
  <si>
    <t xml:space="preserve">Member has Accepted. C/C - Has Tami's name </t>
  </si>
  <si>
    <t>Member has Accepted. STCH WAS 7 BOOKING REPORT SENT 10/2</t>
  </si>
  <si>
    <t>davina</t>
  </si>
  <si>
    <t>DAVINA</t>
  </si>
  <si>
    <t>SARA</t>
  </si>
  <si>
    <t>PARR</t>
  </si>
  <si>
    <t>MBR0021149</t>
  </si>
  <si>
    <t>sara.parr@hotmail.com</t>
  </si>
  <si>
    <t>Auto book 02/02-STCH 0700</t>
  </si>
  <si>
    <t>pre booking</t>
  </si>
  <si>
    <t>PRE BOOKING - LEAVE FOR QLD - VERBALLY ACCEPTED SHIFT</t>
  </si>
  <si>
    <t xml:space="preserve">Member has Accepted. SHIFT EDITED BY USER SHELBY 02/02/2026 11:02 </t>
  </si>
  <si>
    <t>GILLIAN RIMMER Email</t>
  </si>
  <si>
    <t>3@47</t>
  </si>
  <si>
    <t xml:space="preserve"> RQST FIONA KENNEDY- CWH</t>
  </si>
  <si>
    <t>[ID-LJM128]</t>
  </si>
  <si>
    <t>Member has Accepted. Shift Reinstated. Assigned By Professional-Zerella</t>
  </si>
  <si>
    <t>Or in Blocks area</t>
  </si>
  <si>
    <t>JEREMY LIMPENS</t>
  </si>
  <si>
    <t xml:space="preserve">Bernadeth Caslangen </t>
  </si>
  <si>
    <t xml:space="preserve">SHIFT EDITED BY USER SARAHC 10/02/2026 22:28 Member has Accepted. </t>
  </si>
  <si>
    <t>5@14</t>
  </si>
  <si>
    <t>CARINA</t>
  </si>
  <si>
    <t xml:space="preserve"> MORGAN TOEROEK - BLOCK BOOKING AS PER 2025</t>
  </si>
  <si>
    <t>ADELAIDE IMPLANT GROUP T/A NORWOOD DAY SURGERY</t>
  </si>
  <si>
    <t xml:space="preserve">ELLY </t>
  </si>
  <si>
    <t>42 NELSON ST</t>
  </si>
  <si>
    <t>ELLY</t>
  </si>
  <si>
    <t>Reid (no) -booking repot sent 29/01</t>
  </si>
  <si>
    <t>COSMETIC</t>
  </si>
  <si>
    <t xml:space="preserve">Req Becker N/A-Tran </t>
  </si>
  <si>
    <t>GEMMA THOMAS</t>
  </si>
  <si>
    <t>Member has Accepted. STCH WAS 7 Member has Accepted. STCH WAS 8AM  BOOKING REPORT SENT 10/2</t>
  </si>
  <si>
    <t>18@30</t>
  </si>
  <si>
    <t>BACK TO ORGINAL TIME LVM - STCH WAS 07:30  BOOKING REPORT SENT 10/2</t>
  </si>
  <si>
    <t>ST VINCENTS PRIVATE KEW</t>
  </si>
  <si>
    <t>5 STUDLEY AVENUE</t>
  </si>
  <si>
    <t>KEW</t>
  </si>
  <si>
    <t>19@30</t>
  </si>
  <si>
    <t>LVM - STCH WAS 12:30 Member has Accepted. STCH WAS 1300 BOOKING REPORT SENT 10/2</t>
  </si>
  <si>
    <t>Member has Accepted. **STCH** 0700 L Zhang</t>
  </si>
  <si>
    <t>Member has Accepted. LVM - STCH WAS 7 BOOKING REPORT SENT 10/2</t>
  </si>
  <si>
    <t>MARDI</t>
  </si>
  <si>
    <t>Accepted from Mobile. Email sent to Mardi NLG</t>
  </si>
  <si>
    <t>Mila</t>
  </si>
  <si>
    <t>MILA</t>
  </si>
  <si>
    <t>5@30</t>
  </si>
  <si>
    <t>Member has Accepted. Shift Reinstated. Assigned By Professional-Marsh</t>
  </si>
  <si>
    <t>Sally if avail</t>
  </si>
  <si>
    <t>WEAR OWN SCRUBS</t>
  </si>
  <si>
    <t>17@39</t>
  </si>
  <si>
    <t>17@21</t>
  </si>
  <si>
    <t>manager</t>
  </si>
  <si>
    <t>[ID-LMC999]</t>
  </si>
  <si>
    <t>GRIEGER</t>
  </si>
  <si>
    <t>MBR0025218</t>
  </si>
  <si>
    <t>sovereignsprings@hotmail.com</t>
  </si>
  <si>
    <t>Off roster Bazargan: Staska: Carriera: LVM Grieger: Robbins (n/a)</t>
  </si>
  <si>
    <t>891330_1</t>
  </si>
  <si>
    <t>Shift Created to Adjust the Pay against the Docket no. 891330</t>
  </si>
  <si>
    <t>891330_2</t>
  </si>
  <si>
    <t>MEMORIAL HOSPITAL</t>
  </si>
  <si>
    <t>ANNESLEY WARD</t>
  </si>
  <si>
    <t>SIR EDWIN SMITH AVENUE</t>
  </si>
  <si>
    <t>HARRISON</t>
  </si>
  <si>
    <t>MBR0023572</t>
  </si>
  <si>
    <t>natelizabethharrison@gmail.com</t>
  </si>
  <si>
    <t xml:space="preserve">. Accepted from Mobile. PREBOOKING - LEAVE FOR QLD </t>
  </si>
  <si>
    <t>mustafa</t>
  </si>
  <si>
    <t>GOLDSWORTHY WARD</t>
  </si>
  <si>
    <t>12@29</t>
  </si>
  <si>
    <t xml:space="preserve">SHIFT EDITED BY USER ELLAD 21/02/2026 08:09 Accepted from Mobile. </t>
  </si>
  <si>
    <t>Member has Accepted. SHIFT EDITED BY USER JENNIG 20/02/2026 11:23 BOOKING REPORT SENT 20/2</t>
  </si>
  <si>
    <t>. BOOKING REPORT SENT 20/2</t>
  </si>
  <si>
    <t>BIJI</t>
  </si>
  <si>
    <t>SHIFT EDITED BY USER ELLAD 21/02/2026 13:15 BOOKING REPORT SENT 20/2</t>
  </si>
  <si>
    <t>Member has Accepted. LVM - BOOKING REPORT SENT 20/2  SHIFT REINSTATED AFTER BEING CANCELLED</t>
  </si>
  <si>
    <t>Laura</t>
  </si>
  <si>
    <t>Melanie</t>
  </si>
  <si>
    <t xml:space="preserve">Member has Accepted. SHIFT EDITED BY USER ASHLEYR 21/02/2026 15:08 </t>
  </si>
  <si>
    <t>NURSE IN CHARGE</t>
  </si>
  <si>
    <t>Melissa</t>
  </si>
  <si>
    <t>NORTHERN PRIVATE HOSPITAL</t>
  </si>
  <si>
    <t>891502_1</t>
  </si>
  <si>
    <t>12 OSBURN PLACE</t>
  </si>
  <si>
    <t>EPPING</t>
  </si>
  <si>
    <t>Shift Created to Adjust the Pay against the Docket no. 891502</t>
  </si>
  <si>
    <t>891502_2</t>
  </si>
  <si>
    <t xml:space="preserve">Amanda </t>
  </si>
  <si>
    <t>[ID-LMF864]</t>
  </si>
  <si>
    <t>ICU - INTENSIVE CARE UNIT</t>
  </si>
  <si>
    <t>ROKHA</t>
  </si>
  <si>
    <t>KONG</t>
  </si>
  <si>
    <t>MBR0027503</t>
  </si>
  <si>
    <t>Henry.kong598@gmail.com</t>
  </si>
  <si>
    <t xml:space="preserve">DUPE TO REPLACE JEFFERSON. Mishal LVM Rocka LVM </t>
  </si>
  <si>
    <t>4 SOUTH- PALLIATIVE</t>
  </si>
  <si>
    <t xml:space="preserve">SCN+ </t>
  </si>
  <si>
    <t>[ID-LMG929]</t>
  </si>
  <si>
    <t xml:space="preserve">SHIFT EDITED BY USER KATE 22/02/2026 16:22 </t>
  </si>
  <si>
    <t>891403_1</t>
  </si>
  <si>
    <t>Shift Created to Adjust the Pay against the Docket no. 891403</t>
  </si>
  <si>
    <t>891403_2</t>
  </si>
  <si>
    <t>15@23</t>
  </si>
  <si>
    <t>13@13</t>
  </si>
  <si>
    <t>Member has Accepted. [ID-LIZ201]Req Kearon</t>
  </si>
  <si>
    <t>[ID-LIZ201]</t>
  </si>
  <si>
    <t>RECONFIRM BOOKED SHIFT DAY B4 -booking report sent 20/02</t>
  </si>
  <si>
    <t>RECONFIRM BOOKED SHIFT DAY B4 - Stewart-booking report sent 20/02</t>
  </si>
  <si>
    <t>21@21</t>
  </si>
  <si>
    <t>6 LEE WING- ORTHO SURGICAL</t>
  </si>
  <si>
    <t>WARDS-ORTHOPAEDIC</t>
  </si>
  <si>
    <t>LMH985</t>
  </si>
  <si>
    <t xml:space="preserve">SHIFT EDITED BY USER KATE 22/02/2026 18:14 Member has Accepted. SHIFT EDITED BY USER KATE 22/02/2026 18:11 </t>
  </si>
  <si>
    <t>MUST HAVE BEEN TO FACILITY BEFORE</t>
  </si>
  <si>
    <t>3F- 40238</t>
  </si>
  <si>
    <t>NADINE</t>
  </si>
  <si>
    <t>MUGWANEZA</t>
  </si>
  <si>
    <t>MBR0026057</t>
  </si>
  <si>
    <t>PLANETEDENADINE@YAHOO.FR</t>
  </si>
  <si>
    <t>[ID-LMD566]</t>
  </si>
  <si>
    <t xml:space="preserve">Verbal confirm </t>
  </si>
  <si>
    <t>LUISE</t>
  </si>
  <si>
    <t xml:space="preserve">SHIFT EDITED BY USER KATE 23/02/2026 00:15 Accepted from Mobile. </t>
  </si>
  <si>
    <t>Med/Surg</t>
  </si>
  <si>
    <t>Judy Bowler</t>
  </si>
  <si>
    <t>Member has Accepted. SHIFT EDITED BY USER KATE 22/02/2026 21:03 STCH WAS 0630 (ERICA) BOOKING REPORT SENT 20/2</t>
  </si>
  <si>
    <t>Varghese  FTCN 15.00</t>
  </si>
  <si>
    <t>CONFIRMATION EMAIL SENT 20/2</t>
  </si>
  <si>
    <t>TRUDY</t>
  </si>
  <si>
    <t>EMAIL</t>
  </si>
  <si>
    <t>HEIDI EVANS</t>
  </si>
  <si>
    <t>SHIFT EDITED BY USER EMAM 23/02/2026 05:14 no avails</t>
  </si>
  <si>
    <t>SS-BREAST ENDOCRINE</t>
  </si>
  <si>
    <t xml:space="preserve">Member has Accepted. . CLAUDIA CAN DO UNTIL 12:30 - emailed ben </t>
  </si>
  <si>
    <t>EMAIL SANDY</t>
  </si>
  <si>
    <t>Member has Accepted. STC FROM 0745 - 1715 TO 0745 - 1530 as confirmed with Louise from Logan</t>
  </si>
  <si>
    <t>IEMR - must be fit tested</t>
  </si>
  <si>
    <t>RACHEL SOUTHON</t>
  </si>
  <si>
    <t>18@22</t>
  </si>
  <si>
    <t>Member has Accepted. STCH WAS 7 BOOKING REPORT SENT 20/2</t>
  </si>
  <si>
    <t>Member has Accepted. STCH WAS 7 BOOKING RPEORT SENT 20/2</t>
  </si>
  <si>
    <t>Tiifany</t>
  </si>
  <si>
    <t>TONY</t>
  </si>
  <si>
    <t>Email sent to Tony booking off 17/02</t>
  </si>
  <si>
    <t xml:space="preserve">Member has Accepted. SHIFT EDITED BY USER ASHLEYR 20/02/2026 17:07 Accepted from Mobile. </t>
  </si>
  <si>
    <t xml:space="preserve">Member has Accepted. REQ BY FAC FOR ONGOING MONDAY SHIFTS </t>
  </si>
  <si>
    <t>JACINTA GOLDSACK</t>
  </si>
  <si>
    <t xml:space="preserve">SHIFT EDITED BY USER EMAM 23/02/2026 07:21 Member has Accepted. Declined from Mobile. SHIFT EDITED BY USER EMAM 23/02/2026 05:56 </t>
  </si>
  <si>
    <t>25@39</t>
  </si>
  <si>
    <t>Accepted from Mobile. Declined from Mobile. SURESH KUTTICHEN PULLED OUT. *CWH*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</si>
</sst>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0" fontId="0" fillId="0" borderId="0" xfId="0" applyNumberFormat="1"/>
    <xf numFmtId="22" fontId="0" fillId="0" borderId="0" xfId="0" applyNumberFormat="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EA40A-3561-4C50-9B64-C9892954D228}">
  <dimension ref="A1:AO2375"/>
  <sheetViews>
    <sheetView workbookViewId="0">
      <selection activeCell="O1" sqref="O1"/>
    </sheetView>
  </sheetViews>
  <sheetFormatPr defaultRowHeight="14.4" x14ac:dyDescent="0.3"/>
  <cols>
    <col min="2" max="2" width="72.109375" bestFit="1"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t="s">
        <v>41</v>
      </c>
      <c r="B2" t="s">
        <v>42</v>
      </c>
      <c r="C2" t="s">
        <v>43</v>
      </c>
      <c r="E2" s="1">
        <v>46064</v>
      </c>
      <c r="F2" t="s">
        <v>44</v>
      </c>
      <c r="G2" t="s">
        <v>45</v>
      </c>
      <c r="H2" s="2">
        <v>0.375</v>
      </c>
      <c r="I2" s="2">
        <v>0.66666666666666663</v>
      </c>
      <c r="J2" t="s">
        <v>46</v>
      </c>
      <c r="L2" t="s">
        <v>47</v>
      </c>
      <c r="M2" t="s">
        <v>48</v>
      </c>
      <c r="N2" t="s">
        <v>49</v>
      </c>
      <c r="O2">
        <v>5951458</v>
      </c>
      <c r="Q2" t="s">
        <v>50</v>
      </c>
      <c r="R2" t="s">
        <v>51</v>
      </c>
      <c r="S2" t="s">
        <v>52</v>
      </c>
      <c r="U2">
        <v>890147</v>
      </c>
      <c r="V2" s="3">
        <v>46063.448611111111</v>
      </c>
      <c r="W2" t="s">
        <v>53</v>
      </c>
      <c r="X2" t="s">
        <v>54</v>
      </c>
      <c r="Y2" t="str">
        <f>"0449247581"</f>
        <v>0449247581</v>
      </c>
      <c r="Z2" t="s">
        <v>55</v>
      </c>
      <c r="AA2" s="1">
        <v>46064</v>
      </c>
      <c r="AB2" t="s">
        <v>56</v>
      </c>
      <c r="AD2" t="s">
        <v>41</v>
      </c>
      <c r="AE2" t="s">
        <v>57</v>
      </c>
      <c r="AF2">
        <v>4127</v>
      </c>
      <c r="AG2" t="s">
        <v>58</v>
      </c>
      <c r="AI2" t="s">
        <v>59</v>
      </c>
      <c r="AL2" t="s">
        <v>60</v>
      </c>
      <c r="AN2" s="3">
        <v>46064.729166666664</v>
      </c>
      <c r="AO2" t="s">
        <v>53</v>
      </c>
    </row>
    <row r="3" spans="1:41" x14ac:dyDescent="0.3">
      <c r="A3" t="s">
        <v>61</v>
      </c>
      <c r="B3" t="s">
        <v>62</v>
      </c>
      <c r="C3" t="s">
        <v>43</v>
      </c>
      <c r="D3" t="s">
        <v>63</v>
      </c>
      <c r="E3" s="1">
        <v>46064</v>
      </c>
      <c r="F3" t="s">
        <v>44</v>
      </c>
      <c r="G3" t="s">
        <v>45</v>
      </c>
      <c r="H3" s="2">
        <v>0.39583333333333331</v>
      </c>
      <c r="I3" s="2">
        <v>0.99861111111111112</v>
      </c>
      <c r="J3" t="s">
        <v>46</v>
      </c>
      <c r="L3" t="s">
        <v>47</v>
      </c>
      <c r="M3" t="s">
        <v>64</v>
      </c>
      <c r="N3" t="s">
        <v>65</v>
      </c>
      <c r="O3">
        <v>22580</v>
      </c>
      <c r="Q3" t="s">
        <v>66</v>
      </c>
      <c r="R3" t="s">
        <v>67</v>
      </c>
      <c r="S3" t="s">
        <v>52</v>
      </c>
      <c r="U3">
        <v>890150</v>
      </c>
      <c r="V3" s="3">
        <v>46058.355555555558</v>
      </c>
      <c r="W3" t="s">
        <v>68</v>
      </c>
      <c r="X3" t="s">
        <v>69</v>
      </c>
      <c r="Y3" t="str">
        <f>"0414449015"</f>
        <v>0414449015</v>
      </c>
      <c r="Z3" t="s">
        <v>70</v>
      </c>
      <c r="AB3" t="s">
        <v>71</v>
      </c>
      <c r="AD3" t="s">
        <v>61</v>
      </c>
      <c r="AE3" t="s">
        <v>72</v>
      </c>
      <c r="AF3">
        <v>2747</v>
      </c>
      <c r="AG3" t="s">
        <v>73</v>
      </c>
      <c r="AI3" t="s">
        <v>59</v>
      </c>
      <c r="AL3" t="s">
        <v>74</v>
      </c>
      <c r="AN3" s="3">
        <v>46064.745138888888</v>
      </c>
      <c r="AO3" t="s">
        <v>68</v>
      </c>
    </row>
    <row r="4" spans="1:41" x14ac:dyDescent="0.3">
      <c r="A4" t="s">
        <v>75</v>
      </c>
      <c r="B4" t="s">
        <v>76</v>
      </c>
      <c r="C4" t="s">
        <v>43</v>
      </c>
      <c r="D4" t="s">
        <v>63</v>
      </c>
      <c r="E4" s="1">
        <v>46064</v>
      </c>
      <c r="F4" t="s">
        <v>44</v>
      </c>
      <c r="G4" t="s">
        <v>45</v>
      </c>
      <c r="H4" s="2">
        <v>0.39583333333333331</v>
      </c>
      <c r="I4" s="2">
        <v>0.83333333333333337</v>
      </c>
      <c r="J4" t="s">
        <v>46</v>
      </c>
      <c r="K4" t="s">
        <v>77</v>
      </c>
      <c r="L4" t="s">
        <v>47</v>
      </c>
      <c r="M4" t="s">
        <v>78</v>
      </c>
      <c r="N4" t="s">
        <v>79</v>
      </c>
      <c r="O4">
        <v>5950961</v>
      </c>
      <c r="Q4" t="s">
        <v>80</v>
      </c>
      <c r="R4" t="s">
        <v>81</v>
      </c>
      <c r="S4" t="s">
        <v>52</v>
      </c>
      <c r="U4">
        <v>890173</v>
      </c>
      <c r="V4" s="3">
        <v>46041.557638888888</v>
      </c>
      <c r="W4" t="s">
        <v>82</v>
      </c>
      <c r="X4" t="s">
        <v>83</v>
      </c>
      <c r="Y4" t="str">
        <f>"0423151375"</f>
        <v>0423151375</v>
      </c>
      <c r="Z4" t="s">
        <v>84</v>
      </c>
      <c r="AB4" t="s">
        <v>85</v>
      </c>
      <c r="AD4" t="s">
        <v>75</v>
      </c>
      <c r="AE4" t="s">
        <v>86</v>
      </c>
      <c r="AF4">
        <v>6000</v>
      </c>
      <c r="AG4" t="s">
        <v>80</v>
      </c>
      <c r="AI4" t="s">
        <v>59</v>
      </c>
      <c r="AL4" t="s">
        <v>87</v>
      </c>
      <c r="AN4" s="3">
        <v>46064.890972222223</v>
      </c>
      <c r="AO4" t="s">
        <v>82</v>
      </c>
    </row>
    <row r="5" spans="1:41" x14ac:dyDescent="0.3">
      <c r="A5" t="s">
        <v>61</v>
      </c>
      <c r="B5" t="s">
        <v>88</v>
      </c>
      <c r="C5" t="s">
        <v>89</v>
      </c>
      <c r="D5" t="s">
        <v>90</v>
      </c>
      <c r="E5" s="1">
        <v>46064</v>
      </c>
      <c r="F5" t="s">
        <v>44</v>
      </c>
      <c r="G5" t="s">
        <v>45</v>
      </c>
      <c r="H5" s="2">
        <v>0.39583333333333331</v>
      </c>
      <c r="I5" s="2">
        <v>0.75</v>
      </c>
      <c r="J5" t="s">
        <v>46</v>
      </c>
      <c r="L5" t="s">
        <v>47</v>
      </c>
      <c r="M5" t="s">
        <v>91</v>
      </c>
      <c r="N5" t="s">
        <v>92</v>
      </c>
      <c r="O5">
        <v>5950650</v>
      </c>
      <c r="P5">
        <v>11588653</v>
      </c>
      <c r="Q5" t="s">
        <v>93</v>
      </c>
      <c r="R5" t="s">
        <v>67</v>
      </c>
      <c r="S5" t="s">
        <v>52</v>
      </c>
      <c r="U5">
        <v>890152</v>
      </c>
      <c r="V5" s="3">
        <v>46041.493750000001</v>
      </c>
      <c r="W5" t="s">
        <v>94</v>
      </c>
      <c r="X5" t="s">
        <v>95</v>
      </c>
      <c r="Y5" t="str">
        <f>"0493332534"</f>
        <v>0493332534</v>
      </c>
      <c r="Z5" t="s">
        <v>70</v>
      </c>
      <c r="AA5" s="1">
        <v>46064</v>
      </c>
      <c r="AB5" t="s">
        <v>96</v>
      </c>
      <c r="AD5" t="s">
        <v>61</v>
      </c>
      <c r="AE5" t="s">
        <v>97</v>
      </c>
      <c r="AF5">
        <v>2010</v>
      </c>
      <c r="AG5" t="s">
        <v>98</v>
      </c>
      <c r="AI5" t="s">
        <v>59</v>
      </c>
      <c r="AL5" t="s">
        <v>99</v>
      </c>
      <c r="AN5" s="3">
        <v>46064.753472222219</v>
      </c>
      <c r="AO5" t="s">
        <v>94</v>
      </c>
    </row>
    <row r="6" spans="1:41" x14ac:dyDescent="0.3">
      <c r="A6" t="s">
        <v>61</v>
      </c>
      <c r="B6" t="s">
        <v>62</v>
      </c>
      <c r="C6" t="s">
        <v>100</v>
      </c>
      <c r="D6" t="s">
        <v>63</v>
      </c>
      <c r="E6" s="1">
        <v>46064</v>
      </c>
      <c r="F6" t="s">
        <v>44</v>
      </c>
      <c r="G6" t="s">
        <v>45</v>
      </c>
      <c r="H6" s="2">
        <v>0.41666666666666669</v>
      </c>
      <c r="I6" s="2">
        <v>0.77083333333333337</v>
      </c>
      <c r="J6" t="s">
        <v>100</v>
      </c>
      <c r="L6" t="s">
        <v>100</v>
      </c>
      <c r="M6" t="s">
        <v>101</v>
      </c>
      <c r="N6" t="s">
        <v>102</v>
      </c>
      <c r="O6">
        <v>27</v>
      </c>
      <c r="Q6" t="s">
        <v>103</v>
      </c>
      <c r="R6" t="s">
        <v>67</v>
      </c>
      <c r="S6" t="s">
        <v>52</v>
      </c>
      <c r="U6">
        <v>890254</v>
      </c>
      <c r="V6" s="3">
        <v>46034.648611111108</v>
      </c>
      <c r="W6" t="s">
        <v>104</v>
      </c>
      <c r="X6" t="s">
        <v>105</v>
      </c>
      <c r="Y6" t="str">
        <f>"0403748369"</f>
        <v>0403748369</v>
      </c>
      <c r="Z6" t="s">
        <v>106</v>
      </c>
      <c r="AB6" t="s">
        <v>71</v>
      </c>
      <c r="AD6" t="s">
        <v>61</v>
      </c>
      <c r="AE6" t="s">
        <v>72</v>
      </c>
      <c r="AF6">
        <v>2747</v>
      </c>
      <c r="AG6" t="s">
        <v>107</v>
      </c>
      <c r="AI6" t="s">
        <v>59</v>
      </c>
      <c r="AL6" t="s">
        <v>108</v>
      </c>
      <c r="AN6" s="3">
        <v>46065.756944444445</v>
      </c>
      <c r="AO6" t="s">
        <v>104</v>
      </c>
    </row>
    <row r="7" spans="1:41" x14ac:dyDescent="0.3">
      <c r="A7" t="s">
        <v>75</v>
      </c>
      <c r="B7" t="s">
        <v>109</v>
      </c>
      <c r="C7" t="s">
        <v>110</v>
      </c>
      <c r="D7" t="s">
        <v>111</v>
      </c>
      <c r="E7" s="1">
        <v>46064</v>
      </c>
      <c r="F7" t="s">
        <v>44</v>
      </c>
      <c r="G7" t="s">
        <v>45</v>
      </c>
      <c r="H7" s="2">
        <v>0.41666666666666669</v>
      </c>
      <c r="I7" s="2">
        <v>0.58333333333333337</v>
      </c>
      <c r="J7" t="s">
        <v>112</v>
      </c>
      <c r="K7" t="s">
        <v>113</v>
      </c>
      <c r="L7" t="s">
        <v>114</v>
      </c>
      <c r="M7" t="s">
        <v>115</v>
      </c>
      <c r="N7" t="s">
        <v>116</v>
      </c>
      <c r="O7">
        <v>20749</v>
      </c>
      <c r="Q7" t="s">
        <v>117</v>
      </c>
      <c r="R7" t="s">
        <v>118</v>
      </c>
      <c r="S7" t="s">
        <v>119</v>
      </c>
      <c r="T7" t="s">
        <v>120</v>
      </c>
      <c r="U7">
        <v>892502</v>
      </c>
      <c r="V7" s="3">
        <v>46077.455555555556</v>
      </c>
      <c r="W7" t="s">
        <v>121</v>
      </c>
      <c r="X7" t="s">
        <v>122</v>
      </c>
      <c r="Y7" t="str">
        <f>"0438543148"</f>
        <v>0438543148</v>
      </c>
      <c r="Z7" t="s">
        <v>123</v>
      </c>
      <c r="AB7" t="s">
        <v>124</v>
      </c>
      <c r="AD7" t="s">
        <v>75</v>
      </c>
      <c r="AE7" t="s">
        <v>125</v>
      </c>
      <c r="AF7">
        <v>6017</v>
      </c>
      <c r="AG7" t="s">
        <v>117</v>
      </c>
      <c r="AI7" t="s">
        <v>59</v>
      </c>
      <c r="AN7" s="3">
        <v>46077.455555555556</v>
      </c>
      <c r="AO7" t="s">
        <v>118</v>
      </c>
    </row>
    <row r="8" spans="1:41" x14ac:dyDescent="0.3">
      <c r="A8" t="s">
        <v>61</v>
      </c>
      <c r="B8" t="s">
        <v>126</v>
      </c>
      <c r="C8" t="s">
        <v>43</v>
      </c>
      <c r="D8" t="s">
        <v>127</v>
      </c>
      <c r="E8" s="1">
        <v>46064</v>
      </c>
      <c r="F8" t="s">
        <v>44</v>
      </c>
      <c r="G8" t="s">
        <v>128</v>
      </c>
      <c r="H8" s="2">
        <v>0.5</v>
      </c>
      <c r="I8" s="2">
        <v>0.99861111111111112</v>
      </c>
      <c r="J8" t="s">
        <v>46</v>
      </c>
      <c r="L8" t="s">
        <v>47</v>
      </c>
      <c r="M8" t="s">
        <v>129</v>
      </c>
      <c r="N8" t="s">
        <v>130</v>
      </c>
      <c r="O8">
        <v>21231</v>
      </c>
      <c r="Q8" t="s">
        <v>131</v>
      </c>
      <c r="R8" t="s">
        <v>132</v>
      </c>
      <c r="S8" t="s">
        <v>52</v>
      </c>
      <c r="U8">
        <v>890144</v>
      </c>
      <c r="V8" s="3">
        <v>46042.632638888892</v>
      </c>
      <c r="W8" t="s">
        <v>133</v>
      </c>
      <c r="X8" t="s">
        <v>134</v>
      </c>
      <c r="Y8" t="str">
        <f>"0425328222"</f>
        <v>0425328222</v>
      </c>
      <c r="Z8" t="s">
        <v>135</v>
      </c>
      <c r="AB8" t="s">
        <v>136</v>
      </c>
      <c r="AD8" t="s">
        <v>61</v>
      </c>
      <c r="AE8" t="s">
        <v>137</v>
      </c>
      <c r="AF8">
        <v>2032</v>
      </c>
      <c r="AG8" t="s">
        <v>131</v>
      </c>
      <c r="AI8" t="s">
        <v>59</v>
      </c>
      <c r="AL8" t="s">
        <v>108</v>
      </c>
      <c r="AN8" s="3">
        <v>46064.724999999999</v>
      </c>
      <c r="AO8" t="s">
        <v>133</v>
      </c>
    </row>
    <row r="9" spans="1:41" x14ac:dyDescent="0.3">
      <c r="A9" t="s">
        <v>41</v>
      </c>
      <c r="B9" t="s">
        <v>138</v>
      </c>
      <c r="C9" t="s">
        <v>139</v>
      </c>
      <c r="D9" t="s">
        <v>127</v>
      </c>
      <c r="E9" s="1">
        <v>46064</v>
      </c>
      <c r="F9" t="s">
        <v>44</v>
      </c>
      <c r="G9" t="s">
        <v>128</v>
      </c>
      <c r="H9" s="2">
        <v>0.5</v>
      </c>
      <c r="I9" s="2">
        <v>0.66666666666666663</v>
      </c>
      <c r="J9" t="s">
        <v>140</v>
      </c>
      <c r="L9" t="s">
        <v>141</v>
      </c>
      <c r="M9" t="s">
        <v>142</v>
      </c>
      <c r="N9" t="s">
        <v>143</v>
      </c>
      <c r="O9">
        <v>22649</v>
      </c>
      <c r="Q9" t="s">
        <v>144</v>
      </c>
      <c r="R9" t="s">
        <v>145</v>
      </c>
      <c r="S9" t="s">
        <v>52</v>
      </c>
      <c r="U9">
        <v>890136</v>
      </c>
      <c r="V9" s="3">
        <v>46059.927777777775</v>
      </c>
      <c r="W9" t="s">
        <v>146</v>
      </c>
      <c r="X9" t="s">
        <v>147</v>
      </c>
      <c r="Y9" t="str">
        <f>"0407039143"</f>
        <v>0407039143</v>
      </c>
      <c r="Z9" t="s">
        <v>123</v>
      </c>
      <c r="AB9" t="s">
        <v>148</v>
      </c>
      <c r="AC9" t="s">
        <v>149</v>
      </c>
      <c r="AD9" t="s">
        <v>41</v>
      </c>
      <c r="AE9" t="s">
        <v>150</v>
      </c>
      <c r="AF9">
        <v>4000</v>
      </c>
      <c r="AG9" t="s">
        <v>151</v>
      </c>
      <c r="AI9" t="s">
        <v>59</v>
      </c>
      <c r="AL9" t="s">
        <v>152</v>
      </c>
      <c r="AN9" s="3">
        <v>46064.709027777775</v>
      </c>
      <c r="AO9" t="s">
        <v>146</v>
      </c>
    </row>
    <row r="10" spans="1:41" x14ac:dyDescent="0.3">
      <c r="A10" t="s">
        <v>61</v>
      </c>
      <c r="B10" t="s">
        <v>126</v>
      </c>
      <c r="C10" t="s">
        <v>43</v>
      </c>
      <c r="D10" t="s">
        <v>127</v>
      </c>
      <c r="E10" s="1">
        <v>46064</v>
      </c>
      <c r="F10" t="s">
        <v>44</v>
      </c>
      <c r="G10" t="s">
        <v>128</v>
      </c>
      <c r="H10" s="2">
        <v>0.5</v>
      </c>
      <c r="I10" s="2">
        <v>0.99861111111111112</v>
      </c>
      <c r="J10" t="s">
        <v>100</v>
      </c>
      <c r="L10" t="s">
        <v>100</v>
      </c>
      <c r="M10" t="s">
        <v>153</v>
      </c>
      <c r="N10" t="s">
        <v>154</v>
      </c>
      <c r="O10">
        <v>21936</v>
      </c>
      <c r="Q10" t="s">
        <v>131</v>
      </c>
      <c r="R10" t="s">
        <v>132</v>
      </c>
      <c r="S10" t="s">
        <v>52</v>
      </c>
      <c r="U10">
        <v>890130</v>
      </c>
      <c r="V10" s="3">
        <v>46042.632638888892</v>
      </c>
      <c r="W10" t="s">
        <v>155</v>
      </c>
      <c r="X10" t="s">
        <v>156</v>
      </c>
      <c r="Y10" t="str">
        <f>"0425175454"</f>
        <v>0425175454</v>
      </c>
      <c r="Z10" t="s">
        <v>157</v>
      </c>
      <c r="AB10" t="s">
        <v>136</v>
      </c>
      <c r="AD10" t="s">
        <v>61</v>
      </c>
      <c r="AE10" t="s">
        <v>137</v>
      </c>
      <c r="AF10">
        <v>2032</v>
      </c>
      <c r="AG10" t="s">
        <v>131</v>
      </c>
      <c r="AI10" t="s">
        <v>59</v>
      </c>
      <c r="AL10" t="s">
        <v>108</v>
      </c>
      <c r="AN10" s="3">
        <v>46064.6875</v>
      </c>
      <c r="AO10" t="s">
        <v>155</v>
      </c>
    </row>
    <row r="11" spans="1:41" x14ac:dyDescent="0.3">
      <c r="A11" t="s">
        <v>61</v>
      </c>
      <c r="B11" t="s">
        <v>158</v>
      </c>
      <c r="C11" t="s">
        <v>43</v>
      </c>
      <c r="D11" t="s">
        <v>127</v>
      </c>
      <c r="E11" s="1">
        <v>46064</v>
      </c>
      <c r="F11" t="s">
        <v>44</v>
      </c>
      <c r="G11" t="s">
        <v>128</v>
      </c>
      <c r="H11" s="2">
        <v>0.52083333333333337</v>
      </c>
      <c r="I11" s="2">
        <v>0.99861111111111112</v>
      </c>
      <c r="J11" t="s">
        <v>101</v>
      </c>
      <c r="L11" t="s">
        <v>159</v>
      </c>
      <c r="M11" t="s">
        <v>160</v>
      </c>
      <c r="N11" t="s">
        <v>161</v>
      </c>
      <c r="O11">
        <v>5952008</v>
      </c>
      <c r="Q11" t="s">
        <v>162</v>
      </c>
      <c r="R11" t="s">
        <v>67</v>
      </c>
      <c r="S11" t="s">
        <v>52</v>
      </c>
      <c r="U11">
        <v>890141</v>
      </c>
      <c r="V11" s="3">
        <v>46057.443749999999</v>
      </c>
      <c r="W11" t="s">
        <v>163</v>
      </c>
      <c r="X11" t="s">
        <v>164</v>
      </c>
      <c r="Y11" t="str">
        <f>"0482375205"</f>
        <v>0482375205</v>
      </c>
      <c r="Z11" t="s">
        <v>165</v>
      </c>
      <c r="AB11" t="s">
        <v>166</v>
      </c>
      <c r="AD11" t="s">
        <v>61</v>
      </c>
      <c r="AE11" t="s">
        <v>167</v>
      </c>
      <c r="AF11">
        <v>2011</v>
      </c>
      <c r="AG11" t="s">
        <v>162</v>
      </c>
      <c r="AI11" t="s">
        <v>59</v>
      </c>
      <c r="AL11" t="s">
        <v>108</v>
      </c>
      <c r="AN11" s="3">
        <v>46064.718055555553</v>
      </c>
      <c r="AO11" t="s">
        <v>163</v>
      </c>
    </row>
    <row r="12" spans="1:41" x14ac:dyDescent="0.3">
      <c r="A12" t="s">
        <v>168</v>
      </c>
      <c r="B12" t="s">
        <v>169</v>
      </c>
      <c r="C12" t="s">
        <v>170</v>
      </c>
      <c r="D12" t="s">
        <v>127</v>
      </c>
      <c r="E12" s="1">
        <v>46064</v>
      </c>
      <c r="F12" t="s">
        <v>44</v>
      </c>
      <c r="G12" t="s">
        <v>128</v>
      </c>
      <c r="H12" s="2">
        <v>0.52083333333333337</v>
      </c>
      <c r="I12" s="2">
        <v>0.70833333333333337</v>
      </c>
      <c r="J12" t="s">
        <v>170</v>
      </c>
      <c r="K12" t="s">
        <v>171</v>
      </c>
      <c r="L12" t="s">
        <v>172</v>
      </c>
      <c r="M12" t="s">
        <v>173</v>
      </c>
      <c r="N12" t="s">
        <v>174</v>
      </c>
      <c r="O12">
        <v>300006</v>
      </c>
      <c r="Q12" t="s">
        <v>175</v>
      </c>
      <c r="R12" t="s">
        <v>176</v>
      </c>
      <c r="S12" t="s">
        <v>52</v>
      </c>
      <c r="U12">
        <v>890145</v>
      </c>
      <c r="V12" s="3">
        <v>46041.448611111111</v>
      </c>
      <c r="W12" t="s">
        <v>177</v>
      </c>
      <c r="X12" t="s">
        <v>178</v>
      </c>
      <c r="Y12" t="str">
        <f>"0430966876"</f>
        <v>0430966876</v>
      </c>
      <c r="Z12" t="s">
        <v>70</v>
      </c>
      <c r="AA12" s="1">
        <v>46064</v>
      </c>
      <c r="AB12" t="s">
        <v>179</v>
      </c>
      <c r="AD12" t="s">
        <v>168</v>
      </c>
      <c r="AE12" t="s">
        <v>180</v>
      </c>
      <c r="AF12">
        <v>5063</v>
      </c>
      <c r="AG12" t="s">
        <v>175</v>
      </c>
      <c r="AI12" t="s">
        <v>59</v>
      </c>
      <c r="AL12" t="s">
        <v>181</v>
      </c>
      <c r="AN12" s="3">
        <v>46064.725694444445</v>
      </c>
      <c r="AO12" t="s">
        <v>177</v>
      </c>
    </row>
    <row r="13" spans="1:41" x14ac:dyDescent="0.3">
      <c r="A13" t="s">
        <v>61</v>
      </c>
      <c r="B13" t="s">
        <v>182</v>
      </c>
      <c r="C13" t="s">
        <v>183</v>
      </c>
      <c r="D13" t="s">
        <v>184</v>
      </c>
      <c r="E13" s="1">
        <v>46064</v>
      </c>
      <c r="F13" t="s">
        <v>44</v>
      </c>
      <c r="G13" t="s">
        <v>128</v>
      </c>
      <c r="H13" s="2">
        <v>0.52083333333333337</v>
      </c>
      <c r="I13" s="2">
        <v>0.99861111111111112</v>
      </c>
      <c r="J13" t="s">
        <v>185</v>
      </c>
      <c r="L13" t="s">
        <v>186</v>
      </c>
      <c r="M13" t="s">
        <v>187</v>
      </c>
      <c r="N13" t="s">
        <v>188</v>
      </c>
      <c r="O13">
        <v>21902</v>
      </c>
      <c r="Q13" t="s">
        <v>189</v>
      </c>
      <c r="R13" t="s">
        <v>132</v>
      </c>
      <c r="S13" t="s">
        <v>52</v>
      </c>
      <c r="U13">
        <v>890148</v>
      </c>
      <c r="V13" s="3">
        <v>46057.534722222219</v>
      </c>
      <c r="W13" t="s">
        <v>190</v>
      </c>
      <c r="X13" t="s">
        <v>191</v>
      </c>
      <c r="Y13" t="str">
        <f>"0432479777"</f>
        <v>0432479777</v>
      </c>
      <c r="Z13" t="s">
        <v>192</v>
      </c>
      <c r="AB13" t="s">
        <v>193</v>
      </c>
      <c r="AD13" t="s">
        <v>61</v>
      </c>
      <c r="AE13" t="s">
        <v>194</v>
      </c>
      <c r="AF13">
        <v>2229</v>
      </c>
      <c r="AG13" t="s">
        <v>189</v>
      </c>
      <c r="AI13" t="s">
        <v>59</v>
      </c>
      <c r="AL13" t="s">
        <v>108</v>
      </c>
      <c r="AN13" s="3">
        <v>46064.734027777777</v>
      </c>
      <c r="AO13" t="s">
        <v>190</v>
      </c>
    </row>
    <row r="14" spans="1:41" x14ac:dyDescent="0.3">
      <c r="A14" t="s">
        <v>75</v>
      </c>
      <c r="B14" t="s">
        <v>76</v>
      </c>
      <c r="C14" t="s">
        <v>43</v>
      </c>
      <c r="D14" t="s">
        <v>63</v>
      </c>
      <c r="E14" s="1">
        <v>46064</v>
      </c>
      <c r="F14" t="s">
        <v>44</v>
      </c>
      <c r="G14" t="s">
        <v>128</v>
      </c>
      <c r="H14" s="2">
        <v>0.52083333333333337</v>
      </c>
      <c r="I14" s="2">
        <v>0.89583333333333337</v>
      </c>
      <c r="J14" t="s">
        <v>46</v>
      </c>
      <c r="K14" t="s">
        <v>77</v>
      </c>
      <c r="L14" t="s">
        <v>47</v>
      </c>
      <c r="M14" t="s">
        <v>195</v>
      </c>
      <c r="N14" t="s">
        <v>196</v>
      </c>
      <c r="O14">
        <v>5952397</v>
      </c>
      <c r="Q14" t="s">
        <v>197</v>
      </c>
      <c r="R14" t="s">
        <v>81</v>
      </c>
      <c r="S14" t="s">
        <v>52</v>
      </c>
      <c r="U14">
        <v>890172</v>
      </c>
      <c r="V14" s="3">
        <v>46063.708333333336</v>
      </c>
      <c r="W14" t="s">
        <v>198</v>
      </c>
      <c r="X14" t="s">
        <v>199</v>
      </c>
      <c r="Y14" t="str">
        <f>"0405261641"</f>
        <v>0405261641</v>
      </c>
      <c r="Z14" t="s">
        <v>70</v>
      </c>
      <c r="AA14" s="1">
        <v>46064</v>
      </c>
      <c r="AB14" t="s">
        <v>85</v>
      </c>
      <c r="AD14" t="s">
        <v>75</v>
      </c>
      <c r="AE14" t="s">
        <v>86</v>
      </c>
      <c r="AF14">
        <v>6000</v>
      </c>
      <c r="AG14" t="s">
        <v>197</v>
      </c>
      <c r="AI14" t="s">
        <v>59</v>
      </c>
      <c r="AL14" t="s">
        <v>200</v>
      </c>
      <c r="AN14" s="3">
        <v>46064.887499999997</v>
      </c>
      <c r="AO14" t="s">
        <v>198</v>
      </c>
    </row>
    <row r="15" spans="1:41" x14ac:dyDescent="0.3">
      <c r="A15" t="s">
        <v>168</v>
      </c>
      <c r="B15" t="s">
        <v>201</v>
      </c>
      <c r="C15" t="s">
        <v>202</v>
      </c>
      <c r="D15" t="s">
        <v>127</v>
      </c>
      <c r="E15" s="1">
        <v>46064</v>
      </c>
      <c r="F15" t="s">
        <v>44</v>
      </c>
      <c r="G15" t="s">
        <v>128</v>
      </c>
      <c r="H15" s="2">
        <v>0.52083333333333337</v>
      </c>
      <c r="I15" s="2">
        <v>0.6875</v>
      </c>
      <c r="J15" t="s">
        <v>46</v>
      </c>
      <c r="K15" t="s">
        <v>203</v>
      </c>
      <c r="L15" t="s">
        <v>204</v>
      </c>
      <c r="M15" t="s">
        <v>205</v>
      </c>
      <c r="N15" t="s">
        <v>206</v>
      </c>
      <c r="O15">
        <v>21706</v>
      </c>
      <c r="Q15" t="s">
        <v>207</v>
      </c>
      <c r="R15" t="s">
        <v>208</v>
      </c>
      <c r="S15" t="s">
        <v>52</v>
      </c>
      <c r="U15">
        <v>890138</v>
      </c>
      <c r="V15" s="3">
        <v>46063.722222222219</v>
      </c>
      <c r="W15" t="s">
        <v>209</v>
      </c>
      <c r="X15" t="s">
        <v>210</v>
      </c>
      <c r="Y15" t="str">
        <f>"0415862070"</f>
        <v>0415862070</v>
      </c>
      <c r="Z15" t="s">
        <v>70</v>
      </c>
      <c r="AA15" s="1">
        <v>46064</v>
      </c>
      <c r="AB15" t="s">
        <v>211</v>
      </c>
      <c r="AD15" t="s">
        <v>168</v>
      </c>
      <c r="AE15" t="s">
        <v>212</v>
      </c>
      <c r="AF15">
        <v>5067</v>
      </c>
      <c r="AG15" t="s">
        <v>213</v>
      </c>
      <c r="AI15" t="s">
        <v>59</v>
      </c>
      <c r="AL15" t="s">
        <v>214</v>
      </c>
      <c r="AN15" s="3">
        <v>46064.711805555555</v>
      </c>
      <c r="AO15" t="s">
        <v>209</v>
      </c>
    </row>
    <row r="16" spans="1:41" x14ac:dyDescent="0.3">
      <c r="A16" t="s">
        <v>168</v>
      </c>
      <c r="B16" t="s">
        <v>215</v>
      </c>
      <c r="C16" t="s">
        <v>216</v>
      </c>
      <c r="D16" t="s">
        <v>127</v>
      </c>
      <c r="E16" s="1">
        <v>46064</v>
      </c>
      <c r="F16" t="s">
        <v>44</v>
      </c>
      <c r="G16" t="s">
        <v>128</v>
      </c>
      <c r="H16" s="2">
        <v>0.52083333333333337</v>
      </c>
      <c r="I16" s="2">
        <v>0.85416666666666663</v>
      </c>
      <c r="J16" t="s">
        <v>101</v>
      </c>
      <c r="L16" t="s">
        <v>159</v>
      </c>
      <c r="M16" t="s">
        <v>217</v>
      </c>
      <c r="N16" t="s">
        <v>218</v>
      </c>
      <c r="O16">
        <v>32</v>
      </c>
      <c r="Q16" t="s">
        <v>219</v>
      </c>
      <c r="R16" t="s">
        <v>176</v>
      </c>
      <c r="S16" t="s">
        <v>52</v>
      </c>
      <c r="U16">
        <v>890158</v>
      </c>
      <c r="V16" s="3">
        <v>46043.800694444442</v>
      </c>
      <c r="W16" t="s">
        <v>220</v>
      </c>
      <c r="X16" t="s">
        <v>221</v>
      </c>
      <c r="Y16" t="str">
        <f>"0426797353"</f>
        <v>0426797353</v>
      </c>
      <c r="Z16" t="s">
        <v>123</v>
      </c>
      <c r="AB16" t="s">
        <v>222</v>
      </c>
      <c r="AD16" t="s">
        <v>168</v>
      </c>
      <c r="AE16" t="s">
        <v>223</v>
      </c>
      <c r="AF16">
        <v>5069</v>
      </c>
      <c r="AG16" t="s">
        <v>219</v>
      </c>
      <c r="AI16" t="s">
        <v>59</v>
      </c>
      <c r="AL16" t="s">
        <v>224</v>
      </c>
      <c r="AN16" s="3">
        <v>46064.809027777781</v>
      </c>
      <c r="AO16" t="s">
        <v>220</v>
      </c>
    </row>
    <row r="17" spans="1:41" x14ac:dyDescent="0.3">
      <c r="A17" t="s">
        <v>168</v>
      </c>
      <c r="B17" t="s">
        <v>225</v>
      </c>
      <c r="C17" t="s">
        <v>226</v>
      </c>
      <c r="D17" t="s">
        <v>227</v>
      </c>
      <c r="E17" s="1">
        <v>46064</v>
      </c>
      <c r="F17" t="s">
        <v>44</v>
      </c>
      <c r="G17" t="s">
        <v>128</v>
      </c>
      <c r="H17" s="2">
        <v>0.52083333333333337</v>
      </c>
      <c r="I17" s="2">
        <v>0.75</v>
      </c>
      <c r="J17" t="s">
        <v>101</v>
      </c>
      <c r="L17" t="s">
        <v>159</v>
      </c>
      <c r="M17" t="s">
        <v>228</v>
      </c>
      <c r="N17" t="s">
        <v>229</v>
      </c>
      <c r="O17">
        <v>21017</v>
      </c>
      <c r="Q17" t="s">
        <v>230</v>
      </c>
      <c r="R17" t="s">
        <v>231</v>
      </c>
      <c r="S17" t="s">
        <v>52</v>
      </c>
      <c r="U17">
        <v>890142</v>
      </c>
      <c r="V17" s="3">
        <v>46042.363888888889</v>
      </c>
      <c r="W17" t="s">
        <v>232</v>
      </c>
      <c r="X17" t="s">
        <v>233</v>
      </c>
      <c r="Y17" t="str">
        <f>"0409900497"</f>
        <v>0409900497</v>
      </c>
      <c r="Z17" t="s">
        <v>234</v>
      </c>
      <c r="AB17" t="s">
        <v>235</v>
      </c>
      <c r="AD17" t="s">
        <v>168</v>
      </c>
      <c r="AE17" t="s">
        <v>236</v>
      </c>
      <c r="AF17">
        <v>5087</v>
      </c>
      <c r="AG17" t="s">
        <v>230</v>
      </c>
      <c r="AI17" t="s">
        <v>59</v>
      </c>
      <c r="AL17" t="s">
        <v>237</v>
      </c>
      <c r="AN17" s="3">
        <v>46064.720833333333</v>
      </c>
      <c r="AO17" t="s">
        <v>232</v>
      </c>
    </row>
    <row r="18" spans="1:41" x14ac:dyDescent="0.3">
      <c r="A18" t="s">
        <v>61</v>
      </c>
      <c r="B18" t="s">
        <v>158</v>
      </c>
      <c r="C18" t="s">
        <v>43</v>
      </c>
      <c r="D18" t="s">
        <v>127</v>
      </c>
      <c r="E18" s="1">
        <v>46064</v>
      </c>
      <c r="F18" t="s">
        <v>44</v>
      </c>
      <c r="G18" t="s">
        <v>128</v>
      </c>
      <c r="H18" s="2">
        <v>0.52083333333333337</v>
      </c>
      <c r="I18" s="2">
        <v>0.98958333333333337</v>
      </c>
      <c r="J18" t="s">
        <v>185</v>
      </c>
      <c r="K18" t="s">
        <v>238</v>
      </c>
      <c r="L18" t="s">
        <v>186</v>
      </c>
      <c r="M18" t="s">
        <v>239</v>
      </c>
      <c r="N18" t="s">
        <v>240</v>
      </c>
      <c r="O18">
        <v>22527</v>
      </c>
      <c r="Q18" t="s">
        <v>162</v>
      </c>
      <c r="R18" t="s">
        <v>67</v>
      </c>
      <c r="S18" t="s">
        <v>52</v>
      </c>
      <c r="U18">
        <v>890213</v>
      </c>
      <c r="V18" s="3">
        <v>46057.443749999999</v>
      </c>
      <c r="W18" t="s">
        <v>241</v>
      </c>
      <c r="X18" t="s">
        <v>242</v>
      </c>
      <c r="Y18" t="str">
        <f>"0426409124"</f>
        <v>0426409124</v>
      </c>
      <c r="Z18" t="s">
        <v>243</v>
      </c>
      <c r="AB18" t="s">
        <v>166</v>
      </c>
      <c r="AD18" t="s">
        <v>61</v>
      </c>
      <c r="AE18" t="s">
        <v>167</v>
      </c>
      <c r="AF18">
        <v>2011</v>
      </c>
      <c r="AG18" t="s">
        <v>162</v>
      </c>
      <c r="AI18" t="s">
        <v>59</v>
      </c>
      <c r="AL18" t="s">
        <v>108</v>
      </c>
      <c r="AN18" s="3">
        <v>46065.349305555559</v>
      </c>
      <c r="AO18" t="s">
        <v>241</v>
      </c>
    </row>
    <row r="19" spans="1:41" x14ac:dyDescent="0.3">
      <c r="A19" t="s">
        <v>41</v>
      </c>
      <c r="B19" t="s">
        <v>244</v>
      </c>
      <c r="C19" t="s">
        <v>245</v>
      </c>
      <c r="D19" t="s">
        <v>246</v>
      </c>
      <c r="E19" s="1">
        <v>46064</v>
      </c>
      <c r="F19" t="s">
        <v>44</v>
      </c>
      <c r="G19" t="s">
        <v>45</v>
      </c>
      <c r="H19" s="2">
        <v>0.52083333333333337</v>
      </c>
      <c r="I19" s="2">
        <v>0.875</v>
      </c>
      <c r="J19" t="s">
        <v>100</v>
      </c>
      <c r="L19" t="s">
        <v>100</v>
      </c>
      <c r="M19" t="s">
        <v>247</v>
      </c>
      <c r="N19" t="s">
        <v>248</v>
      </c>
      <c r="O19">
        <v>20770</v>
      </c>
      <c r="P19" t="s">
        <v>249</v>
      </c>
      <c r="Q19" t="s">
        <v>250</v>
      </c>
      <c r="R19" t="s">
        <v>251</v>
      </c>
      <c r="S19" t="s">
        <v>52</v>
      </c>
      <c r="T19" t="s">
        <v>252</v>
      </c>
      <c r="U19">
        <v>890623</v>
      </c>
      <c r="V19" s="3">
        <v>46069.495138888888</v>
      </c>
      <c r="W19" t="s">
        <v>251</v>
      </c>
      <c r="X19" t="s">
        <v>253</v>
      </c>
      <c r="Y19" t="str">
        <f>"0429586658"</f>
        <v>0429586658</v>
      </c>
      <c r="Z19" t="s">
        <v>254</v>
      </c>
      <c r="AA19" s="1">
        <v>46068</v>
      </c>
      <c r="AB19" t="s">
        <v>255</v>
      </c>
      <c r="AD19" t="s">
        <v>41</v>
      </c>
      <c r="AE19" t="s">
        <v>256</v>
      </c>
      <c r="AF19">
        <v>4655</v>
      </c>
      <c r="AG19" t="s">
        <v>257</v>
      </c>
      <c r="AI19" t="s">
        <v>59</v>
      </c>
      <c r="AJ19" t="str">
        <f>"0050076900"</f>
        <v>0050076900</v>
      </c>
      <c r="AN19" s="3">
        <v>46069.495138888888</v>
      </c>
      <c r="AO19" t="s">
        <v>251</v>
      </c>
    </row>
    <row r="20" spans="1:41" x14ac:dyDescent="0.3">
      <c r="A20" t="s">
        <v>168</v>
      </c>
      <c r="B20" t="s">
        <v>215</v>
      </c>
      <c r="C20" t="s">
        <v>43</v>
      </c>
      <c r="D20" t="s">
        <v>127</v>
      </c>
      <c r="E20" s="1">
        <v>46064</v>
      </c>
      <c r="F20" t="s">
        <v>44</v>
      </c>
      <c r="G20" t="s">
        <v>128</v>
      </c>
      <c r="H20" s="2">
        <v>0.52083333333333337</v>
      </c>
      <c r="I20" s="2">
        <v>0.85416666666666663</v>
      </c>
      <c r="J20" t="s">
        <v>258</v>
      </c>
      <c r="K20" t="s">
        <v>259</v>
      </c>
      <c r="L20" t="s">
        <v>186</v>
      </c>
      <c r="M20" t="s">
        <v>260</v>
      </c>
      <c r="N20" t="s">
        <v>261</v>
      </c>
      <c r="O20">
        <v>5950997</v>
      </c>
      <c r="Q20" t="s">
        <v>219</v>
      </c>
      <c r="R20" t="s">
        <v>176</v>
      </c>
      <c r="S20" t="s">
        <v>52</v>
      </c>
      <c r="U20">
        <v>890161</v>
      </c>
      <c r="V20" s="3">
        <v>46043.775694444441</v>
      </c>
      <c r="W20" t="s">
        <v>262</v>
      </c>
      <c r="X20" t="s">
        <v>263</v>
      </c>
      <c r="Y20" t="str">
        <f>"0470174818"</f>
        <v>0470174818</v>
      </c>
      <c r="Z20" t="s">
        <v>264</v>
      </c>
      <c r="AB20" t="s">
        <v>222</v>
      </c>
      <c r="AD20" t="s">
        <v>168</v>
      </c>
      <c r="AE20" t="s">
        <v>223</v>
      </c>
      <c r="AF20">
        <v>5069</v>
      </c>
      <c r="AG20" t="s">
        <v>219</v>
      </c>
      <c r="AI20" t="s">
        <v>59</v>
      </c>
      <c r="AL20" t="s">
        <v>265</v>
      </c>
      <c r="AN20" s="3">
        <v>46064.825694444444</v>
      </c>
      <c r="AO20" t="s">
        <v>262</v>
      </c>
    </row>
    <row r="21" spans="1:41" x14ac:dyDescent="0.3">
      <c r="A21" t="s">
        <v>168</v>
      </c>
      <c r="B21" t="s">
        <v>266</v>
      </c>
      <c r="C21" t="s">
        <v>267</v>
      </c>
      <c r="D21" t="s">
        <v>268</v>
      </c>
      <c r="E21" s="1">
        <v>46064</v>
      </c>
      <c r="F21" t="s">
        <v>44</v>
      </c>
      <c r="G21" t="s">
        <v>128</v>
      </c>
      <c r="H21" s="2">
        <v>0.54166666666666663</v>
      </c>
      <c r="I21" s="2">
        <v>0.89583333333333337</v>
      </c>
      <c r="J21" t="s">
        <v>269</v>
      </c>
      <c r="K21" t="s">
        <v>270</v>
      </c>
      <c r="L21" t="s">
        <v>271</v>
      </c>
      <c r="M21" t="s">
        <v>272</v>
      </c>
      <c r="N21" t="s">
        <v>273</v>
      </c>
      <c r="O21">
        <v>5951312</v>
      </c>
      <c r="Q21" t="s">
        <v>274</v>
      </c>
      <c r="R21" t="s">
        <v>176</v>
      </c>
      <c r="S21" t="s">
        <v>52</v>
      </c>
      <c r="U21">
        <v>890176</v>
      </c>
      <c r="V21" s="3">
        <v>45993.538888888892</v>
      </c>
      <c r="W21" t="s">
        <v>275</v>
      </c>
      <c r="X21" t="s">
        <v>276</v>
      </c>
      <c r="Y21" t="str">
        <f>"0451788814"</f>
        <v>0451788814</v>
      </c>
      <c r="Z21" t="s">
        <v>70</v>
      </c>
      <c r="AB21" t="s">
        <v>277</v>
      </c>
      <c r="AC21" t="s">
        <v>278</v>
      </c>
      <c r="AD21" t="s">
        <v>168</v>
      </c>
      <c r="AE21" t="s">
        <v>279</v>
      </c>
      <c r="AF21">
        <v>5092</v>
      </c>
      <c r="AG21" t="s">
        <v>274</v>
      </c>
      <c r="AI21" t="s">
        <v>59</v>
      </c>
      <c r="AL21" t="s">
        <v>280</v>
      </c>
      <c r="AM21" t="s">
        <v>281</v>
      </c>
      <c r="AN21" s="3">
        <v>46064.913194444445</v>
      </c>
      <c r="AO21" t="s">
        <v>275</v>
      </c>
    </row>
    <row r="22" spans="1:41" x14ac:dyDescent="0.3">
      <c r="A22" t="s">
        <v>168</v>
      </c>
      <c r="B22" t="s">
        <v>282</v>
      </c>
      <c r="C22" t="s">
        <v>43</v>
      </c>
      <c r="D22" t="s">
        <v>283</v>
      </c>
      <c r="E22" s="1">
        <v>46064</v>
      </c>
      <c r="F22" t="s">
        <v>44</v>
      </c>
      <c r="G22" t="s">
        <v>128</v>
      </c>
      <c r="H22" s="2">
        <v>0.54166666666666663</v>
      </c>
      <c r="I22" s="2">
        <v>0.83333333333333337</v>
      </c>
      <c r="J22" t="s">
        <v>185</v>
      </c>
      <c r="K22" t="s">
        <v>284</v>
      </c>
      <c r="L22" t="s">
        <v>186</v>
      </c>
      <c r="M22" t="s">
        <v>285</v>
      </c>
      <c r="N22" t="s">
        <v>286</v>
      </c>
      <c r="O22">
        <v>5951416</v>
      </c>
      <c r="Q22" t="s">
        <v>287</v>
      </c>
      <c r="R22" t="s">
        <v>176</v>
      </c>
      <c r="S22" t="s">
        <v>52</v>
      </c>
      <c r="U22">
        <v>890159</v>
      </c>
      <c r="V22" s="3">
        <v>46062.640972222223</v>
      </c>
      <c r="W22" t="s">
        <v>288</v>
      </c>
      <c r="X22" t="s">
        <v>289</v>
      </c>
      <c r="Y22" t="str">
        <f>"0423562542"</f>
        <v>0423562542</v>
      </c>
      <c r="Z22" t="s">
        <v>290</v>
      </c>
      <c r="AA22" s="1">
        <v>46064</v>
      </c>
      <c r="AB22" t="s">
        <v>291</v>
      </c>
      <c r="AC22" t="s">
        <v>292</v>
      </c>
      <c r="AD22" t="s">
        <v>168</v>
      </c>
      <c r="AE22" t="s">
        <v>293</v>
      </c>
      <c r="AF22">
        <v>5037</v>
      </c>
      <c r="AG22" t="s">
        <v>294</v>
      </c>
      <c r="AI22" t="s">
        <v>59</v>
      </c>
      <c r="AL22" t="s">
        <v>295</v>
      </c>
      <c r="AN22" s="3">
        <v>46064.813194444447</v>
      </c>
      <c r="AO22" t="s">
        <v>288</v>
      </c>
    </row>
    <row r="23" spans="1:41" x14ac:dyDescent="0.3">
      <c r="A23" t="s">
        <v>168</v>
      </c>
      <c r="B23" t="s">
        <v>266</v>
      </c>
      <c r="D23" t="s">
        <v>268</v>
      </c>
      <c r="E23" s="1">
        <v>46064</v>
      </c>
      <c r="F23" t="s">
        <v>44</v>
      </c>
      <c r="G23" t="s">
        <v>128</v>
      </c>
      <c r="H23" s="2">
        <v>0.54166666666666663</v>
      </c>
      <c r="I23" s="2">
        <v>0.89583333333333337</v>
      </c>
      <c r="J23" t="s">
        <v>296</v>
      </c>
      <c r="K23" t="s">
        <v>297</v>
      </c>
      <c r="L23" t="s">
        <v>298</v>
      </c>
      <c r="M23" t="s">
        <v>299</v>
      </c>
      <c r="N23" t="s">
        <v>300</v>
      </c>
      <c r="O23">
        <v>5951986</v>
      </c>
      <c r="Q23" t="s">
        <v>301</v>
      </c>
      <c r="R23" t="s">
        <v>176</v>
      </c>
      <c r="S23" t="s">
        <v>52</v>
      </c>
      <c r="U23">
        <v>890178</v>
      </c>
      <c r="V23" s="3">
        <v>45993.429166666669</v>
      </c>
      <c r="W23" t="s">
        <v>302</v>
      </c>
      <c r="X23" t="s">
        <v>303</v>
      </c>
      <c r="Y23" t="str">
        <f>"0452633734"</f>
        <v>0452633734</v>
      </c>
      <c r="Z23" t="s">
        <v>304</v>
      </c>
      <c r="AB23" t="s">
        <v>277</v>
      </c>
      <c r="AC23" t="s">
        <v>278</v>
      </c>
      <c r="AD23" t="s">
        <v>168</v>
      </c>
      <c r="AE23" t="s">
        <v>279</v>
      </c>
      <c r="AF23">
        <v>5092</v>
      </c>
      <c r="AG23" t="s">
        <v>274</v>
      </c>
      <c r="AI23" t="s">
        <v>59</v>
      </c>
      <c r="AL23" t="s">
        <v>305</v>
      </c>
      <c r="AM23" t="s">
        <v>281</v>
      </c>
      <c r="AN23" s="3">
        <v>46064.918055555558</v>
      </c>
      <c r="AO23" t="s">
        <v>302</v>
      </c>
    </row>
    <row r="24" spans="1:41" x14ac:dyDescent="0.3">
      <c r="A24" t="s">
        <v>306</v>
      </c>
      <c r="B24" t="s">
        <v>307</v>
      </c>
      <c r="C24" t="s">
        <v>308</v>
      </c>
      <c r="D24" t="s">
        <v>309</v>
      </c>
      <c r="E24" s="1">
        <v>46064</v>
      </c>
      <c r="F24" t="s">
        <v>44</v>
      </c>
      <c r="G24" t="s">
        <v>128</v>
      </c>
      <c r="H24" s="2">
        <v>0.54166666666666663</v>
      </c>
      <c r="I24" s="2">
        <v>0.89583333333333337</v>
      </c>
      <c r="J24" t="s">
        <v>296</v>
      </c>
      <c r="L24" t="s">
        <v>310</v>
      </c>
      <c r="M24" t="s">
        <v>311</v>
      </c>
      <c r="N24" t="s">
        <v>312</v>
      </c>
      <c r="O24">
        <v>5952174</v>
      </c>
      <c r="Q24" t="s">
        <v>313</v>
      </c>
      <c r="R24" t="s">
        <v>314</v>
      </c>
      <c r="S24" t="s">
        <v>52</v>
      </c>
      <c r="U24">
        <v>890174</v>
      </c>
      <c r="V24" s="3">
        <v>46064.405555555553</v>
      </c>
      <c r="W24" t="s">
        <v>315</v>
      </c>
      <c r="X24" t="s">
        <v>316</v>
      </c>
      <c r="Y24" t="str">
        <f>"0452621529"</f>
        <v>0452621529</v>
      </c>
      <c r="Z24" t="s">
        <v>70</v>
      </c>
      <c r="AA24" s="1">
        <v>46064</v>
      </c>
      <c r="AB24" t="s">
        <v>317</v>
      </c>
      <c r="AD24" t="s">
        <v>306</v>
      </c>
      <c r="AE24" t="s">
        <v>318</v>
      </c>
      <c r="AF24">
        <v>3162</v>
      </c>
      <c r="AG24" t="s">
        <v>319</v>
      </c>
      <c r="AI24" t="s">
        <v>59</v>
      </c>
      <c r="AL24" t="s">
        <v>87</v>
      </c>
      <c r="AN24" s="3">
        <v>46064.893750000003</v>
      </c>
      <c r="AO24" t="s">
        <v>315</v>
      </c>
    </row>
    <row r="25" spans="1:41" x14ac:dyDescent="0.3">
      <c r="A25" t="s">
        <v>61</v>
      </c>
      <c r="B25" t="s">
        <v>62</v>
      </c>
      <c r="C25" t="s">
        <v>43</v>
      </c>
      <c r="D25" t="s">
        <v>63</v>
      </c>
      <c r="E25" s="1">
        <v>46064</v>
      </c>
      <c r="F25" t="s">
        <v>44</v>
      </c>
      <c r="G25" t="s">
        <v>128</v>
      </c>
      <c r="H25" s="2">
        <v>0.54166666666666663</v>
      </c>
      <c r="I25" s="2">
        <v>0.99861111111111112</v>
      </c>
      <c r="J25" t="s">
        <v>46</v>
      </c>
      <c r="L25" t="s">
        <v>47</v>
      </c>
      <c r="M25" t="s">
        <v>320</v>
      </c>
      <c r="N25" t="s">
        <v>321</v>
      </c>
      <c r="O25">
        <v>22889</v>
      </c>
      <c r="Q25" t="s">
        <v>66</v>
      </c>
      <c r="R25" t="s">
        <v>67</v>
      </c>
      <c r="S25" t="s">
        <v>52</v>
      </c>
      <c r="U25">
        <v>890166</v>
      </c>
      <c r="V25" s="3">
        <v>46056.431944444441</v>
      </c>
      <c r="W25" t="s">
        <v>322</v>
      </c>
      <c r="X25" t="s">
        <v>323</v>
      </c>
      <c r="Y25" t="str">
        <f>"0433005711"</f>
        <v>0433005711</v>
      </c>
      <c r="Z25" t="s">
        <v>324</v>
      </c>
      <c r="AB25" t="s">
        <v>71</v>
      </c>
      <c r="AD25" t="s">
        <v>61</v>
      </c>
      <c r="AE25" t="s">
        <v>72</v>
      </c>
      <c r="AF25">
        <v>2747</v>
      </c>
      <c r="AG25" t="s">
        <v>73</v>
      </c>
      <c r="AI25" t="s">
        <v>59</v>
      </c>
      <c r="AL25" t="s">
        <v>325</v>
      </c>
      <c r="AN25" s="3">
        <v>46064.852083333331</v>
      </c>
      <c r="AO25" t="s">
        <v>322</v>
      </c>
    </row>
    <row r="26" spans="1:41" x14ac:dyDescent="0.3">
      <c r="A26" t="s">
        <v>168</v>
      </c>
      <c r="B26" t="s">
        <v>326</v>
      </c>
      <c r="C26" t="s">
        <v>43</v>
      </c>
      <c r="D26" t="s">
        <v>127</v>
      </c>
      <c r="E26" s="1">
        <v>46064</v>
      </c>
      <c r="F26" t="s">
        <v>44</v>
      </c>
      <c r="G26" t="s">
        <v>128</v>
      </c>
      <c r="H26" s="2">
        <v>0.54166666666666663</v>
      </c>
      <c r="I26" s="2">
        <v>0.79166666666666663</v>
      </c>
      <c r="J26" t="s">
        <v>185</v>
      </c>
      <c r="K26" t="s">
        <v>327</v>
      </c>
      <c r="L26" t="s">
        <v>186</v>
      </c>
      <c r="M26" t="s">
        <v>328</v>
      </c>
      <c r="N26" t="s">
        <v>329</v>
      </c>
      <c r="O26">
        <v>21236</v>
      </c>
      <c r="Q26" t="s">
        <v>330</v>
      </c>
      <c r="R26" t="s">
        <v>176</v>
      </c>
      <c r="S26" t="s">
        <v>52</v>
      </c>
      <c r="U26">
        <v>890128</v>
      </c>
      <c r="V26" s="3">
        <v>46000.624305555553</v>
      </c>
      <c r="W26" t="s">
        <v>331</v>
      </c>
      <c r="X26" t="s">
        <v>332</v>
      </c>
      <c r="Y26" t="str">
        <f>"0487444258"</f>
        <v>0487444258</v>
      </c>
      <c r="Z26" t="s">
        <v>70</v>
      </c>
      <c r="AB26" t="s">
        <v>333</v>
      </c>
      <c r="AD26" t="s">
        <v>168</v>
      </c>
      <c r="AE26" t="s">
        <v>334</v>
      </c>
      <c r="AF26">
        <v>5034</v>
      </c>
      <c r="AI26" t="s">
        <v>59</v>
      </c>
      <c r="AL26" t="s">
        <v>335</v>
      </c>
      <c r="AN26" s="3">
        <v>46064.683333333334</v>
      </c>
      <c r="AO26" t="s">
        <v>331</v>
      </c>
    </row>
    <row r="27" spans="1:41" x14ac:dyDescent="0.3">
      <c r="A27" t="s">
        <v>168</v>
      </c>
      <c r="B27" t="s">
        <v>336</v>
      </c>
      <c r="C27" t="s">
        <v>337</v>
      </c>
      <c r="D27" t="s">
        <v>268</v>
      </c>
      <c r="E27" s="1">
        <v>46064</v>
      </c>
      <c r="F27" t="s">
        <v>44</v>
      </c>
      <c r="G27" t="s">
        <v>128</v>
      </c>
      <c r="H27" s="2">
        <v>0.54166666666666663</v>
      </c>
      <c r="I27" s="2">
        <v>0.89583333333333337</v>
      </c>
      <c r="J27" t="s">
        <v>296</v>
      </c>
      <c r="K27" t="s">
        <v>338</v>
      </c>
      <c r="L27" t="s">
        <v>339</v>
      </c>
      <c r="M27" t="s">
        <v>340</v>
      </c>
      <c r="N27" t="s">
        <v>341</v>
      </c>
      <c r="O27">
        <v>5951711</v>
      </c>
      <c r="P27" t="s">
        <v>338</v>
      </c>
      <c r="Q27" t="s">
        <v>342</v>
      </c>
      <c r="R27" t="s">
        <v>176</v>
      </c>
      <c r="S27" t="s">
        <v>52</v>
      </c>
      <c r="U27">
        <v>890171</v>
      </c>
      <c r="V27" s="3">
        <v>46050.415277777778</v>
      </c>
      <c r="W27" t="s">
        <v>343</v>
      </c>
      <c r="X27" t="s">
        <v>344</v>
      </c>
      <c r="Y27" t="str">
        <f>"0422996486"</f>
        <v>0422996486</v>
      </c>
      <c r="Z27" t="s">
        <v>345</v>
      </c>
      <c r="AB27" t="s">
        <v>346</v>
      </c>
      <c r="AD27" t="s">
        <v>168</v>
      </c>
      <c r="AE27" t="s">
        <v>347</v>
      </c>
      <c r="AF27">
        <v>5042</v>
      </c>
      <c r="AG27" t="s">
        <v>342</v>
      </c>
      <c r="AI27" t="s">
        <v>59</v>
      </c>
      <c r="AL27" t="s">
        <v>348</v>
      </c>
      <c r="AM27" t="s">
        <v>349</v>
      </c>
      <c r="AN27" s="3">
        <v>46064.87777777778</v>
      </c>
      <c r="AO27" t="s">
        <v>343</v>
      </c>
    </row>
    <row r="28" spans="1:41" x14ac:dyDescent="0.3">
      <c r="A28" t="s">
        <v>61</v>
      </c>
      <c r="B28" t="s">
        <v>350</v>
      </c>
      <c r="C28" t="s">
        <v>202</v>
      </c>
      <c r="D28" t="s">
        <v>63</v>
      </c>
      <c r="E28" s="1">
        <v>46064</v>
      </c>
      <c r="F28" t="s">
        <v>44</v>
      </c>
      <c r="G28" t="s">
        <v>128</v>
      </c>
      <c r="H28" s="2">
        <v>0.54166666666666663</v>
      </c>
      <c r="I28" s="2">
        <v>0.89583333333333337</v>
      </c>
      <c r="J28" t="s">
        <v>46</v>
      </c>
      <c r="L28" t="s">
        <v>47</v>
      </c>
      <c r="M28" t="s">
        <v>351</v>
      </c>
      <c r="N28" t="s">
        <v>352</v>
      </c>
      <c r="O28">
        <v>5951965</v>
      </c>
      <c r="Q28" t="s">
        <v>353</v>
      </c>
      <c r="R28" t="s">
        <v>132</v>
      </c>
      <c r="S28" t="s">
        <v>52</v>
      </c>
      <c r="U28">
        <v>890156</v>
      </c>
      <c r="V28" s="3">
        <v>46063.581250000003</v>
      </c>
      <c r="W28" t="s">
        <v>354</v>
      </c>
      <c r="X28" t="s">
        <v>355</v>
      </c>
      <c r="Y28" t="str">
        <f>"0430083393"</f>
        <v>0430083393</v>
      </c>
      <c r="Z28" t="s">
        <v>70</v>
      </c>
      <c r="AA28" s="1">
        <v>46064</v>
      </c>
      <c r="AB28" t="s">
        <v>356</v>
      </c>
      <c r="AD28" t="s">
        <v>61</v>
      </c>
      <c r="AE28" t="s">
        <v>357</v>
      </c>
      <c r="AF28">
        <v>2153</v>
      </c>
      <c r="AG28" t="s">
        <v>353</v>
      </c>
      <c r="AI28" t="s">
        <v>59</v>
      </c>
      <c r="AL28" t="s">
        <v>87</v>
      </c>
      <c r="AN28" s="3">
        <v>46064.786805555559</v>
      </c>
      <c r="AO28" t="s">
        <v>354</v>
      </c>
    </row>
    <row r="29" spans="1:41" x14ac:dyDescent="0.3">
      <c r="A29" t="s">
        <v>75</v>
      </c>
      <c r="B29" t="s">
        <v>358</v>
      </c>
      <c r="C29" t="s">
        <v>359</v>
      </c>
      <c r="D29" t="s">
        <v>184</v>
      </c>
      <c r="E29" s="1">
        <v>46064</v>
      </c>
      <c r="F29" t="s">
        <v>44</v>
      </c>
      <c r="G29" t="s">
        <v>128</v>
      </c>
      <c r="H29" s="2">
        <v>0.58333333333333337</v>
      </c>
      <c r="I29" s="2">
        <v>0.89583333333333337</v>
      </c>
      <c r="J29" t="s">
        <v>296</v>
      </c>
      <c r="K29" t="s">
        <v>360</v>
      </c>
      <c r="L29" t="s">
        <v>298</v>
      </c>
      <c r="M29" t="s">
        <v>361</v>
      </c>
      <c r="N29" t="s">
        <v>362</v>
      </c>
      <c r="O29">
        <v>5952088</v>
      </c>
      <c r="Q29" t="s">
        <v>363</v>
      </c>
      <c r="R29" t="s">
        <v>208</v>
      </c>
      <c r="S29" t="s">
        <v>52</v>
      </c>
      <c r="U29">
        <v>890609</v>
      </c>
      <c r="V29" s="3">
        <v>46063.925694444442</v>
      </c>
      <c r="W29" t="s">
        <v>364</v>
      </c>
      <c r="X29" t="s">
        <v>365</v>
      </c>
      <c r="Y29" t="str">
        <f>"0434549182"</f>
        <v>0434549182</v>
      </c>
      <c r="Z29" t="s">
        <v>366</v>
      </c>
      <c r="AA29" s="1">
        <v>46064</v>
      </c>
      <c r="AB29" t="s">
        <v>367</v>
      </c>
      <c r="AD29" t="s">
        <v>75</v>
      </c>
      <c r="AE29" t="s">
        <v>368</v>
      </c>
      <c r="AF29">
        <v>6027</v>
      </c>
      <c r="AG29" t="s">
        <v>369</v>
      </c>
      <c r="AI29" t="s">
        <v>59</v>
      </c>
      <c r="AL29" t="s">
        <v>370</v>
      </c>
      <c r="AN29" s="3">
        <v>46069.455555555556</v>
      </c>
      <c r="AO29" t="s">
        <v>364</v>
      </c>
    </row>
    <row r="30" spans="1:41" x14ac:dyDescent="0.3">
      <c r="A30" t="s">
        <v>168</v>
      </c>
      <c r="B30" t="s">
        <v>282</v>
      </c>
      <c r="C30" t="s">
        <v>170</v>
      </c>
      <c r="D30" t="s">
        <v>283</v>
      </c>
      <c r="E30" s="1">
        <v>46064</v>
      </c>
      <c r="F30" t="s">
        <v>44</v>
      </c>
      <c r="G30" t="s">
        <v>128</v>
      </c>
      <c r="H30" s="2">
        <v>0.58333333333333337</v>
      </c>
      <c r="I30" s="2">
        <v>0.875</v>
      </c>
      <c r="J30" t="s">
        <v>170</v>
      </c>
      <c r="K30" t="s">
        <v>77</v>
      </c>
      <c r="L30" t="s">
        <v>47</v>
      </c>
      <c r="M30" t="s">
        <v>371</v>
      </c>
      <c r="N30" t="s">
        <v>372</v>
      </c>
      <c r="O30">
        <v>20698</v>
      </c>
      <c r="Q30" t="s">
        <v>294</v>
      </c>
      <c r="R30" t="s">
        <v>176</v>
      </c>
      <c r="S30" t="s">
        <v>52</v>
      </c>
      <c r="U30">
        <v>890167</v>
      </c>
      <c r="V30" s="3">
        <v>46062.640972222223</v>
      </c>
      <c r="W30" t="s">
        <v>373</v>
      </c>
      <c r="X30" t="s">
        <v>374</v>
      </c>
      <c r="Y30" t="str">
        <f>"0424925273"</f>
        <v>0424925273</v>
      </c>
      <c r="Z30" t="s">
        <v>375</v>
      </c>
      <c r="AA30" s="1">
        <v>46064</v>
      </c>
      <c r="AB30" t="s">
        <v>291</v>
      </c>
      <c r="AC30" t="s">
        <v>292</v>
      </c>
      <c r="AD30" t="s">
        <v>168</v>
      </c>
      <c r="AE30" t="s">
        <v>293</v>
      </c>
      <c r="AF30">
        <v>5037</v>
      </c>
      <c r="AG30" t="s">
        <v>294</v>
      </c>
      <c r="AI30" t="s">
        <v>59</v>
      </c>
      <c r="AL30" t="s">
        <v>224</v>
      </c>
      <c r="AN30" s="3">
        <v>46064.852777777778</v>
      </c>
      <c r="AO30" t="s">
        <v>373</v>
      </c>
    </row>
    <row r="31" spans="1:41" x14ac:dyDescent="0.3">
      <c r="A31" t="s">
        <v>168</v>
      </c>
      <c r="B31" t="s">
        <v>376</v>
      </c>
      <c r="C31" t="s">
        <v>100</v>
      </c>
      <c r="D31" t="s">
        <v>127</v>
      </c>
      <c r="E31" s="1">
        <v>46064</v>
      </c>
      <c r="F31" t="s">
        <v>44</v>
      </c>
      <c r="G31" t="s">
        <v>128</v>
      </c>
      <c r="H31" s="2">
        <v>0.58333333333333337</v>
      </c>
      <c r="I31" s="2">
        <v>0.875</v>
      </c>
      <c r="J31" t="s">
        <v>100</v>
      </c>
      <c r="L31" t="s">
        <v>100</v>
      </c>
      <c r="M31" t="s">
        <v>377</v>
      </c>
      <c r="N31" t="s">
        <v>378</v>
      </c>
      <c r="O31">
        <v>21963</v>
      </c>
      <c r="Q31" t="s">
        <v>379</v>
      </c>
      <c r="R31" t="s">
        <v>380</v>
      </c>
      <c r="S31" t="s">
        <v>52</v>
      </c>
      <c r="U31">
        <v>890162</v>
      </c>
      <c r="V31" s="3">
        <v>46045.365972222222</v>
      </c>
      <c r="W31" t="s">
        <v>381</v>
      </c>
      <c r="X31" t="s">
        <v>382</v>
      </c>
      <c r="Y31" t="str">
        <f>"0438336604"</f>
        <v>0438336604</v>
      </c>
      <c r="Z31" t="s">
        <v>345</v>
      </c>
      <c r="AB31" t="s">
        <v>383</v>
      </c>
      <c r="AD31" t="s">
        <v>168</v>
      </c>
      <c r="AE31" t="s">
        <v>384</v>
      </c>
      <c r="AF31">
        <v>5000</v>
      </c>
      <c r="AI31" t="s">
        <v>59</v>
      </c>
      <c r="AL31" t="s">
        <v>385</v>
      </c>
      <c r="AN31" s="3">
        <v>46064.826388888891</v>
      </c>
      <c r="AO31" t="s">
        <v>381</v>
      </c>
    </row>
    <row r="32" spans="1:41" x14ac:dyDescent="0.3">
      <c r="A32" t="s">
        <v>306</v>
      </c>
      <c r="B32" t="s">
        <v>386</v>
      </c>
      <c r="C32" t="s">
        <v>387</v>
      </c>
      <c r="D32" t="s">
        <v>388</v>
      </c>
      <c r="E32" s="1">
        <v>46064</v>
      </c>
      <c r="F32" t="s">
        <v>44</v>
      </c>
      <c r="G32" t="s">
        <v>128</v>
      </c>
      <c r="H32" s="2">
        <v>0.58333333333333337</v>
      </c>
      <c r="I32" s="2">
        <v>0.91666666666666663</v>
      </c>
      <c r="J32" t="s">
        <v>389</v>
      </c>
      <c r="L32" t="s">
        <v>298</v>
      </c>
      <c r="M32" t="s">
        <v>195</v>
      </c>
      <c r="N32" t="s">
        <v>390</v>
      </c>
      <c r="O32">
        <v>5951661</v>
      </c>
      <c r="P32" t="s">
        <v>249</v>
      </c>
      <c r="Q32" t="s">
        <v>391</v>
      </c>
      <c r="R32" t="s">
        <v>392</v>
      </c>
      <c r="S32" t="s">
        <v>52</v>
      </c>
      <c r="T32" t="s">
        <v>252</v>
      </c>
      <c r="U32">
        <v>890614</v>
      </c>
      <c r="V32" s="3">
        <v>46069.458333333336</v>
      </c>
      <c r="W32" t="s">
        <v>393</v>
      </c>
      <c r="X32" t="s">
        <v>394</v>
      </c>
      <c r="Y32" t="str">
        <f>"0427371732"</f>
        <v>0427371732</v>
      </c>
      <c r="Z32" t="s">
        <v>395</v>
      </c>
      <c r="AA32" s="1">
        <v>46141</v>
      </c>
      <c r="AB32" t="s">
        <v>396</v>
      </c>
      <c r="AD32" t="s">
        <v>397</v>
      </c>
      <c r="AE32" t="s">
        <v>398</v>
      </c>
      <c r="AF32">
        <v>7919</v>
      </c>
      <c r="AG32" t="s">
        <v>399</v>
      </c>
      <c r="AI32" t="s">
        <v>59</v>
      </c>
      <c r="AJ32" t="str">
        <f>"0090000067"</f>
        <v>0090000067</v>
      </c>
      <c r="AN32" s="3">
        <v>46069.458333333336</v>
      </c>
      <c r="AO32" t="s">
        <v>392</v>
      </c>
    </row>
    <row r="33" spans="1:41" x14ac:dyDescent="0.3">
      <c r="A33" t="s">
        <v>168</v>
      </c>
      <c r="B33" t="s">
        <v>400</v>
      </c>
      <c r="C33" t="s">
        <v>100</v>
      </c>
      <c r="D33" t="s">
        <v>401</v>
      </c>
      <c r="E33" s="1">
        <v>46064</v>
      </c>
      <c r="F33" t="s">
        <v>44</v>
      </c>
      <c r="G33" t="s">
        <v>128</v>
      </c>
      <c r="H33" s="2">
        <v>0.58333333333333337</v>
      </c>
      <c r="I33" s="2">
        <v>0.91666666666666663</v>
      </c>
      <c r="J33" t="s">
        <v>100</v>
      </c>
      <c r="L33" t="s">
        <v>100</v>
      </c>
      <c r="M33" t="s">
        <v>402</v>
      </c>
      <c r="N33" t="s">
        <v>403</v>
      </c>
      <c r="O33">
        <v>21398</v>
      </c>
      <c r="Q33" t="s">
        <v>404</v>
      </c>
      <c r="R33" t="s">
        <v>231</v>
      </c>
      <c r="S33" t="s">
        <v>52</v>
      </c>
      <c r="U33">
        <v>890179</v>
      </c>
      <c r="V33" s="3">
        <v>46064.427777777775</v>
      </c>
      <c r="W33" t="s">
        <v>405</v>
      </c>
      <c r="X33" t="s">
        <v>406</v>
      </c>
      <c r="Y33" t="str">
        <f>"0423877972"</f>
        <v>0423877972</v>
      </c>
      <c r="Z33" t="s">
        <v>70</v>
      </c>
      <c r="AA33" s="1">
        <v>46064</v>
      </c>
      <c r="AB33" t="s">
        <v>407</v>
      </c>
      <c r="AD33" t="s">
        <v>168</v>
      </c>
      <c r="AE33" t="s">
        <v>347</v>
      </c>
      <c r="AF33">
        <v>5042</v>
      </c>
      <c r="AG33" t="s">
        <v>404</v>
      </c>
      <c r="AI33" t="s">
        <v>59</v>
      </c>
      <c r="AL33" t="s">
        <v>408</v>
      </c>
      <c r="AN33" s="3">
        <v>46064.931944444441</v>
      </c>
      <c r="AO33" t="s">
        <v>405</v>
      </c>
    </row>
    <row r="34" spans="1:41" x14ac:dyDescent="0.3">
      <c r="A34" t="s">
        <v>168</v>
      </c>
      <c r="B34" t="s">
        <v>409</v>
      </c>
      <c r="C34" t="s">
        <v>100</v>
      </c>
      <c r="D34" t="s">
        <v>309</v>
      </c>
      <c r="E34" s="1">
        <v>46064</v>
      </c>
      <c r="F34" t="s">
        <v>44</v>
      </c>
      <c r="G34" t="s">
        <v>128</v>
      </c>
      <c r="H34" s="2">
        <v>0.58333333333333337</v>
      </c>
      <c r="I34" s="2">
        <v>0.91666666666666663</v>
      </c>
      <c r="J34" t="s">
        <v>410</v>
      </c>
      <c r="L34" t="s">
        <v>100</v>
      </c>
      <c r="M34" t="s">
        <v>411</v>
      </c>
      <c r="N34" t="s">
        <v>412</v>
      </c>
      <c r="O34">
        <v>228</v>
      </c>
      <c r="Q34" t="s">
        <v>413</v>
      </c>
      <c r="R34" t="s">
        <v>231</v>
      </c>
      <c r="S34" t="s">
        <v>119</v>
      </c>
      <c r="T34" t="s">
        <v>414</v>
      </c>
      <c r="U34">
        <v>890483</v>
      </c>
      <c r="V34" s="3">
        <v>46064.415972222225</v>
      </c>
      <c r="W34" t="s">
        <v>415</v>
      </c>
      <c r="X34" t="s">
        <v>416</v>
      </c>
      <c r="Y34" t="str">
        <f>"0414869673"</f>
        <v>0414869673</v>
      </c>
      <c r="Z34" t="s">
        <v>70</v>
      </c>
      <c r="AB34" t="s">
        <v>417</v>
      </c>
      <c r="AD34" t="s">
        <v>168</v>
      </c>
      <c r="AE34" t="s">
        <v>384</v>
      </c>
      <c r="AF34">
        <v>5000</v>
      </c>
      <c r="AI34" t="s">
        <v>59</v>
      </c>
      <c r="AL34" t="s">
        <v>418</v>
      </c>
      <c r="AM34" t="s">
        <v>419</v>
      </c>
      <c r="AN34" s="3">
        <v>46064.419444444444</v>
      </c>
      <c r="AO34" t="s">
        <v>231</v>
      </c>
    </row>
    <row r="35" spans="1:41" x14ac:dyDescent="0.3">
      <c r="A35" t="s">
        <v>168</v>
      </c>
      <c r="B35" t="s">
        <v>282</v>
      </c>
      <c r="C35" t="s">
        <v>202</v>
      </c>
      <c r="D35" t="s">
        <v>283</v>
      </c>
      <c r="E35" s="1">
        <v>46064</v>
      </c>
      <c r="F35" t="s">
        <v>44</v>
      </c>
      <c r="G35" t="s">
        <v>128</v>
      </c>
      <c r="H35" s="2">
        <v>0.60416666666666663</v>
      </c>
      <c r="I35" s="2">
        <v>0.875</v>
      </c>
      <c r="J35" t="s">
        <v>46</v>
      </c>
      <c r="K35" t="s">
        <v>203</v>
      </c>
      <c r="L35" t="s">
        <v>47</v>
      </c>
      <c r="M35" t="s">
        <v>420</v>
      </c>
      <c r="N35" t="s">
        <v>421</v>
      </c>
      <c r="O35">
        <v>21332</v>
      </c>
      <c r="Q35" t="s">
        <v>294</v>
      </c>
      <c r="R35" t="s">
        <v>208</v>
      </c>
      <c r="S35" t="s">
        <v>52</v>
      </c>
      <c r="U35">
        <v>890170</v>
      </c>
      <c r="V35" s="3">
        <v>46063.797222222223</v>
      </c>
      <c r="W35" t="s">
        <v>422</v>
      </c>
      <c r="X35" t="s">
        <v>423</v>
      </c>
      <c r="Y35" t="str">
        <f>"0481793381"</f>
        <v>0481793381</v>
      </c>
      <c r="Z35" t="s">
        <v>70</v>
      </c>
      <c r="AA35" s="1">
        <v>46064</v>
      </c>
      <c r="AB35" t="s">
        <v>291</v>
      </c>
      <c r="AC35" t="s">
        <v>292</v>
      </c>
      <c r="AD35" t="s">
        <v>168</v>
      </c>
      <c r="AE35" t="s">
        <v>293</v>
      </c>
      <c r="AF35">
        <v>5037</v>
      </c>
      <c r="AG35" t="s">
        <v>424</v>
      </c>
      <c r="AI35" t="s">
        <v>59</v>
      </c>
      <c r="AL35" t="s">
        <v>425</v>
      </c>
      <c r="AN35" s="3">
        <v>46064.875</v>
      </c>
      <c r="AO35" t="s">
        <v>422</v>
      </c>
    </row>
    <row r="36" spans="1:41" x14ac:dyDescent="0.3">
      <c r="A36" t="s">
        <v>41</v>
      </c>
      <c r="B36" t="s">
        <v>426</v>
      </c>
      <c r="C36" t="s">
        <v>296</v>
      </c>
      <c r="D36" t="s">
        <v>246</v>
      </c>
      <c r="E36" s="1">
        <v>46064</v>
      </c>
      <c r="F36" t="s">
        <v>44</v>
      </c>
      <c r="G36" t="s">
        <v>128</v>
      </c>
      <c r="H36" s="2">
        <v>0.60416666666666663</v>
      </c>
      <c r="I36" s="2">
        <v>0.95833333333333337</v>
      </c>
      <c r="J36" t="s">
        <v>296</v>
      </c>
      <c r="K36" t="s">
        <v>427</v>
      </c>
      <c r="L36" t="s">
        <v>428</v>
      </c>
      <c r="M36" t="s">
        <v>429</v>
      </c>
      <c r="N36" t="s">
        <v>430</v>
      </c>
      <c r="O36">
        <v>5950727</v>
      </c>
      <c r="Q36" t="s">
        <v>431</v>
      </c>
      <c r="R36" t="s">
        <v>51</v>
      </c>
      <c r="S36" t="s">
        <v>52</v>
      </c>
      <c r="U36">
        <v>890201</v>
      </c>
      <c r="V36" s="3">
        <v>46064.466666666667</v>
      </c>
      <c r="W36" t="s">
        <v>432</v>
      </c>
      <c r="X36" t="s">
        <v>433</v>
      </c>
      <c r="Y36" t="str">
        <f>"0420946792"</f>
        <v>0420946792</v>
      </c>
      <c r="Z36" t="s">
        <v>70</v>
      </c>
      <c r="AA36" s="1">
        <v>46064</v>
      </c>
      <c r="AB36" t="s">
        <v>434</v>
      </c>
      <c r="AD36" t="s">
        <v>41</v>
      </c>
      <c r="AE36" t="s">
        <v>435</v>
      </c>
      <c r="AF36">
        <v>4163</v>
      </c>
      <c r="AG36" t="s">
        <v>431</v>
      </c>
      <c r="AI36" t="s">
        <v>59</v>
      </c>
      <c r="AL36" t="s">
        <v>87</v>
      </c>
      <c r="AN36" s="3">
        <v>46064.977777777778</v>
      </c>
      <c r="AO36" t="s">
        <v>432</v>
      </c>
    </row>
    <row r="37" spans="1:41" x14ac:dyDescent="0.3">
      <c r="A37" t="s">
        <v>61</v>
      </c>
      <c r="B37" t="s">
        <v>182</v>
      </c>
      <c r="C37" t="s">
        <v>183</v>
      </c>
      <c r="D37" t="s">
        <v>184</v>
      </c>
      <c r="E37" s="1">
        <v>46064</v>
      </c>
      <c r="F37" t="s">
        <v>44</v>
      </c>
      <c r="G37" t="s">
        <v>128</v>
      </c>
      <c r="H37" s="2">
        <v>0.60416666666666663</v>
      </c>
      <c r="I37" s="2">
        <v>0.99861111111111112</v>
      </c>
      <c r="J37" t="s">
        <v>185</v>
      </c>
      <c r="L37" t="s">
        <v>186</v>
      </c>
      <c r="M37" t="s">
        <v>436</v>
      </c>
      <c r="N37" t="s">
        <v>437</v>
      </c>
      <c r="O37">
        <v>5951773</v>
      </c>
      <c r="Q37" t="s">
        <v>189</v>
      </c>
      <c r="R37" t="s">
        <v>132</v>
      </c>
      <c r="S37" t="s">
        <v>52</v>
      </c>
      <c r="U37">
        <v>890157</v>
      </c>
      <c r="V37" s="3">
        <v>46057.534722222219</v>
      </c>
      <c r="W37" t="s">
        <v>438</v>
      </c>
      <c r="X37" t="s">
        <v>439</v>
      </c>
      <c r="Y37" t="str">
        <f>"0405762113"</f>
        <v>0405762113</v>
      </c>
      <c r="Z37" t="s">
        <v>440</v>
      </c>
      <c r="AB37" t="s">
        <v>193</v>
      </c>
      <c r="AD37" t="s">
        <v>61</v>
      </c>
      <c r="AE37" t="s">
        <v>194</v>
      </c>
      <c r="AF37">
        <v>2229</v>
      </c>
      <c r="AG37" t="s">
        <v>189</v>
      </c>
      <c r="AI37" t="s">
        <v>59</v>
      </c>
      <c r="AL37" t="s">
        <v>325</v>
      </c>
      <c r="AN37" s="3">
        <v>46064.802083333336</v>
      </c>
      <c r="AO37" t="s">
        <v>438</v>
      </c>
    </row>
    <row r="38" spans="1:41" x14ac:dyDescent="0.3">
      <c r="A38" t="s">
        <v>168</v>
      </c>
      <c r="B38" t="s">
        <v>441</v>
      </c>
      <c r="C38" t="s">
        <v>296</v>
      </c>
      <c r="E38" s="1">
        <v>46064</v>
      </c>
      <c r="F38" t="s">
        <v>44</v>
      </c>
      <c r="G38" t="s">
        <v>128</v>
      </c>
      <c r="H38" s="2">
        <v>0.60416666666666663</v>
      </c>
      <c r="I38" s="2">
        <v>0.9375</v>
      </c>
      <c r="J38" t="s">
        <v>296</v>
      </c>
      <c r="K38" t="s">
        <v>360</v>
      </c>
      <c r="L38" t="s">
        <v>298</v>
      </c>
      <c r="M38" t="s">
        <v>442</v>
      </c>
      <c r="N38" t="s">
        <v>443</v>
      </c>
      <c r="O38">
        <v>22456</v>
      </c>
      <c r="Q38" t="s">
        <v>444</v>
      </c>
      <c r="R38" t="s">
        <v>445</v>
      </c>
      <c r="S38" t="s">
        <v>52</v>
      </c>
      <c r="U38">
        <v>890200</v>
      </c>
      <c r="V38" s="3">
        <v>46064.311805555553</v>
      </c>
      <c r="W38" t="s">
        <v>446</v>
      </c>
      <c r="X38" t="s">
        <v>447</v>
      </c>
      <c r="Y38" t="str">
        <f>"0452566250"</f>
        <v>0452566250</v>
      </c>
      <c r="Z38" t="s">
        <v>70</v>
      </c>
      <c r="AA38" s="1">
        <v>46064</v>
      </c>
      <c r="AB38" t="s">
        <v>448</v>
      </c>
      <c r="AD38" t="s">
        <v>168</v>
      </c>
      <c r="AE38" t="s">
        <v>180</v>
      </c>
      <c r="AF38">
        <v>5063</v>
      </c>
      <c r="AI38" t="s">
        <v>59</v>
      </c>
      <c r="AL38" t="s">
        <v>449</v>
      </c>
      <c r="AN38" s="3">
        <v>46064.959027777775</v>
      </c>
      <c r="AO38" t="s">
        <v>446</v>
      </c>
    </row>
    <row r="39" spans="1:41" x14ac:dyDescent="0.3">
      <c r="A39" t="s">
        <v>306</v>
      </c>
      <c r="B39" t="s">
        <v>450</v>
      </c>
      <c r="C39" t="s">
        <v>100</v>
      </c>
      <c r="D39" t="s">
        <v>63</v>
      </c>
      <c r="E39" s="1">
        <v>46064</v>
      </c>
      <c r="F39" t="s">
        <v>44</v>
      </c>
      <c r="G39" t="s">
        <v>128</v>
      </c>
      <c r="H39" s="2">
        <v>0.625</v>
      </c>
      <c r="I39" s="2">
        <v>0.91666666666666663</v>
      </c>
      <c r="J39" t="s">
        <v>451</v>
      </c>
      <c r="L39" t="s">
        <v>452</v>
      </c>
      <c r="M39" t="s">
        <v>453</v>
      </c>
      <c r="N39" t="s">
        <v>454</v>
      </c>
      <c r="O39">
        <v>5950719</v>
      </c>
      <c r="Q39" t="s">
        <v>455</v>
      </c>
      <c r="R39" t="s">
        <v>314</v>
      </c>
      <c r="S39" t="s">
        <v>52</v>
      </c>
      <c r="U39">
        <v>890177</v>
      </c>
      <c r="V39" s="3">
        <v>46057.522222222222</v>
      </c>
      <c r="W39" t="s">
        <v>456</v>
      </c>
      <c r="X39" t="s">
        <v>457</v>
      </c>
      <c r="Y39" t="str">
        <f>"0412918806"</f>
        <v>0412918806</v>
      </c>
      <c r="Z39" t="s">
        <v>458</v>
      </c>
      <c r="AB39" t="s">
        <v>459</v>
      </c>
      <c r="AD39" t="s">
        <v>306</v>
      </c>
      <c r="AE39" t="s">
        <v>460</v>
      </c>
      <c r="AF39">
        <v>3058</v>
      </c>
      <c r="AG39" t="s">
        <v>461</v>
      </c>
      <c r="AI39" t="s">
        <v>59</v>
      </c>
      <c r="AL39" t="s">
        <v>87</v>
      </c>
      <c r="AN39" s="3">
        <v>46064.918055555558</v>
      </c>
      <c r="AO39" t="s">
        <v>456</v>
      </c>
    </row>
    <row r="40" spans="1:41" x14ac:dyDescent="0.3">
      <c r="A40" t="s">
        <v>41</v>
      </c>
      <c r="B40" t="s">
        <v>462</v>
      </c>
      <c r="C40" t="s">
        <v>296</v>
      </c>
      <c r="D40" t="s">
        <v>63</v>
      </c>
      <c r="E40" s="1">
        <v>46064</v>
      </c>
      <c r="F40" t="s">
        <v>44</v>
      </c>
      <c r="G40" t="s">
        <v>128</v>
      </c>
      <c r="H40" s="2">
        <v>0.625</v>
      </c>
      <c r="I40" s="2">
        <v>0.875</v>
      </c>
      <c r="J40" t="s">
        <v>463</v>
      </c>
      <c r="L40" t="s">
        <v>464</v>
      </c>
      <c r="M40" t="s">
        <v>465</v>
      </c>
      <c r="N40" t="s">
        <v>466</v>
      </c>
      <c r="O40">
        <v>401722</v>
      </c>
      <c r="Q40" t="s">
        <v>467</v>
      </c>
      <c r="R40" t="s">
        <v>51</v>
      </c>
      <c r="S40" t="s">
        <v>52</v>
      </c>
      <c r="U40">
        <v>890169</v>
      </c>
      <c r="V40" s="3">
        <v>46064.404861111114</v>
      </c>
      <c r="W40" t="s">
        <v>468</v>
      </c>
      <c r="X40" t="s">
        <v>469</v>
      </c>
      <c r="Y40" t="str">
        <f>"0423030872"</f>
        <v>0423030872</v>
      </c>
      <c r="Z40" t="s">
        <v>70</v>
      </c>
      <c r="AA40" s="1">
        <v>46064</v>
      </c>
      <c r="AB40" t="s">
        <v>470</v>
      </c>
      <c r="AD40" t="s">
        <v>41</v>
      </c>
      <c r="AE40" t="s">
        <v>471</v>
      </c>
      <c r="AF40">
        <v>4000</v>
      </c>
      <c r="AG40" t="s">
        <v>467</v>
      </c>
      <c r="AI40" t="s">
        <v>59</v>
      </c>
      <c r="AL40" t="s">
        <v>87</v>
      </c>
      <c r="AM40" t="s">
        <v>472</v>
      </c>
      <c r="AN40" s="3">
        <v>46064.856249999997</v>
      </c>
      <c r="AO40" t="s">
        <v>468</v>
      </c>
    </row>
    <row r="41" spans="1:41" x14ac:dyDescent="0.3">
      <c r="A41" t="s">
        <v>306</v>
      </c>
      <c r="B41" t="s">
        <v>450</v>
      </c>
      <c r="C41" t="s">
        <v>100</v>
      </c>
      <c r="D41" t="s">
        <v>63</v>
      </c>
      <c r="E41" s="1">
        <v>46064</v>
      </c>
      <c r="F41" t="s">
        <v>44</v>
      </c>
      <c r="G41" t="s">
        <v>128</v>
      </c>
      <c r="H41" s="2">
        <v>0.625</v>
      </c>
      <c r="I41" s="2">
        <v>0.91666666666666663</v>
      </c>
      <c r="J41" t="s">
        <v>451</v>
      </c>
      <c r="L41" t="s">
        <v>473</v>
      </c>
      <c r="M41" t="s">
        <v>474</v>
      </c>
      <c r="N41" t="s">
        <v>475</v>
      </c>
      <c r="O41">
        <v>5950662</v>
      </c>
      <c r="Q41" t="s">
        <v>455</v>
      </c>
      <c r="R41" t="s">
        <v>476</v>
      </c>
      <c r="S41" t="s">
        <v>52</v>
      </c>
      <c r="U41">
        <v>890175</v>
      </c>
      <c r="V41" s="3">
        <v>46062.374305555553</v>
      </c>
      <c r="W41" t="s">
        <v>477</v>
      </c>
      <c r="X41" t="s">
        <v>478</v>
      </c>
      <c r="Y41" t="str">
        <f>"0449808311"</f>
        <v>0449808311</v>
      </c>
      <c r="Z41" t="s">
        <v>70</v>
      </c>
      <c r="AA41" s="1">
        <v>46064</v>
      </c>
      <c r="AB41" t="s">
        <v>459</v>
      </c>
      <c r="AD41" t="s">
        <v>306</v>
      </c>
      <c r="AE41" t="s">
        <v>460</v>
      </c>
      <c r="AF41">
        <v>3058</v>
      </c>
      <c r="AG41" t="s">
        <v>455</v>
      </c>
      <c r="AI41" t="s">
        <v>59</v>
      </c>
      <c r="AL41" t="s">
        <v>87</v>
      </c>
      <c r="AN41" s="3">
        <v>46064.910416666666</v>
      </c>
      <c r="AO41" t="s">
        <v>477</v>
      </c>
    </row>
    <row r="42" spans="1:41" x14ac:dyDescent="0.3">
      <c r="A42" t="s">
        <v>168</v>
      </c>
      <c r="B42" t="s">
        <v>215</v>
      </c>
      <c r="C42" t="s">
        <v>202</v>
      </c>
      <c r="D42" t="s">
        <v>127</v>
      </c>
      <c r="E42" s="1">
        <v>46064</v>
      </c>
      <c r="F42" t="s">
        <v>44</v>
      </c>
      <c r="G42" t="s">
        <v>128</v>
      </c>
      <c r="H42" s="2">
        <v>0.64583333333333337</v>
      </c>
      <c r="I42" s="2">
        <v>0.875</v>
      </c>
      <c r="J42" t="s">
        <v>46</v>
      </c>
      <c r="L42" t="s">
        <v>159</v>
      </c>
      <c r="M42" t="s">
        <v>479</v>
      </c>
      <c r="N42" t="s">
        <v>480</v>
      </c>
      <c r="O42">
        <v>22438</v>
      </c>
      <c r="Q42" t="s">
        <v>219</v>
      </c>
      <c r="R42" t="s">
        <v>176</v>
      </c>
      <c r="S42" t="s">
        <v>52</v>
      </c>
      <c r="U42">
        <v>890168</v>
      </c>
      <c r="V42" s="3">
        <v>46043.799305555556</v>
      </c>
      <c r="W42" t="s">
        <v>481</v>
      </c>
      <c r="X42" t="s">
        <v>482</v>
      </c>
      <c r="Y42" t="str">
        <f>"0437751625"</f>
        <v>0437751625</v>
      </c>
      <c r="Z42" t="s">
        <v>483</v>
      </c>
      <c r="AB42" t="s">
        <v>222</v>
      </c>
      <c r="AD42" t="s">
        <v>168</v>
      </c>
      <c r="AE42" t="s">
        <v>223</v>
      </c>
      <c r="AF42">
        <v>5069</v>
      </c>
      <c r="AG42" t="s">
        <v>219</v>
      </c>
      <c r="AI42" t="s">
        <v>59</v>
      </c>
      <c r="AL42" t="s">
        <v>224</v>
      </c>
      <c r="AN42" s="3">
        <v>46064.854166666664</v>
      </c>
      <c r="AO42" t="s">
        <v>481</v>
      </c>
    </row>
    <row r="43" spans="1:41" x14ac:dyDescent="0.3">
      <c r="A43" t="s">
        <v>61</v>
      </c>
      <c r="B43" t="s">
        <v>182</v>
      </c>
      <c r="C43" t="s">
        <v>484</v>
      </c>
      <c r="D43" t="s">
        <v>184</v>
      </c>
      <c r="E43" s="1">
        <v>46064</v>
      </c>
      <c r="F43" t="s">
        <v>44</v>
      </c>
      <c r="G43" t="s">
        <v>485</v>
      </c>
      <c r="H43" s="2">
        <v>0.77083333333333337</v>
      </c>
      <c r="I43" s="2">
        <v>0.29166666666666669</v>
      </c>
      <c r="J43" t="s">
        <v>486</v>
      </c>
      <c r="L43" t="s">
        <v>487</v>
      </c>
      <c r="M43" t="s">
        <v>488</v>
      </c>
      <c r="N43" t="s">
        <v>489</v>
      </c>
      <c r="O43">
        <v>5951809</v>
      </c>
      <c r="Q43" t="s">
        <v>490</v>
      </c>
      <c r="R43" t="s">
        <v>67</v>
      </c>
      <c r="S43" t="s">
        <v>52</v>
      </c>
      <c r="U43">
        <v>890204</v>
      </c>
      <c r="V43" s="3">
        <v>46051.538194444445</v>
      </c>
      <c r="W43" t="s">
        <v>491</v>
      </c>
      <c r="X43" t="s">
        <v>492</v>
      </c>
      <c r="Y43" t="str">
        <f>"0431000508"</f>
        <v>0431000508</v>
      </c>
      <c r="Z43" t="s">
        <v>493</v>
      </c>
      <c r="AB43" t="s">
        <v>193</v>
      </c>
      <c r="AD43" t="s">
        <v>61</v>
      </c>
      <c r="AE43" t="s">
        <v>194</v>
      </c>
      <c r="AF43">
        <v>2229</v>
      </c>
      <c r="AG43" t="s">
        <v>129</v>
      </c>
      <c r="AI43" t="s">
        <v>59</v>
      </c>
      <c r="AL43" t="s">
        <v>108</v>
      </c>
      <c r="AN43" s="3">
        <v>46065.289583333331</v>
      </c>
      <c r="AO43" t="s">
        <v>491</v>
      </c>
    </row>
    <row r="44" spans="1:41" x14ac:dyDescent="0.3">
      <c r="A44" t="s">
        <v>306</v>
      </c>
      <c r="B44" t="s">
        <v>494</v>
      </c>
      <c r="C44" t="s">
        <v>495</v>
      </c>
      <c r="D44" t="s">
        <v>63</v>
      </c>
      <c r="E44" s="1">
        <v>46064</v>
      </c>
      <c r="F44" t="s">
        <v>44</v>
      </c>
      <c r="G44" t="s">
        <v>485</v>
      </c>
      <c r="H44" s="2">
        <v>0.79166666666666663</v>
      </c>
      <c r="I44" s="2">
        <v>0.3125</v>
      </c>
      <c r="J44" t="s">
        <v>496</v>
      </c>
      <c r="L44" t="s">
        <v>172</v>
      </c>
      <c r="M44" t="s">
        <v>497</v>
      </c>
      <c r="N44" t="s">
        <v>498</v>
      </c>
      <c r="O44">
        <v>21749</v>
      </c>
      <c r="Q44" t="s">
        <v>499</v>
      </c>
      <c r="R44" t="s">
        <v>500</v>
      </c>
      <c r="S44" t="s">
        <v>52</v>
      </c>
      <c r="U44">
        <v>890203</v>
      </c>
      <c r="V44" s="3">
        <v>46060.78402777778</v>
      </c>
      <c r="W44" t="s">
        <v>501</v>
      </c>
      <c r="X44" t="s">
        <v>502</v>
      </c>
      <c r="Y44" t="str">
        <f>"0400876131"</f>
        <v>0400876131</v>
      </c>
      <c r="Z44" t="s">
        <v>503</v>
      </c>
      <c r="AB44" t="s">
        <v>504</v>
      </c>
      <c r="AD44" t="s">
        <v>306</v>
      </c>
      <c r="AE44" t="s">
        <v>505</v>
      </c>
      <c r="AF44">
        <v>3052</v>
      </c>
      <c r="AG44" t="s">
        <v>499</v>
      </c>
      <c r="AI44" t="s">
        <v>59</v>
      </c>
      <c r="AL44" t="s">
        <v>506</v>
      </c>
      <c r="AN44" s="3">
        <v>46065.271527777775</v>
      </c>
      <c r="AO44" t="s">
        <v>501</v>
      </c>
    </row>
    <row r="45" spans="1:41" x14ac:dyDescent="0.3">
      <c r="A45" t="s">
        <v>61</v>
      </c>
      <c r="B45" t="s">
        <v>507</v>
      </c>
      <c r="D45" t="s">
        <v>63</v>
      </c>
      <c r="E45" s="1">
        <v>46064</v>
      </c>
      <c r="F45" t="s">
        <v>44</v>
      </c>
      <c r="G45" t="s">
        <v>485</v>
      </c>
      <c r="H45" s="2">
        <v>0.79166666666666663</v>
      </c>
      <c r="I45" s="2">
        <v>0.3125</v>
      </c>
      <c r="J45" t="s">
        <v>296</v>
      </c>
      <c r="L45" t="s">
        <v>298</v>
      </c>
      <c r="M45" t="s">
        <v>508</v>
      </c>
      <c r="N45" t="s">
        <v>509</v>
      </c>
      <c r="O45">
        <v>22014</v>
      </c>
      <c r="Q45" t="s">
        <v>510</v>
      </c>
      <c r="R45" t="s">
        <v>132</v>
      </c>
      <c r="S45" t="s">
        <v>52</v>
      </c>
      <c r="U45">
        <v>890209</v>
      </c>
      <c r="V45" s="3">
        <v>46042.390972222223</v>
      </c>
      <c r="W45" t="s">
        <v>511</v>
      </c>
      <c r="X45" t="s">
        <v>512</v>
      </c>
      <c r="Y45" t="str">
        <f>"0430326260"</f>
        <v>0430326260</v>
      </c>
      <c r="Z45" t="s">
        <v>513</v>
      </c>
      <c r="AB45" t="s">
        <v>514</v>
      </c>
      <c r="AD45" t="s">
        <v>61</v>
      </c>
      <c r="AE45" t="s">
        <v>515</v>
      </c>
      <c r="AF45">
        <v>2086</v>
      </c>
      <c r="AG45" t="s">
        <v>516</v>
      </c>
      <c r="AI45" t="s">
        <v>59</v>
      </c>
      <c r="AL45" t="s">
        <v>108</v>
      </c>
      <c r="AN45" s="3">
        <v>46065.320833333331</v>
      </c>
      <c r="AO45" t="s">
        <v>511</v>
      </c>
    </row>
    <row r="46" spans="1:41" x14ac:dyDescent="0.3">
      <c r="A46" t="s">
        <v>168</v>
      </c>
      <c r="B46" t="s">
        <v>266</v>
      </c>
      <c r="C46" t="s">
        <v>267</v>
      </c>
      <c r="D46" t="s">
        <v>268</v>
      </c>
      <c r="E46" s="1">
        <v>46064</v>
      </c>
      <c r="F46" t="s">
        <v>44</v>
      </c>
      <c r="G46" t="s">
        <v>485</v>
      </c>
      <c r="H46" s="2">
        <v>0.875</v>
      </c>
      <c r="I46" s="2">
        <v>0.3125</v>
      </c>
      <c r="J46" t="s">
        <v>269</v>
      </c>
      <c r="K46" t="s">
        <v>297</v>
      </c>
      <c r="L46" t="s">
        <v>47</v>
      </c>
      <c r="M46" t="s">
        <v>517</v>
      </c>
      <c r="N46" t="s">
        <v>518</v>
      </c>
      <c r="O46">
        <v>5951368</v>
      </c>
      <c r="Q46" t="s">
        <v>274</v>
      </c>
      <c r="R46" t="s">
        <v>176</v>
      </c>
      <c r="S46" t="s">
        <v>52</v>
      </c>
      <c r="U46">
        <v>890210</v>
      </c>
      <c r="V46" s="3">
        <v>45993.594444444447</v>
      </c>
      <c r="W46" t="s">
        <v>519</v>
      </c>
      <c r="X46" t="s">
        <v>520</v>
      </c>
      <c r="Y46" t="str">
        <f>"0420208072"</f>
        <v>0420208072</v>
      </c>
      <c r="Z46" t="s">
        <v>70</v>
      </c>
      <c r="AB46" t="s">
        <v>277</v>
      </c>
      <c r="AC46" t="s">
        <v>278</v>
      </c>
      <c r="AD46" t="s">
        <v>168</v>
      </c>
      <c r="AE46" t="s">
        <v>279</v>
      </c>
      <c r="AF46">
        <v>5092</v>
      </c>
      <c r="AG46" t="s">
        <v>274</v>
      </c>
      <c r="AI46" t="s">
        <v>59</v>
      </c>
      <c r="AL46" t="s">
        <v>521</v>
      </c>
      <c r="AM46" t="s">
        <v>281</v>
      </c>
      <c r="AN46" s="3">
        <v>46065.326388888891</v>
      </c>
      <c r="AO46" t="s">
        <v>519</v>
      </c>
    </row>
    <row r="47" spans="1:41" x14ac:dyDescent="0.3">
      <c r="A47" t="s">
        <v>168</v>
      </c>
      <c r="B47" t="s">
        <v>336</v>
      </c>
      <c r="D47" t="s">
        <v>268</v>
      </c>
      <c r="E47" s="1">
        <v>46064</v>
      </c>
      <c r="F47" t="s">
        <v>44</v>
      </c>
      <c r="G47" t="s">
        <v>485</v>
      </c>
      <c r="H47" s="2">
        <v>0.875</v>
      </c>
      <c r="I47" s="2">
        <v>0.3125</v>
      </c>
      <c r="J47" t="s">
        <v>296</v>
      </c>
      <c r="K47" t="s">
        <v>338</v>
      </c>
      <c r="L47" t="s">
        <v>522</v>
      </c>
      <c r="M47" t="s">
        <v>523</v>
      </c>
      <c r="N47" t="s">
        <v>524</v>
      </c>
      <c r="O47">
        <v>5951086</v>
      </c>
      <c r="P47" t="s">
        <v>338</v>
      </c>
      <c r="Q47" t="s">
        <v>342</v>
      </c>
      <c r="R47" t="s">
        <v>176</v>
      </c>
      <c r="S47" t="s">
        <v>52</v>
      </c>
      <c r="U47">
        <v>890202</v>
      </c>
      <c r="V47" s="3">
        <v>46050.414583333331</v>
      </c>
      <c r="W47" t="s">
        <v>525</v>
      </c>
      <c r="X47" t="s">
        <v>526</v>
      </c>
      <c r="Y47" t="str">
        <f>"0415251474"</f>
        <v>0415251474</v>
      </c>
      <c r="Z47" t="s">
        <v>527</v>
      </c>
      <c r="AB47" t="s">
        <v>346</v>
      </c>
      <c r="AD47" t="s">
        <v>168</v>
      </c>
      <c r="AE47" t="s">
        <v>347</v>
      </c>
      <c r="AF47">
        <v>5042</v>
      </c>
      <c r="AG47" t="s">
        <v>342</v>
      </c>
      <c r="AI47" t="s">
        <v>59</v>
      </c>
      <c r="AL47" t="s">
        <v>348</v>
      </c>
      <c r="AM47" t="s">
        <v>349</v>
      </c>
      <c r="AN47" s="3">
        <v>46065.231944444444</v>
      </c>
      <c r="AO47" t="s">
        <v>525</v>
      </c>
    </row>
    <row r="48" spans="1:41" x14ac:dyDescent="0.3">
      <c r="A48" t="s">
        <v>306</v>
      </c>
      <c r="B48" t="s">
        <v>528</v>
      </c>
      <c r="C48" t="s">
        <v>529</v>
      </c>
      <c r="D48" t="s">
        <v>63</v>
      </c>
      <c r="E48" s="1">
        <v>46064</v>
      </c>
      <c r="F48" t="s">
        <v>44</v>
      </c>
      <c r="G48" t="s">
        <v>485</v>
      </c>
      <c r="H48" s="2">
        <v>0.89583333333333337</v>
      </c>
      <c r="I48" s="2">
        <v>0.3125</v>
      </c>
      <c r="J48" t="s">
        <v>529</v>
      </c>
      <c r="K48" t="s">
        <v>530</v>
      </c>
      <c r="L48" t="s">
        <v>531</v>
      </c>
      <c r="M48" t="s">
        <v>532</v>
      </c>
      <c r="N48" t="s">
        <v>533</v>
      </c>
      <c r="O48">
        <v>20495</v>
      </c>
      <c r="Q48" t="s">
        <v>534</v>
      </c>
      <c r="R48" t="s">
        <v>476</v>
      </c>
      <c r="S48" t="s">
        <v>52</v>
      </c>
      <c r="U48">
        <v>890205</v>
      </c>
      <c r="V48" s="3">
        <v>46059.386111111111</v>
      </c>
      <c r="W48" t="s">
        <v>535</v>
      </c>
      <c r="X48" t="s">
        <v>536</v>
      </c>
      <c r="Y48" t="str">
        <f>"0447625522"</f>
        <v>0447625522</v>
      </c>
      <c r="Z48" t="s">
        <v>70</v>
      </c>
      <c r="AA48" s="1">
        <v>46064</v>
      </c>
      <c r="AB48" t="s">
        <v>537</v>
      </c>
      <c r="AD48" t="s">
        <v>306</v>
      </c>
      <c r="AE48" t="s">
        <v>538</v>
      </c>
      <c r="AF48">
        <v>3152</v>
      </c>
      <c r="AG48" t="s">
        <v>539</v>
      </c>
      <c r="AI48" t="s">
        <v>59</v>
      </c>
      <c r="AL48" t="s">
        <v>87</v>
      </c>
      <c r="AN48" s="3">
        <v>46065.307638888888</v>
      </c>
      <c r="AO48" t="s">
        <v>535</v>
      </c>
    </row>
    <row r="49" spans="1:41" x14ac:dyDescent="0.3">
      <c r="A49" t="s">
        <v>41</v>
      </c>
      <c r="B49" t="s">
        <v>426</v>
      </c>
      <c r="C49" t="s">
        <v>296</v>
      </c>
      <c r="D49" t="s">
        <v>246</v>
      </c>
      <c r="E49" s="1">
        <v>46064</v>
      </c>
      <c r="F49" t="s">
        <v>44</v>
      </c>
      <c r="G49" t="s">
        <v>485</v>
      </c>
      <c r="H49" s="2">
        <v>0.94791666666666663</v>
      </c>
      <c r="I49" s="2">
        <v>0.30208333333333331</v>
      </c>
      <c r="J49" t="s">
        <v>464</v>
      </c>
      <c r="L49" t="s">
        <v>540</v>
      </c>
      <c r="M49" t="s">
        <v>541</v>
      </c>
      <c r="N49" t="s">
        <v>542</v>
      </c>
      <c r="O49">
        <v>402297</v>
      </c>
      <c r="Q49" t="s">
        <v>431</v>
      </c>
      <c r="R49" t="s">
        <v>51</v>
      </c>
      <c r="S49" t="s">
        <v>52</v>
      </c>
      <c r="U49">
        <v>890215</v>
      </c>
      <c r="V49" s="3">
        <v>46064.46875</v>
      </c>
      <c r="W49" t="s">
        <v>543</v>
      </c>
      <c r="X49" t="s">
        <v>544</v>
      </c>
      <c r="Y49" t="str">
        <f>"0434044099"</f>
        <v>0434044099</v>
      </c>
      <c r="Z49" t="s">
        <v>545</v>
      </c>
      <c r="AB49" t="s">
        <v>434</v>
      </c>
      <c r="AD49" t="s">
        <v>41</v>
      </c>
      <c r="AE49" t="s">
        <v>435</v>
      </c>
      <c r="AF49">
        <v>4163</v>
      </c>
      <c r="AG49" t="s">
        <v>431</v>
      </c>
      <c r="AI49" t="s">
        <v>59</v>
      </c>
      <c r="AL49" t="s">
        <v>87</v>
      </c>
      <c r="AN49" s="3">
        <v>46065.353472222225</v>
      </c>
      <c r="AO49" t="s">
        <v>543</v>
      </c>
    </row>
    <row r="50" spans="1:41" x14ac:dyDescent="0.3">
      <c r="A50" t="s">
        <v>41</v>
      </c>
      <c r="B50" t="s">
        <v>426</v>
      </c>
      <c r="C50" t="s">
        <v>296</v>
      </c>
      <c r="D50" t="s">
        <v>246</v>
      </c>
      <c r="E50" s="1">
        <v>46064</v>
      </c>
      <c r="F50" t="s">
        <v>44</v>
      </c>
      <c r="G50" t="s">
        <v>485</v>
      </c>
      <c r="H50" s="2">
        <v>0.94791666666666663</v>
      </c>
      <c r="I50" s="2">
        <v>0.30208333333333331</v>
      </c>
      <c r="J50" t="s">
        <v>464</v>
      </c>
      <c r="L50" t="s">
        <v>464</v>
      </c>
      <c r="M50" t="s">
        <v>546</v>
      </c>
      <c r="N50" t="s">
        <v>547</v>
      </c>
      <c r="O50">
        <v>5952134</v>
      </c>
      <c r="Q50" t="s">
        <v>431</v>
      </c>
      <c r="R50" t="s">
        <v>51</v>
      </c>
      <c r="S50" t="s">
        <v>52</v>
      </c>
      <c r="U50">
        <v>890212</v>
      </c>
      <c r="V50" s="3">
        <v>46064.46875</v>
      </c>
      <c r="W50" t="s">
        <v>548</v>
      </c>
      <c r="X50" t="s">
        <v>549</v>
      </c>
      <c r="Y50" t="str">
        <f>"0481487167"</f>
        <v>0481487167</v>
      </c>
      <c r="Z50" t="s">
        <v>550</v>
      </c>
      <c r="AB50" t="s">
        <v>434</v>
      </c>
      <c r="AD50" t="s">
        <v>41</v>
      </c>
      <c r="AE50" t="s">
        <v>435</v>
      </c>
      <c r="AF50">
        <v>4163</v>
      </c>
      <c r="AG50" t="s">
        <v>431</v>
      </c>
      <c r="AI50" t="s">
        <v>59</v>
      </c>
      <c r="AL50" t="s">
        <v>214</v>
      </c>
      <c r="AN50" s="3">
        <v>46065.34652777778</v>
      </c>
      <c r="AO50" t="s">
        <v>548</v>
      </c>
    </row>
    <row r="51" spans="1:41" x14ac:dyDescent="0.3">
      <c r="A51" t="s">
        <v>41</v>
      </c>
      <c r="B51" t="s">
        <v>551</v>
      </c>
      <c r="C51" t="s">
        <v>296</v>
      </c>
      <c r="D51" t="s">
        <v>246</v>
      </c>
      <c r="E51" s="1">
        <v>46064</v>
      </c>
      <c r="F51" t="s">
        <v>44</v>
      </c>
      <c r="G51" t="s">
        <v>485</v>
      </c>
      <c r="H51" s="2">
        <v>0.94791666666666663</v>
      </c>
      <c r="I51" s="2">
        <v>0.30208333333333331</v>
      </c>
      <c r="J51" t="s">
        <v>552</v>
      </c>
      <c r="K51" t="s">
        <v>553</v>
      </c>
      <c r="L51" t="s">
        <v>428</v>
      </c>
      <c r="M51" t="s">
        <v>554</v>
      </c>
      <c r="N51" t="s">
        <v>555</v>
      </c>
      <c r="O51">
        <v>5950685</v>
      </c>
      <c r="Q51" t="s">
        <v>151</v>
      </c>
      <c r="R51" t="s">
        <v>556</v>
      </c>
      <c r="S51" t="s">
        <v>52</v>
      </c>
      <c r="U51">
        <v>890214</v>
      </c>
      <c r="V51" s="3">
        <v>46064.826388888891</v>
      </c>
      <c r="W51" t="s">
        <v>557</v>
      </c>
      <c r="X51" t="s">
        <v>558</v>
      </c>
      <c r="Y51" t="str">
        <f>"0431966228"</f>
        <v>0431966228</v>
      </c>
      <c r="Z51" t="s">
        <v>70</v>
      </c>
      <c r="AA51" s="1">
        <v>46064</v>
      </c>
      <c r="AB51" t="s">
        <v>559</v>
      </c>
      <c r="AD51" t="s">
        <v>41</v>
      </c>
      <c r="AE51" t="s">
        <v>560</v>
      </c>
      <c r="AF51">
        <v>4131</v>
      </c>
      <c r="AG51" t="s">
        <v>561</v>
      </c>
      <c r="AI51" t="s">
        <v>59</v>
      </c>
      <c r="AL51" t="s">
        <v>562</v>
      </c>
      <c r="AN51" s="3">
        <v>46065.35</v>
      </c>
      <c r="AO51" t="s">
        <v>557</v>
      </c>
    </row>
    <row r="52" spans="1:41" x14ac:dyDescent="0.3">
      <c r="A52" t="s">
        <v>41</v>
      </c>
      <c r="B52" t="s">
        <v>426</v>
      </c>
      <c r="C52" t="s">
        <v>296</v>
      </c>
      <c r="D52" t="s">
        <v>246</v>
      </c>
      <c r="E52" s="1">
        <v>46064</v>
      </c>
      <c r="F52" t="s">
        <v>44</v>
      </c>
      <c r="G52" t="s">
        <v>485</v>
      </c>
      <c r="H52" s="2">
        <v>0.94791666666666663</v>
      </c>
      <c r="I52" s="2">
        <v>0.30208333333333331</v>
      </c>
      <c r="J52" t="s">
        <v>464</v>
      </c>
      <c r="L52" t="s">
        <v>540</v>
      </c>
      <c r="M52" t="s">
        <v>563</v>
      </c>
      <c r="N52" t="s">
        <v>564</v>
      </c>
      <c r="O52">
        <v>402477</v>
      </c>
      <c r="Q52" t="s">
        <v>431</v>
      </c>
      <c r="R52" t="s">
        <v>51</v>
      </c>
      <c r="S52" t="s">
        <v>52</v>
      </c>
      <c r="U52">
        <v>890211</v>
      </c>
      <c r="V52" s="3">
        <v>46064.46875</v>
      </c>
      <c r="W52" t="s">
        <v>565</v>
      </c>
      <c r="X52" t="s">
        <v>566</v>
      </c>
      <c r="Y52" t="str">
        <f>"0417873276"</f>
        <v>0417873276</v>
      </c>
      <c r="Z52" t="s">
        <v>503</v>
      </c>
      <c r="AA52" s="1">
        <v>46064</v>
      </c>
      <c r="AB52" t="s">
        <v>434</v>
      </c>
      <c r="AD52" t="s">
        <v>41</v>
      </c>
      <c r="AE52" t="s">
        <v>435</v>
      </c>
      <c r="AF52">
        <v>4163</v>
      </c>
      <c r="AG52" t="s">
        <v>431</v>
      </c>
      <c r="AI52" t="s">
        <v>59</v>
      </c>
      <c r="AL52" t="s">
        <v>567</v>
      </c>
      <c r="AN52" s="3">
        <v>46065.34652777778</v>
      </c>
      <c r="AO52" t="s">
        <v>565</v>
      </c>
    </row>
    <row r="53" spans="1:41" x14ac:dyDescent="0.3">
      <c r="A53" t="s">
        <v>41</v>
      </c>
      <c r="B53" t="s">
        <v>568</v>
      </c>
      <c r="D53" t="s">
        <v>246</v>
      </c>
      <c r="E53" s="1">
        <v>46034</v>
      </c>
      <c r="F53" t="s">
        <v>569</v>
      </c>
      <c r="G53" t="s">
        <v>45</v>
      </c>
      <c r="H53" s="2">
        <v>0.29166666666666669</v>
      </c>
      <c r="I53" s="2">
        <v>0.29236111111111113</v>
      </c>
      <c r="J53" t="s">
        <v>269</v>
      </c>
      <c r="L53" t="s">
        <v>172</v>
      </c>
      <c r="M53" t="s">
        <v>311</v>
      </c>
      <c r="N53" t="s">
        <v>570</v>
      </c>
      <c r="O53">
        <v>5951685</v>
      </c>
      <c r="P53" t="s">
        <v>571</v>
      </c>
      <c r="Q53" t="s">
        <v>572</v>
      </c>
      <c r="R53" t="s">
        <v>573</v>
      </c>
      <c r="S53" t="s">
        <v>52</v>
      </c>
      <c r="T53" t="s">
        <v>252</v>
      </c>
      <c r="U53">
        <v>887558</v>
      </c>
      <c r="V53" s="3">
        <v>46041.614583333336</v>
      </c>
      <c r="W53" t="s">
        <v>574</v>
      </c>
      <c r="X53" t="s">
        <v>575</v>
      </c>
      <c r="Y53" t="str">
        <f>"0407007024"</f>
        <v>0407007024</v>
      </c>
      <c r="Z53" t="s">
        <v>70</v>
      </c>
      <c r="AA53" s="1">
        <v>46075</v>
      </c>
      <c r="AB53" t="s">
        <v>576</v>
      </c>
      <c r="AD53" t="s">
        <v>41</v>
      </c>
      <c r="AE53" t="s">
        <v>577</v>
      </c>
      <c r="AF53">
        <v>4700</v>
      </c>
      <c r="AG53" t="s">
        <v>572</v>
      </c>
      <c r="AI53" t="s">
        <v>59</v>
      </c>
      <c r="AJ53" t="str">
        <f>"0050076113"</f>
        <v>0050076113</v>
      </c>
      <c r="AN53" s="3">
        <v>46041.614583333336</v>
      </c>
      <c r="AO53" t="s">
        <v>573</v>
      </c>
    </row>
    <row r="54" spans="1:41" x14ac:dyDescent="0.3">
      <c r="A54" t="s">
        <v>61</v>
      </c>
      <c r="B54" t="s">
        <v>578</v>
      </c>
      <c r="D54" t="s">
        <v>579</v>
      </c>
      <c r="E54" s="1">
        <v>46034</v>
      </c>
      <c r="F54" t="s">
        <v>569</v>
      </c>
      <c r="G54" t="s">
        <v>45</v>
      </c>
      <c r="H54" s="2">
        <v>0.41666666666666669</v>
      </c>
      <c r="I54" s="2">
        <v>0.77083333333333337</v>
      </c>
      <c r="J54" t="s">
        <v>269</v>
      </c>
      <c r="L54" t="s">
        <v>172</v>
      </c>
      <c r="M54" t="s">
        <v>580</v>
      </c>
      <c r="N54" t="s">
        <v>581</v>
      </c>
      <c r="O54">
        <v>5951721</v>
      </c>
      <c r="P54" t="s">
        <v>571</v>
      </c>
      <c r="Q54" t="s">
        <v>582</v>
      </c>
      <c r="R54" t="s">
        <v>573</v>
      </c>
      <c r="S54" t="s">
        <v>52</v>
      </c>
      <c r="T54" t="s">
        <v>252</v>
      </c>
      <c r="U54">
        <v>887532</v>
      </c>
      <c r="V54" s="3">
        <v>46041.567361111112</v>
      </c>
      <c r="W54" t="s">
        <v>583</v>
      </c>
      <c r="X54" t="s">
        <v>584</v>
      </c>
      <c r="Y54" t="str">
        <f>"0456677559"</f>
        <v>0456677559</v>
      </c>
      <c r="Z54" t="s">
        <v>585</v>
      </c>
      <c r="AA54" s="1">
        <v>46061</v>
      </c>
      <c r="AB54" t="s">
        <v>586</v>
      </c>
      <c r="AD54" t="s">
        <v>61</v>
      </c>
      <c r="AE54" t="s">
        <v>587</v>
      </c>
      <c r="AF54">
        <v>2320</v>
      </c>
      <c r="AG54" t="s">
        <v>588</v>
      </c>
      <c r="AI54" t="s">
        <v>59</v>
      </c>
      <c r="AJ54" t="str">
        <f>"0010193654"</f>
        <v>0010193654</v>
      </c>
      <c r="AN54" s="3">
        <v>46041.567361111112</v>
      </c>
      <c r="AO54" t="s">
        <v>573</v>
      </c>
    </row>
    <row r="55" spans="1:41" x14ac:dyDescent="0.3">
      <c r="A55" t="s">
        <v>41</v>
      </c>
      <c r="B55" t="s">
        <v>589</v>
      </c>
      <c r="C55" t="s">
        <v>590</v>
      </c>
      <c r="D55" t="s">
        <v>246</v>
      </c>
      <c r="E55" s="1">
        <v>46034</v>
      </c>
      <c r="F55" t="s">
        <v>569</v>
      </c>
      <c r="G55" t="s">
        <v>128</v>
      </c>
      <c r="H55" s="2">
        <v>0.60416666666666663</v>
      </c>
      <c r="I55" s="2">
        <v>0.95833333333333337</v>
      </c>
      <c r="J55" t="s">
        <v>591</v>
      </c>
      <c r="L55" t="s">
        <v>592</v>
      </c>
      <c r="M55" t="s">
        <v>593</v>
      </c>
      <c r="N55" t="s">
        <v>594</v>
      </c>
      <c r="O55">
        <v>5952427</v>
      </c>
      <c r="P55" t="s">
        <v>595</v>
      </c>
      <c r="Q55" t="s">
        <v>596</v>
      </c>
      <c r="R55" t="s">
        <v>392</v>
      </c>
      <c r="S55" t="s">
        <v>52</v>
      </c>
      <c r="T55" t="s">
        <v>252</v>
      </c>
      <c r="U55">
        <v>887510</v>
      </c>
      <c r="V55" s="3">
        <v>46041.462500000001</v>
      </c>
      <c r="W55" t="s">
        <v>597</v>
      </c>
      <c r="X55" t="s">
        <v>598</v>
      </c>
      <c r="Y55" t="str">
        <f>"0432677728"</f>
        <v>0432677728</v>
      </c>
      <c r="Z55" t="s">
        <v>585</v>
      </c>
      <c r="AA55" s="1">
        <v>46054</v>
      </c>
      <c r="AB55" t="s">
        <v>599</v>
      </c>
      <c r="AC55" t="s">
        <v>600</v>
      </c>
      <c r="AD55" t="s">
        <v>41</v>
      </c>
      <c r="AE55" t="s">
        <v>600</v>
      </c>
      <c r="AF55">
        <v>4610</v>
      </c>
      <c r="AG55" t="s">
        <v>601</v>
      </c>
      <c r="AI55" t="s">
        <v>59</v>
      </c>
      <c r="AJ55" t="str">
        <f>"0050075752"</f>
        <v>0050075752</v>
      </c>
      <c r="AN55" s="3">
        <v>46041.462500000001</v>
      </c>
      <c r="AO55" t="s">
        <v>392</v>
      </c>
    </row>
    <row r="56" spans="1:41" x14ac:dyDescent="0.3">
      <c r="A56" t="s">
        <v>41</v>
      </c>
      <c r="B56" t="s">
        <v>568</v>
      </c>
      <c r="C56" t="s">
        <v>602</v>
      </c>
      <c r="D56" t="s">
        <v>246</v>
      </c>
      <c r="E56" s="1">
        <v>46034</v>
      </c>
      <c r="F56" t="s">
        <v>569</v>
      </c>
      <c r="G56" t="s">
        <v>128</v>
      </c>
      <c r="H56" s="2">
        <v>0.60416666666666663</v>
      </c>
      <c r="I56" s="2">
        <v>0.95833333333333337</v>
      </c>
      <c r="J56" t="s">
        <v>269</v>
      </c>
      <c r="L56" t="s">
        <v>47</v>
      </c>
      <c r="M56" t="s">
        <v>603</v>
      </c>
      <c r="N56" t="s">
        <v>604</v>
      </c>
      <c r="O56">
        <v>80</v>
      </c>
      <c r="P56" t="s">
        <v>571</v>
      </c>
      <c r="Q56" t="s">
        <v>572</v>
      </c>
      <c r="R56" t="s">
        <v>573</v>
      </c>
      <c r="S56" t="s">
        <v>52</v>
      </c>
      <c r="T56" t="s">
        <v>252</v>
      </c>
      <c r="U56">
        <v>887518</v>
      </c>
      <c r="V56" s="3">
        <v>46041.507638888892</v>
      </c>
      <c r="W56" t="s">
        <v>605</v>
      </c>
      <c r="X56" t="s">
        <v>606</v>
      </c>
      <c r="Y56" t="str">
        <f>"0414330986"</f>
        <v>0414330986</v>
      </c>
      <c r="Z56" t="s">
        <v>585</v>
      </c>
      <c r="AA56" s="1">
        <v>46068</v>
      </c>
      <c r="AB56" t="s">
        <v>576</v>
      </c>
      <c r="AD56" t="s">
        <v>41</v>
      </c>
      <c r="AE56" t="s">
        <v>577</v>
      </c>
      <c r="AF56">
        <v>4700</v>
      </c>
      <c r="AG56" t="s">
        <v>572</v>
      </c>
      <c r="AI56" t="s">
        <v>59</v>
      </c>
      <c r="AJ56" t="str">
        <f>"0050075176"</f>
        <v>0050075176</v>
      </c>
      <c r="AN56" s="3">
        <v>46041.507638888892</v>
      </c>
      <c r="AO56" t="s">
        <v>573</v>
      </c>
    </row>
    <row r="57" spans="1:41" x14ac:dyDescent="0.3">
      <c r="A57" t="s">
        <v>168</v>
      </c>
      <c r="B57" t="s">
        <v>607</v>
      </c>
      <c r="C57" t="s">
        <v>267</v>
      </c>
      <c r="D57" t="s">
        <v>268</v>
      </c>
      <c r="E57" s="1">
        <v>46034</v>
      </c>
      <c r="F57" t="s">
        <v>569</v>
      </c>
      <c r="G57" t="s">
        <v>45</v>
      </c>
      <c r="H57" s="2">
        <v>0.91666666666666663</v>
      </c>
      <c r="I57" s="2">
        <v>0.36458333333333331</v>
      </c>
      <c r="J57" t="s">
        <v>269</v>
      </c>
      <c r="K57" t="s">
        <v>608</v>
      </c>
      <c r="L57" t="s">
        <v>609</v>
      </c>
      <c r="M57" t="s">
        <v>610</v>
      </c>
      <c r="N57" t="s">
        <v>611</v>
      </c>
      <c r="O57">
        <v>5952121</v>
      </c>
      <c r="P57" t="s">
        <v>249</v>
      </c>
      <c r="Q57" t="s">
        <v>612</v>
      </c>
      <c r="R57" t="s">
        <v>613</v>
      </c>
      <c r="S57" t="s">
        <v>52</v>
      </c>
      <c r="T57" t="s">
        <v>252</v>
      </c>
      <c r="U57">
        <v>887481</v>
      </c>
      <c r="V57" s="3">
        <v>46041.373611111114</v>
      </c>
      <c r="W57" t="s">
        <v>613</v>
      </c>
      <c r="X57" t="s">
        <v>614</v>
      </c>
      <c r="Y57" t="str">
        <f>"0412297150"</f>
        <v>0412297150</v>
      </c>
      <c r="Z57" t="s">
        <v>84</v>
      </c>
      <c r="AA57" s="1">
        <v>46077</v>
      </c>
      <c r="AB57" t="s">
        <v>615</v>
      </c>
      <c r="AC57" t="s">
        <v>616</v>
      </c>
      <c r="AD57" t="s">
        <v>168</v>
      </c>
      <c r="AE57" t="s">
        <v>617</v>
      </c>
      <c r="AF57">
        <v>5290</v>
      </c>
      <c r="AG57" t="s">
        <v>618</v>
      </c>
      <c r="AI57" t="s">
        <v>59</v>
      </c>
      <c r="AJ57" t="str">
        <f>"0020171780"</f>
        <v>0020171780</v>
      </c>
      <c r="AM57" t="s">
        <v>619</v>
      </c>
      <c r="AN57" s="3">
        <v>46041.373611111114</v>
      </c>
      <c r="AO57" t="s">
        <v>613</v>
      </c>
    </row>
    <row r="58" spans="1:41" x14ac:dyDescent="0.3">
      <c r="A58" t="s">
        <v>61</v>
      </c>
      <c r="B58" t="s">
        <v>620</v>
      </c>
      <c r="C58" t="s">
        <v>43</v>
      </c>
      <c r="D58" t="s">
        <v>63</v>
      </c>
      <c r="E58" s="1">
        <v>46065</v>
      </c>
      <c r="F58" t="s">
        <v>621</v>
      </c>
      <c r="G58" t="s">
        <v>45</v>
      </c>
      <c r="H58" s="2">
        <v>0.25</v>
      </c>
      <c r="I58" s="2">
        <v>0.5</v>
      </c>
      <c r="J58" t="s">
        <v>185</v>
      </c>
      <c r="L58" t="s">
        <v>186</v>
      </c>
      <c r="M58" t="s">
        <v>622</v>
      </c>
      <c r="N58" t="s">
        <v>623</v>
      </c>
      <c r="O58">
        <v>20720</v>
      </c>
      <c r="Q58" t="s">
        <v>624</v>
      </c>
      <c r="R58" t="s">
        <v>132</v>
      </c>
      <c r="S58" t="s">
        <v>52</v>
      </c>
      <c r="U58">
        <v>890220</v>
      </c>
      <c r="V58" s="3">
        <v>46059.34097222222</v>
      </c>
      <c r="W58" t="s">
        <v>625</v>
      </c>
      <c r="X58" t="s">
        <v>626</v>
      </c>
      <c r="Y58" t="str">
        <f>"0469365147"</f>
        <v>0469365147</v>
      </c>
      <c r="Z58" t="s">
        <v>627</v>
      </c>
      <c r="AB58" t="s">
        <v>628</v>
      </c>
      <c r="AD58" t="s">
        <v>61</v>
      </c>
      <c r="AE58" t="s">
        <v>629</v>
      </c>
      <c r="AF58">
        <v>2305</v>
      </c>
      <c r="AG58" t="s">
        <v>630</v>
      </c>
      <c r="AI58" t="s">
        <v>59</v>
      </c>
      <c r="AL58" t="s">
        <v>631</v>
      </c>
      <c r="AN58" s="3">
        <v>46065.515277777777</v>
      </c>
      <c r="AO58" t="s">
        <v>625</v>
      </c>
    </row>
    <row r="59" spans="1:41" x14ac:dyDescent="0.3">
      <c r="A59" t="s">
        <v>41</v>
      </c>
      <c r="B59" t="s">
        <v>632</v>
      </c>
      <c r="D59" t="s">
        <v>246</v>
      </c>
      <c r="E59" s="1">
        <v>46065</v>
      </c>
      <c r="F59" t="s">
        <v>621</v>
      </c>
      <c r="G59" t="s">
        <v>45</v>
      </c>
      <c r="H59" s="2">
        <v>0.27083333333333331</v>
      </c>
      <c r="I59" s="2">
        <v>0.625</v>
      </c>
      <c r="J59" t="s">
        <v>296</v>
      </c>
      <c r="K59" t="s">
        <v>427</v>
      </c>
      <c r="L59" t="s">
        <v>633</v>
      </c>
      <c r="M59" t="s">
        <v>634</v>
      </c>
      <c r="N59" t="s">
        <v>635</v>
      </c>
      <c r="O59">
        <v>402532</v>
      </c>
      <c r="Q59" t="s">
        <v>636</v>
      </c>
      <c r="R59" t="s">
        <v>145</v>
      </c>
      <c r="S59" t="s">
        <v>119</v>
      </c>
      <c r="U59">
        <v>890710</v>
      </c>
      <c r="V59" s="3">
        <v>46025.954861111109</v>
      </c>
      <c r="W59" t="s">
        <v>637</v>
      </c>
      <c r="X59" t="s">
        <v>638</v>
      </c>
      <c r="Y59" t="str">
        <f>"0433474014"</f>
        <v>0433474014</v>
      </c>
      <c r="Z59" t="s">
        <v>639</v>
      </c>
      <c r="AB59" t="s">
        <v>640</v>
      </c>
      <c r="AD59" t="s">
        <v>41</v>
      </c>
      <c r="AE59" t="s">
        <v>641</v>
      </c>
      <c r="AF59">
        <v>4305</v>
      </c>
      <c r="AG59" t="s">
        <v>642</v>
      </c>
      <c r="AI59" t="s">
        <v>59</v>
      </c>
      <c r="AL59" t="s">
        <v>643</v>
      </c>
      <c r="AM59" t="s">
        <v>644</v>
      </c>
      <c r="AN59" s="3">
        <v>46069.371527777781</v>
      </c>
      <c r="AO59" t="s">
        <v>51</v>
      </c>
    </row>
    <row r="60" spans="1:41" x14ac:dyDescent="0.3">
      <c r="A60" t="s">
        <v>61</v>
      </c>
      <c r="B60" t="s">
        <v>62</v>
      </c>
      <c r="C60" t="s">
        <v>43</v>
      </c>
      <c r="D60" t="s">
        <v>63</v>
      </c>
      <c r="E60" s="1">
        <v>46065</v>
      </c>
      <c r="F60" t="s">
        <v>621</v>
      </c>
      <c r="G60" t="s">
        <v>45</v>
      </c>
      <c r="H60" s="2">
        <v>0.27083333333333331</v>
      </c>
      <c r="I60" s="2">
        <v>0.99861111111111112</v>
      </c>
      <c r="J60" t="s">
        <v>101</v>
      </c>
      <c r="L60" t="s">
        <v>159</v>
      </c>
      <c r="M60" t="s">
        <v>645</v>
      </c>
      <c r="N60" t="s">
        <v>646</v>
      </c>
      <c r="O60">
        <v>5950942</v>
      </c>
      <c r="Q60" t="s">
        <v>66</v>
      </c>
      <c r="R60" t="s">
        <v>67</v>
      </c>
      <c r="S60" t="s">
        <v>52</v>
      </c>
      <c r="U60">
        <v>890259</v>
      </c>
      <c r="V60" s="3">
        <v>46056.431944444441</v>
      </c>
      <c r="W60" t="s">
        <v>647</v>
      </c>
      <c r="X60" t="s">
        <v>648</v>
      </c>
      <c r="Y60" t="str">
        <f>"0411463760"</f>
        <v>0411463760</v>
      </c>
      <c r="Z60" t="s">
        <v>649</v>
      </c>
      <c r="AB60" t="s">
        <v>71</v>
      </c>
      <c r="AD60" t="s">
        <v>61</v>
      </c>
      <c r="AE60" t="s">
        <v>72</v>
      </c>
      <c r="AF60">
        <v>2747</v>
      </c>
      <c r="AG60" t="s">
        <v>73</v>
      </c>
      <c r="AI60" t="s">
        <v>59</v>
      </c>
      <c r="AL60" t="s">
        <v>650</v>
      </c>
      <c r="AN60" s="3">
        <v>46065.771527777775</v>
      </c>
      <c r="AO60" t="s">
        <v>647</v>
      </c>
    </row>
    <row r="61" spans="1:41" x14ac:dyDescent="0.3">
      <c r="A61" t="s">
        <v>168</v>
      </c>
      <c r="B61" t="s">
        <v>215</v>
      </c>
      <c r="C61" t="s">
        <v>43</v>
      </c>
      <c r="D61" t="s">
        <v>127</v>
      </c>
      <c r="E61" s="1">
        <v>46065</v>
      </c>
      <c r="F61" t="s">
        <v>621</v>
      </c>
      <c r="G61" t="s">
        <v>45</v>
      </c>
      <c r="H61" s="2">
        <v>0.27083333333333331</v>
      </c>
      <c r="I61" s="2">
        <v>0.52083333333333337</v>
      </c>
      <c r="J61" t="s">
        <v>258</v>
      </c>
      <c r="K61" t="s">
        <v>259</v>
      </c>
      <c r="L61" t="s">
        <v>186</v>
      </c>
      <c r="M61" t="s">
        <v>651</v>
      </c>
      <c r="N61" t="s">
        <v>412</v>
      </c>
      <c r="O61">
        <v>21855</v>
      </c>
      <c r="Q61" t="s">
        <v>219</v>
      </c>
      <c r="R61" t="s">
        <v>176</v>
      </c>
      <c r="S61" t="s">
        <v>52</v>
      </c>
      <c r="U61">
        <v>890249</v>
      </c>
      <c r="V61" s="3">
        <v>46043.775694444441</v>
      </c>
      <c r="W61" t="s">
        <v>652</v>
      </c>
      <c r="X61" t="s">
        <v>653</v>
      </c>
      <c r="Y61" t="str">
        <f>"0407317111"</f>
        <v>0407317111</v>
      </c>
      <c r="Z61" t="s">
        <v>654</v>
      </c>
      <c r="AB61" t="s">
        <v>222</v>
      </c>
      <c r="AD61" t="s">
        <v>168</v>
      </c>
      <c r="AE61" t="s">
        <v>223</v>
      </c>
      <c r="AF61">
        <v>5069</v>
      </c>
      <c r="AG61" t="s">
        <v>219</v>
      </c>
      <c r="AI61" t="s">
        <v>59</v>
      </c>
      <c r="AL61" t="s">
        <v>224</v>
      </c>
      <c r="AN61" s="3">
        <v>46065.75</v>
      </c>
      <c r="AO61" t="s">
        <v>652</v>
      </c>
    </row>
    <row r="62" spans="1:41" x14ac:dyDescent="0.3">
      <c r="A62" t="s">
        <v>61</v>
      </c>
      <c r="B62" t="s">
        <v>655</v>
      </c>
      <c r="C62" t="s">
        <v>43</v>
      </c>
      <c r="D62" t="s">
        <v>656</v>
      </c>
      <c r="E62" s="1">
        <v>46065</v>
      </c>
      <c r="F62" t="s">
        <v>621</v>
      </c>
      <c r="G62" t="s">
        <v>45</v>
      </c>
      <c r="H62" s="2">
        <v>0.29166666666666669</v>
      </c>
      <c r="I62" s="2">
        <v>0.99861111111111112</v>
      </c>
      <c r="J62" t="s">
        <v>185</v>
      </c>
      <c r="K62" t="s">
        <v>327</v>
      </c>
      <c r="L62" t="s">
        <v>47</v>
      </c>
      <c r="M62" t="s">
        <v>657</v>
      </c>
      <c r="N62" t="s">
        <v>658</v>
      </c>
      <c r="O62">
        <v>22959</v>
      </c>
      <c r="Q62" t="s">
        <v>659</v>
      </c>
      <c r="R62" t="s">
        <v>145</v>
      </c>
      <c r="S62" t="s">
        <v>52</v>
      </c>
      <c r="U62">
        <v>890252</v>
      </c>
      <c r="V62" s="3">
        <v>46052.693749999999</v>
      </c>
      <c r="W62" t="s">
        <v>660</v>
      </c>
      <c r="X62" t="s">
        <v>661</v>
      </c>
      <c r="Y62" t="str">
        <f>"0451533427"</f>
        <v>0451533427</v>
      </c>
      <c r="Z62" t="s">
        <v>70</v>
      </c>
      <c r="AA62" s="1">
        <v>46065</v>
      </c>
      <c r="AB62" t="s">
        <v>662</v>
      </c>
      <c r="AC62" t="s">
        <v>663</v>
      </c>
      <c r="AD62" t="s">
        <v>61</v>
      </c>
      <c r="AE62" t="s">
        <v>664</v>
      </c>
      <c r="AF62">
        <v>2067</v>
      </c>
      <c r="AG62" t="s">
        <v>665</v>
      </c>
      <c r="AI62" t="s">
        <v>59</v>
      </c>
      <c r="AL62" t="s">
        <v>666</v>
      </c>
      <c r="AN62" s="3">
        <v>46065.75277777778</v>
      </c>
      <c r="AO62" t="s">
        <v>660</v>
      </c>
    </row>
    <row r="63" spans="1:41" x14ac:dyDescent="0.3">
      <c r="A63" t="s">
        <v>168</v>
      </c>
      <c r="B63" t="s">
        <v>376</v>
      </c>
      <c r="C63" t="s">
        <v>43</v>
      </c>
      <c r="D63" t="s">
        <v>127</v>
      </c>
      <c r="E63" s="1">
        <v>46065</v>
      </c>
      <c r="F63" t="s">
        <v>621</v>
      </c>
      <c r="G63" t="s">
        <v>45</v>
      </c>
      <c r="H63" s="2">
        <v>0.29166666666666669</v>
      </c>
      <c r="I63" s="2">
        <v>0.625</v>
      </c>
      <c r="J63" t="s">
        <v>185</v>
      </c>
      <c r="K63" t="s">
        <v>667</v>
      </c>
      <c r="L63" t="s">
        <v>186</v>
      </c>
      <c r="M63" t="s">
        <v>668</v>
      </c>
      <c r="N63" t="s">
        <v>669</v>
      </c>
      <c r="O63">
        <v>5952440</v>
      </c>
      <c r="Q63" t="s">
        <v>670</v>
      </c>
      <c r="R63" t="s">
        <v>231</v>
      </c>
      <c r="S63" t="s">
        <v>52</v>
      </c>
      <c r="U63">
        <v>890228</v>
      </c>
      <c r="V63" s="3">
        <v>46035.652083333334</v>
      </c>
      <c r="W63" t="s">
        <v>671</v>
      </c>
      <c r="X63" t="s">
        <v>672</v>
      </c>
      <c r="Y63" t="str">
        <f>"0431563005"</f>
        <v>0431563005</v>
      </c>
      <c r="Z63" t="s">
        <v>673</v>
      </c>
      <c r="AB63" t="s">
        <v>383</v>
      </c>
      <c r="AD63" t="s">
        <v>168</v>
      </c>
      <c r="AE63" t="s">
        <v>384</v>
      </c>
      <c r="AF63">
        <v>5000</v>
      </c>
      <c r="AG63" t="s">
        <v>674</v>
      </c>
      <c r="AI63" t="s">
        <v>59</v>
      </c>
      <c r="AL63" t="s">
        <v>385</v>
      </c>
      <c r="AN63" s="3">
        <v>46065.551388888889</v>
      </c>
      <c r="AO63" t="s">
        <v>671</v>
      </c>
    </row>
    <row r="64" spans="1:41" x14ac:dyDescent="0.3">
      <c r="A64" t="s">
        <v>168</v>
      </c>
      <c r="B64" t="s">
        <v>326</v>
      </c>
      <c r="C64" t="s">
        <v>202</v>
      </c>
      <c r="D64" t="s">
        <v>127</v>
      </c>
      <c r="E64" s="1">
        <v>46065</v>
      </c>
      <c r="F64" t="s">
        <v>621</v>
      </c>
      <c r="G64" t="s">
        <v>45</v>
      </c>
      <c r="H64" s="2">
        <v>0.29166666666666669</v>
      </c>
      <c r="I64" s="2">
        <v>0.54166666666666663</v>
      </c>
      <c r="J64" t="s">
        <v>46</v>
      </c>
      <c r="L64" t="s">
        <v>47</v>
      </c>
      <c r="M64" t="s">
        <v>420</v>
      </c>
      <c r="N64" t="s">
        <v>421</v>
      </c>
      <c r="O64">
        <v>21332</v>
      </c>
      <c r="Q64" t="s">
        <v>675</v>
      </c>
      <c r="R64" t="s">
        <v>556</v>
      </c>
      <c r="S64" t="s">
        <v>52</v>
      </c>
      <c r="U64">
        <v>890218</v>
      </c>
      <c r="V64" s="3">
        <v>46064.873611111114</v>
      </c>
      <c r="W64" t="s">
        <v>422</v>
      </c>
      <c r="X64" t="s">
        <v>423</v>
      </c>
      <c r="Y64" t="str">
        <f>"0481793381"</f>
        <v>0481793381</v>
      </c>
      <c r="Z64" t="s">
        <v>70</v>
      </c>
      <c r="AB64" t="s">
        <v>333</v>
      </c>
      <c r="AD64" t="s">
        <v>168</v>
      </c>
      <c r="AE64" t="s">
        <v>334</v>
      </c>
      <c r="AF64">
        <v>5034</v>
      </c>
      <c r="AG64" t="s">
        <v>676</v>
      </c>
      <c r="AI64" t="s">
        <v>59</v>
      </c>
      <c r="AL64" t="s">
        <v>677</v>
      </c>
      <c r="AN64" s="3">
        <v>46065.49722222222</v>
      </c>
      <c r="AO64" t="s">
        <v>422</v>
      </c>
    </row>
    <row r="65" spans="1:41" x14ac:dyDescent="0.3">
      <c r="A65" t="s">
        <v>168</v>
      </c>
      <c r="B65" t="s">
        <v>376</v>
      </c>
      <c r="C65" t="s">
        <v>43</v>
      </c>
      <c r="D65" t="s">
        <v>127</v>
      </c>
      <c r="E65" s="1">
        <v>46065</v>
      </c>
      <c r="F65" t="s">
        <v>621</v>
      </c>
      <c r="G65" t="s">
        <v>45</v>
      </c>
      <c r="H65" s="2">
        <v>0.29166666666666669</v>
      </c>
      <c r="I65" s="2">
        <v>0.45833333333333331</v>
      </c>
      <c r="J65" t="s">
        <v>185</v>
      </c>
      <c r="K65" t="s">
        <v>678</v>
      </c>
      <c r="L65" t="s">
        <v>186</v>
      </c>
      <c r="M65" t="s">
        <v>679</v>
      </c>
      <c r="N65" t="s">
        <v>680</v>
      </c>
      <c r="O65">
        <v>5952071</v>
      </c>
      <c r="Q65" t="s">
        <v>681</v>
      </c>
      <c r="R65" t="s">
        <v>231</v>
      </c>
      <c r="S65" t="s">
        <v>52</v>
      </c>
      <c r="U65">
        <v>890217</v>
      </c>
      <c r="V65" s="3">
        <v>46035.644444444442</v>
      </c>
      <c r="W65" t="s">
        <v>682</v>
      </c>
      <c r="X65" t="s">
        <v>683</v>
      </c>
      <c r="Y65" t="str">
        <f>"0403970233"</f>
        <v>0403970233</v>
      </c>
      <c r="Z65" t="s">
        <v>673</v>
      </c>
      <c r="AB65" t="s">
        <v>383</v>
      </c>
      <c r="AD65" t="s">
        <v>168</v>
      </c>
      <c r="AE65" t="s">
        <v>384</v>
      </c>
      <c r="AF65">
        <v>5000</v>
      </c>
      <c r="AG65" t="s">
        <v>674</v>
      </c>
      <c r="AI65" t="s">
        <v>59</v>
      </c>
      <c r="AL65" t="s">
        <v>684</v>
      </c>
      <c r="AM65" t="s">
        <v>685</v>
      </c>
      <c r="AN65" s="3">
        <v>46065.476388888892</v>
      </c>
      <c r="AO65" t="s">
        <v>682</v>
      </c>
    </row>
    <row r="66" spans="1:41" x14ac:dyDescent="0.3">
      <c r="A66" t="s">
        <v>168</v>
      </c>
      <c r="B66" t="s">
        <v>282</v>
      </c>
      <c r="C66" t="s">
        <v>43</v>
      </c>
      <c r="D66" t="s">
        <v>283</v>
      </c>
      <c r="E66" s="1">
        <v>46065</v>
      </c>
      <c r="F66" t="s">
        <v>621</v>
      </c>
      <c r="G66" t="s">
        <v>45</v>
      </c>
      <c r="H66" s="2">
        <v>0.29166666666666669</v>
      </c>
      <c r="I66" s="2">
        <v>0.5</v>
      </c>
      <c r="J66" t="s">
        <v>185</v>
      </c>
      <c r="K66" t="s">
        <v>686</v>
      </c>
      <c r="L66" t="s">
        <v>186</v>
      </c>
      <c r="M66" t="s">
        <v>285</v>
      </c>
      <c r="N66" t="s">
        <v>286</v>
      </c>
      <c r="O66">
        <v>5951416</v>
      </c>
      <c r="Q66" t="s">
        <v>294</v>
      </c>
      <c r="R66" t="s">
        <v>176</v>
      </c>
      <c r="S66" t="s">
        <v>52</v>
      </c>
      <c r="U66">
        <v>890223</v>
      </c>
      <c r="V66" s="3">
        <v>46063.417361111111</v>
      </c>
      <c r="W66" t="s">
        <v>288</v>
      </c>
      <c r="X66" t="s">
        <v>289</v>
      </c>
      <c r="Y66" t="str">
        <f>"0423562542"</f>
        <v>0423562542</v>
      </c>
      <c r="Z66" t="s">
        <v>687</v>
      </c>
      <c r="AA66" s="1">
        <v>46065</v>
      </c>
      <c r="AB66" t="s">
        <v>291</v>
      </c>
      <c r="AC66" t="s">
        <v>292</v>
      </c>
      <c r="AD66" t="s">
        <v>168</v>
      </c>
      <c r="AE66" t="s">
        <v>293</v>
      </c>
      <c r="AF66">
        <v>5037</v>
      </c>
      <c r="AG66" t="s">
        <v>294</v>
      </c>
      <c r="AI66" t="s">
        <v>59</v>
      </c>
      <c r="AL66" t="s">
        <v>688</v>
      </c>
      <c r="AN66" s="3">
        <v>46065.519444444442</v>
      </c>
      <c r="AO66" t="s">
        <v>288</v>
      </c>
    </row>
    <row r="67" spans="1:41" x14ac:dyDescent="0.3">
      <c r="A67" t="s">
        <v>168</v>
      </c>
      <c r="B67" t="s">
        <v>689</v>
      </c>
      <c r="C67" t="s">
        <v>43</v>
      </c>
      <c r="D67" t="s">
        <v>268</v>
      </c>
      <c r="E67" s="1">
        <v>46065</v>
      </c>
      <c r="F67" t="s">
        <v>621</v>
      </c>
      <c r="G67" t="s">
        <v>45</v>
      </c>
      <c r="H67" s="2">
        <v>0.29166666666666669</v>
      </c>
      <c r="I67" s="2">
        <v>0.64583333333333337</v>
      </c>
      <c r="J67" t="s">
        <v>101</v>
      </c>
      <c r="L67" t="s">
        <v>159</v>
      </c>
      <c r="M67" t="s">
        <v>690</v>
      </c>
      <c r="N67" t="s">
        <v>691</v>
      </c>
      <c r="O67">
        <v>5950774</v>
      </c>
      <c r="P67" t="s">
        <v>249</v>
      </c>
      <c r="Q67" t="s">
        <v>692</v>
      </c>
      <c r="R67" t="s">
        <v>693</v>
      </c>
      <c r="S67" t="s">
        <v>52</v>
      </c>
      <c r="T67" t="s">
        <v>252</v>
      </c>
      <c r="U67">
        <v>890605</v>
      </c>
      <c r="V67" s="3">
        <v>46069.416666666664</v>
      </c>
      <c r="W67" t="s">
        <v>693</v>
      </c>
      <c r="X67" t="s">
        <v>694</v>
      </c>
      <c r="Y67" t="str">
        <f>"0404019300"</f>
        <v>0404019300</v>
      </c>
      <c r="Z67" t="s">
        <v>366</v>
      </c>
      <c r="AA67" s="1">
        <v>46117</v>
      </c>
      <c r="AB67" t="s">
        <v>695</v>
      </c>
      <c r="AD67" t="s">
        <v>168</v>
      </c>
      <c r="AE67" t="s">
        <v>696</v>
      </c>
      <c r="AF67">
        <v>5606</v>
      </c>
      <c r="AG67" t="s">
        <v>697</v>
      </c>
      <c r="AI67" t="s">
        <v>59</v>
      </c>
      <c r="AJ67" t="str">
        <f>"0020188040"</f>
        <v>0020188040</v>
      </c>
      <c r="AM67" t="s">
        <v>698</v>
      </c>
      <c r="AN67" s="3">
        <v>46069.416666666664</v>
      </c>
      <c r="AO67" t="s">
        <v>693</v>
      </c>
    </row>
    <row r="68" spans="1:41" x14ac:dyDescent="0.3">
      <c r="A68" t="s">
        <v>41</v>
      </c>
      <c r="B68" t="s">
        <v>589</v>
      </c>
      <c r="C68" t="s">
        <v>590</v>
      </c>
      <c r="D68" t="s">
        <v>246</v>
      </c>
      <c r="E68" s="1">
        <v>46065</v>
      </c>
      <c r="F68" t="s">
        <v>621</v>
      </c>
      <c r="G68" t="s">
        <v>45</v>
      </c>
      <c r="H68" s="2">
        <v>0.29166666666666669</v>
      </c>
      <c r="I68" s="2">
        <v>0.64583333333333337</v>
      </c>
      <c r="J68" t="s">
        <v>591</v>
      </c>
      <c r="L68" t="s">
        <v>592</v>
      </c>
      <c r="M68" t="s">
        <v>593</v>
      </c>
      <c r="N68" t="s">
        <v>594</v>
      </c>
      <c r="O68">
        <v>5952427</v>
      </c>
      <c r="P68" t="s">
        <v>249</v>
      </c>
      <c r="Q68" t="s">
        <v>596</v>
      </c>
      <c r="R68" t="s">
        <v>392</v>
      </c>
      <c r="S68" t="s">
        <v>52</v>
      </c>
      <c r="T68" t="s">
        <v>252</v>
      </c>
      <c r="U68">
        <v>890773</v>
      </c>
      <c r="V68" s="3">
        <v>46070.618055555555</v>
      </c>
      <c r="W68" t="s">
        <v>597</v>
      </c>
      <c r="X68" t="s">
        <v>598</v>
      </c>
      <c r="Y68" t="str">
        <f>"0432677728"</f>
        <v>0432677728</v>
      </c>
      <c r="Z68" t="s">
        <v>254</v>
      </c>
      <c r="AA68" s="1">
        <v>46082</v>
      </c>
      <c r="AB68" t="s">
        <v>599</v>
      </c>
      <c r="AC68" t="s">
        <v>600</v>
      </c>
      <c r="AD68" t="s">
        <v>41</v>
      </c>
      <c r="AE68" t="s">
        <v>600</v>
      </c>
      <c r="AF68">
        <v>4610</v>
      </c>
      <c r="AG68" t="s">
        <v>601</v>
      </c>
      <c r="AI68" t="s">
        <v>59</v>
      </c>
      <c r="AJ68" t="str">
        <f>"0050075752"</f>
        <v>0050075752</v>
      </c>
      <c r="AN68" s="3">
        <v>46070.618055555555</v>
      </c>
      <c r="AO68" t="s">
        <v>392</v>
      </c>
    </row>
    <row r="69" spans="1:41" x14ac:dyDescent="0.3">
      <c r="A69" t="s">
        <v>306</v>
      </c>
      <c r="B69" t="s">
        <v>699</v>
      </c>
      <c r="C69" t="s">
        <v>43</v>
      </c>
      <c r="D69" t="s">
        <v>700</v>
      </c>
      <c r="E69" s="1">
        <v>46065</v>
      </c>
      <c r="F69" t="s">
        <v>621</v>
      </c>
      <c r="G69" t="s">
        <v>45</v>
      </c>
      <c r="H69" s="2">
        <v>0.29166666666666669</v>
      </c>
      <c r="I69" s="2">
        <v>0.54166666666666663</v>
      </c>
      <c r="J69" t="s">
        <v>701</v>
      </c>
      <c r="L69" t="s">
        <v>702</v>
      </c>
      <c r="M69" t="s">
        <v>703</v>
      </c>
      <c r="N69" t="s">
        <v>704</v>
      </c>
      <c r="O69">
        <v>20947</v>
      </c>
      <c r="Q69" t="s">
        <v>705</v>
      </c>
      <c r="R69" t="s">
        <v>500</v>
      </c>
      <c r="S69" t="s">
        <v>52</v>
      </c>
      <c r="U69">
        <v>890245</v>
      </c>
      <c r="V69" s="3">
        <v>46060.620138888888</v>
      </c>
      <c r="W69" t="s">
        <v>706</v>
      </c>
      <c r="X69" t="s">
        <v>707</v>
      </c>
      <c r="Y69" t="str">
        <f>"0437759431"</f>
        <v>0437759431</v>
      </c>
      <c r="Z69" t="s">
        <v>70</v>
      </c>
      <c r="AA69" s="1">
        <v>46065</v>
      </c>
      <c r="AB69" t="s">
        <v>708</v>
      </c>
      <c r="AD69" t="s">
        <v>306</v>
      </c>
      <c r="AE69" t="s">
        <v>709</v>
      </c>
      <c r="AF69">
        <v>3806</v>
      </c>
      <c r="AI69" t="s">
        <v>59</v>
      </c>
      <c r="AL69" t="s">
        <v>710</v>
      </c>
      <c r="AM69" t="s">
        <v>711</v>
      </c>
      <c r="AN69" s="3">
        <v>46065.724999999999</v>
      </c>
      <c r="AO69" t="s">
        <v>706</v>
      </c>
    </row>
    <row r="70" spans="1:41" x14ac:dyDescent="0.3">
      <c r="A70" t="s">
        <v>168</v>
      </c>
      <c r="B70" t="s">
        <v>336</v>
      </c>
      <c r="C70" t="s">
        <v>602</v>
      </c>
      <c r="D70" t="s">
        <v>268</v>
      </c>
      <c r="E70" s="1">
        <v>46065</v>
      </c>
      <c r="F70" t="s">
        <v>621</v>
      </c>
      <c r="G70" t="s">
        <v>45</v>
      </c>
      <c r="H70" s="2">
        <v>0.29166666666666669</v>
      </c>
      <c r="I70" s="2">
        <v>0.64583333333333337</v>
      </c>
      <c r="J70" t="s">
        <v>269</v>
      </c>
      <c r="K70" t="s">
        <v>712</v>
      </c>
      <c r="L70" t="s">
        <v>713</v>
      </c>
      <c r="M70" t="s">
        <v>476</v>
      </c>
      <c r="N70" t="s">
        <v>714</v>
      </c>
      <c r="O70">
        <v>5951199</v>
      </c>
      <c r="P70" t="s">
        <v>712</v>
      </c>
      <c r="Q70" t="s">
        <v>342</v>
      </c>
      <c r="R70" t="s">
        <v>231</v>
      </c>
      <c r="S70" t="s">
        <v>52</v>
      </c>
      <c r="U70">
        <v>890235</v>
      </c>
      <c r="V70" s="3">
        <v>46057.478472222225</v>
      </c>
      <c r="W70" t="s">
        <v>715</v>
      </c>
      <c r="X70" t="s">
        <v>716</v>
      </c>
      <c r="Y70" t="str">
        <f>"0426611875"</f>
        <v>0426611875</v>
      </c>
      <c r="Z70" t="s">
        <v>70</v>
      </c>
      <c r="AA70" s="1">
        <v>46065</v>
      </c>
      <c r="AB70" t="s">
        <v>346</v>
      </c>
      <c r="AD70" t="s">
        <v>168</v>
      </c>
      <c r="AE70" t="s">
        <v>347</v>
      </c>
      <c r="AF70">
        <v>5042</v>
      </c>
      <c r="AG70" t="s">
        <v>342</v>
      </c>
      <c r="AI70" t="s">
        <v>59</v>
      </c>
      <c r="AL70" t="s">
        <v>717</v>
      </c>
      <c r="AN70" s="3">
        <v>46065.655555555553</v>
      </c>
      <c r="AO70" t="s">
        <v>715</v>
      </c>
    </row>
    <row r="71" spans="1:41" x14ac:dyDescent="0.3">
      <c r="A71" t="s">
        <v>41</v>
      </c>
      <c r="B71" t="s">
        <v>718</v>
      </c>
      <c r="C71" t="s">
        <v>43</v>
      </c>
      <c r="D71" t="s">
        <v>719</v>
      </c>
      <c r="E71" s="1">
        <v>46065</v>
      </c>
      <c r="F71" t="s">
        <v>621</v>
      </c>
      <c r="G71" t="s">
        <v>45</v>
      </c>
      <c r="H71" s="2">
        <v>0.29166666666666669</v>
      </c>
      <c r="I71" s="2">
        <v>0.72916666666666663</v>
      </c>
      <c r="J71" t="s">
        <v>101</v>
      </c>
      <c r="L71" t="s">
        <v>159</v>
      </c>
      <c r="M71" t="s">
        <v>720</v>
      </c>
      <c r="N71" t="s">
        <v>721</v>
      </c>
      <c r="O71">
        <v>5952347</v>
      </c>
      <c r="Q71" t="s">
        <v>722</v>
      </c>
      <c r="R71" t="s">
        <v>723</v>
      </c>
      <c r="S71" t="s">
        <v>52</v>
      </c>
      <c r="U71">
        <v>890246</v>
      </c>
      <c r="V71" s="3">
        <v>46057.414583333331</v>
      </c>
      <c r="W71" t="s">
        <v>724</v>
      </c>
      <c r="X71" t="s">
        <v>725</v>
      </c>
      <c r="Y71" t="str">
        <f>"0424329976"</f>
        <v>0424329976</v>
      </c>
      <c r="Z71" t="s">
        <v>545</v>
      </c>
      <c r="AA71" s="1">
        <v>46065</v>
      </c>
      <c r="AB71" t="s">
        <v>726</v>
      </c>
      <c r="AD71" t="s">
        <v>41</v>
      </c>
      <c r="AE71" t="s">
        <v>727</v>
      </c>
      <c r="AF71">
        <v>4032</v>
      </c>
      <c r="AG71" t="s">
        <v>722</v>
      </c>
      <c r="AI71" t="s">
        <v>59</v>
      </c>
      <c r="AL71" t="s">
        <v>87</v>
      </c>
      <c r="AN71" s="3">
        <v>46065.736805555556</v>
      </c>
      <c r="AO71" t="s">
        <v>724</v>
      </c>
    </row>
    <row r="72" spans="1:41" x14ac:dyDescent="0.3">
      <c r="A72" t="s">
        <v>61</v>
      </c>
      <c r="B72" t="s">
        <v>507</v>
      </c>
      <c r="D72" t="s">
        <v>63</v>
      </c>
      <c r="E72" s="1">
        <v>46065</v>
      </c>
      <c r="F72" t="s">
        <v>621</v>
      </c>
      <c r="G72" t="s">
        <v>45</v>
      </c>
      <c r="H72" s="2">
        <v>0.29166666666666669</v>
      </c>
      <c r="I72" s="2">
        <v>0.8125</v>
      </c>
      <c r="J72" t="s">
        <v>296</v>
      </c>
      <c r="L72" t="s">
        <v>728</v>
      </c>
      <c r="M72" t="s">
        <v>729</v>
      </c>
      <c r="N72" t="s">
        <v>730</v>
      </c>
      <c r="O72">
        <v>5952035</v>
      </c>
      <c r="Q72" t="s">
        <v>731</v>
      </c>
      <c r="R72" t="s">
        <v>67</v>
      </c>
      <c r="S72" t="s">
        <v>52</v>
      </c>
      <c r="U72">
        <v>890269</v>
      </c>
      <c r="V72" s="3">
        <v>46056.451388888891</v>
      </c>
      <c r="W72" t="s">
        <v>732</v>
      </c>
      <c r="X72" t="s">
        <v>733</v>
      </c>
      <c r="Y72" t="str">
        <f>"0498946862"</f>
        <v>0498946862</v>
      </c>
      <c r="Z72" t="s">
        <v>734</v>
      </c>
      <c r="AB72" t="s">
        <v>514</v>
      </c>
      <c r="AD72" t="s">
        <v>61</v>
      </c>
      <c r="AE72" t="s">
        <v>515</v>
      </c>
      <c r="AF72">
        <v>2086</v>
      </c>
      <c r="AG72" t="s">
        <v>516</v>
      </c>
      <c r="AI72" t="s">
        <v>59</v>
      </c>
      <c r="AL72" t="s">
        <v>631</v>
      </c>
      <c r="AN72" s="3">
        <v>46065.830555555556</v>
      </c>
      <c r="AO72" t="s">
        <v>732</v>
      </c>
    </row>
    <row r="73" spans="1:41" x14ac:dyDescent="0.3">
      <c r="A73" t="s">
        <v>41</v>
      </c>
      <c r="B73" t="s">
        <v>568</v>
      </c>
      <c r="C73" t="s">
        <v>602</v>
      </c>
      <c r="D73" t="s">
        <v>246</v>
      </c>
      <c r="E73" s="1">
        <v>46065</v>
      </c>
      <c r="F73" t="s">
        <v>621</v>
      </c>
      <c r="G73" t="s">
        <v>45</v>
      </c>
      <c r="H73" s="2">
        <v>0.29166666666666669</v>
      </c>
      <c r="I73" s="2">
        <v>0.64583333333333337</v>
      </c>
      <c r="J73" t="s">
        <v>269</v>
      </c>
      <c r="L73" t="s">
        <v>47</v>
      </c>
      <c r="M73" t="s">
        <v>603</v>
      </c>
      <c r="N73" t="s">
        <v>604</v>
      </c>
      <c r="O73">
        <v>80</v>
      </c>
      <c r="P73" t="s">
        <v>571</v>
      </c>
      <c r="Q73" t="s">
        <v>572</v>
      </c>
      <c r="R73" t="s">
        <v>573</v>
      </c>
      <c r="S73" t="s">
        <v>52</v>
      </c>
      <c r="T73" t="s">
        <v>252</v>
      </c>
      <c r="U73">
        <v>890752</v>
      </c>
      <c r="V73" s="3">
        <v>46070.46597222222</v>
      </c>
      <c r="W73" t="s">
        <v>605</v>
      </c>
      <c r="X73" t="s">
        <v>606</v>
      </c>
      <c r="Y73" t="str">
        <f>"0414330986"</f>
        <v>0414330986</v>
      </c>
      <c r="Z73" t="s">
        <v>290</v>
      </c>
      <c r="AA73" s="1">
        <v>46068</v>
      </c>
      <c r="AB73" t="s">
        <v>576</v>
      </c>
      <c r="AD73" t="s">
        <v>41</v>
      </c>
      <c r="AE73" t="s">
        <v>577</v>
      </c>
      <c r="AF73">
        <v>4700</v>
      </c>
      <c r="AG73" t="s">
        <v>572</v>
      </c>
      <c r="AI73" t="s">
        <v>59</v>
      </c>
      <c r="AJ73" t="str">
        <f>"0050075176"</f>
        <v>0050075176</v>
      </c>
      <c r="AN73" s="3">
        <v>46070.46597222222</v>
      </c>
      <c r="AO73" t="s">
        <v>573</v>
      </c>
    </row>
    <row r="74" spans="1:41" x14ac:dyDescent="0.3">
      <c r="A74" t="s">
        <v>61</v>
      </c>
      <c r="B74" t="s">
        <v>350</v>
      </c>
      <c r="C74" t="s">
        <v>296</v>
      </c>
      <c r="D74" t="s">
        <v>63</v>
      </c>
      <c r="E74" s="1">
        <v>46065</v>
      </c>
      <c r="F74" t="s">
        <v>621</v>
      </c>
      <c r="G74" t="s">
        <v>45</v>
      </c>
      <c r="H74" s="2">
        <v>0.29166666666666669</v>
      </c>
      <c r="I74" s="2">
        <v>0.60416666666666663</v>
      </c>
      <c r="J74" t="s">
        <v>296</v>
      </c>
      <c r="L74" t="s">
        <v>735</v>
      </c>
      <c r="M74" t="s">
        <v>736</v>
      </c>
      <c r="N74" t="s">
        <v>737</v>
      </c>
      <c r="O74">
        <v>5952096</v>
      </c>
      <c r="Q74" t="s">
        <v>738</v>
      </c>
      <c r="R74" t="s">
        <v>208</v>
      </c>
      <c r="S74" t="s">
        <v>52</v>
      </c>
      <c r="U74">
        <v>890231</v>
      </c>
      <c r="V74" s="3">
        <v>46064.851388888892</v>
      </c>
      <c r="W74" t="s">
        <v>739</v>
      </c>
      <c r="X74" t="s">
        <v>740</v>
      </c>
      <c r="Y74" t="str">
        <f>"0432227593"</f>
        <v>0432227593</v>
      </c>
      <c r="Z74" t="s">
        <v>70</v>
      </c>
      <c r="AB74" t="s">
        <v>356</v>
      </c>
      <c r="AD74" t="s">
        <v>61</v>
      </c>
      <c r="AE74" t="s">
        <v>357</v>
      </c>
      <c r="AF74">
        <v>2153</v>
      </c>
      <c r="AG74" t="s">
        <v>741</v>
      </c>
      <c r="AI74" t="s">
        <v>59</v>
      </c>
      <c r="AL74" t="s">
        <v>742</v>
      </c>
      <c r="AN74" s="3">
        <v>46065.561805555553</v>
      </c>
      <c r="AO74" t="s">
        <v>739</v>
      </c>
    </row>
    <row r="75" spans="1:41" x14ac:dyDescent="0.3">
      <c r="A75" t="s">
        <v>168</v>
      </c>
      <c r="B75" t="s">
        <v>282</v>
      </c>
      <c r="C75" t="s">
        <v>216</v>
      </c>
      <c r="D75" t="s">
        <v>283</v>
      </c>
      <c r="E75" s="1">
        <v>46065</v>
      </c>
      <c r="F75" t="s">
        <v>621</v>
      </c>
      <c r="G75" t="s">
        <v>45</v>
      </c>
      <c r="H75" s="2">
        <v>0.29166666666666669</v>
      </c>
      <c r="I75" s="2">
        <v>0.5</v>
      </c>
      <c r="J75" t="s">
        <v>101</v>
      </c>
      <c r="L75" t="s">
        <v>743</v>
      </c>
      <c r="M75" t="s">
        <v>744</v>
      </c>
      <c r="N75" t="s">
        <v>745</v>
      </c>
      <c r="O75">
        <v>5951894</v>
      </c>
      <c r="Q75" t="s">
        <v>294</v>
      </c>
      <c r="R75" t="s">
        <v>176</v>
      </c>
      <c r="S75" t="s">
        <v>52</v>
      </c>
      <c r="U75">
        <v>890224</v>
      </c>
      <c r="V75" s="3">
        <v>46063.417361111111</v>
      </c>
      <c r="W75" t="s">
        <v>746</v>
      </c>
      <c r="X75" t="s">
        <v>747</v>
      </c>
      <c r="Y75" t="str">
        <f>"0420536678"</f>
        <v>0420536678</v>
      </c>
      <c r="Z75" t="s">
        <v>748</v>
      </c>
      <c r="AB75" t="s">
        <v>291</v>
      </c>
      <c r="AC75" t="s">
        <v>292</v>
      </c>
      <c r="AD75" t="s">
        <v>168</v>
      </c>
      <c r="AE75" t="s">
        <v>293</v>
      </c>
      <c r="AF75">
        <v>5037</v>
      </c>
      <c r="AG75" t="s">
        <v>294</v>
      </c>
      <c r="AI75" t="s">
        <v>59</v>
      </c>
      <c r="AL75" t="s">
        <v>749</v>
      </c>
      <c r="AN75" s="3">
        <v>46065.519444444442</v>
      </c>
      <c r="AO75" t="s">
        <v>746</v>
      </c>
    </row>
    <row r="76" spans="1:41" x14ac:dyDescent="0.3">
      <c r="A76" t="s">
        <v>168</v>
      </c>
      <c r="B76" t="s">
        <v>441</v>
      </c>
      <c r="C76" t="s">
        <v>296</v>
      </c>
      <c r="E76" s="1">
        <v>46065</v>
      </c>
      <c r="F76" t="s">
        <v>621</v>
      </c>
      <c r="G76" t="s">
        <v>45</v>
      </c>
      <c r="H76" s="2">
        <v>0.29166666666666669</v>
      </c>
      <c r="I76" s="2">
        <v>0.45833333333333331</v>
      </c>
      <c r="J76" t="s">
        <v>296</v>
      </c>
      <c r="K76" t="s">
        <v>750</v>
      </c>
      <c r="L76" t="s">
        <v>298</v>
      </c>
      <c r="M76" t="s">
        <v>442</v>
      </c>
      <c r="N76" t="s">
        <v>443</v>
      </c>
      <c r="O76">
        <v>22456</v>
      </c>
      <c r="Q76" t="s">
        <v>751</v>
      </c>
      <c r="R76" t="s">
        <v>176</v>
      </c>
      <c r="S76" t="s">
        <v>52</v>
      </c>
      <c r="U76">
        <v>890219</v>
      </c>
      <c r="V76" s="3">
        <v>46064.690972222219</v>
      </c>
      <c r="W76" t="s">
        <v>446</v>
      </c>
      <c r="X76" t="s">
        <v>447</v>
      </c>
      <c r="Y76" t="str">
        <f>"0452566250"</f>
        <v>0452566250</v>
      </c>
      <c r="Z76" t="s">
        <v>70</v>
      </c>
      <c r="AA76" s="1">
        <v>46065</v>
      </c>
      <c r="AB76" t="s">
        <v>448</v>
      </c>
      <c r="AD76" t="s">
        <v>168</v>
      </c>
      <c r="AE76" t="s">
        <v>180</v>
      </c>
      <c r="AF76">
        <v>5063</v>
      </c>
      <c r="AG76" t="s">
        <v>751</v>
      </c>
      <c r="AI76" t="s">
        <v>59</v>
      </c>
      <c r="AL76" t="s">
        <v>752</v>
      </c>
      <c r="AN76" s="3">
        <v>46065.501388888886</v>
      </c>
      <c r="AO76" t="s">
        <v>446</v>
      </c>
    </row>
    <row r="77" spans="1:41" x14ac:dyDescent="0.3">
      <c r="A77" t="s">
        <v>61</v>
      </c>
      <c r="B77" t="s">
        <v>753</v>
      </c>
      <c r="C77" t="s">
        <v>484</v>
      </c>
      <c r="D77" t="s">
        <v>754</v>
      </c>
      <c r="E77" s="1">
        <v>46065</v>
      </c>
      <c r="F77" t="s">
        <v>621</v>
      </c>
      <c r="G77" t="s">
        <v>45</v>
      </c>
      <c r="H77" s="2">
        <v>0.29166666666666669</v>
      </c>
      <c r="I77" s="2">
        <v>0.8125</v>
      </c>
      <c r="J77" t="s">
        <v>389</v>
      </c>
      <c r="L77" t="s">
        <v>755</v>
      </c>
      <c r="M77" t="s">
        <v>756</v>
      </c>
      <c r="N77" t="s">
        <v>757</v>
      </c>
      <c r="O77">
        <v>5951482</v>
      </c>
      <c r="Q77" t="s">
        <v>758</v>
      </c>
      <c r="R77" t="s">
        <v>759</v>
      </c>
      <c r="S77" t="s">
        <v>119</v>
      </c>
      <c r="T77" t="s">
        <v>760</v>
      </c>
      <c r="U77" t="s">
        <v>761</v>
      </c>
      <c r="V77" s="3">
        <v>46077.591666666667</v>
      </c>
      <c r="W77" t="s">
        <v>762</v>
      </c>
      <c r="X77" t="s">
        <v>763</v>
      </c>
      <c r="Y77" t="str">
        <f>"0418119924"</f>
        <v>0418119924</v>
      </c>
      <c r="Z77" t="s">
        <v>70</v>
      </c>
      <c r="AB77" t="s">
        <v>764</v>
      </c>
      <c r="AD77" t="s">
        <v>61</v>
      </c>
      <c r="AE77" t="s">
        <v>765</v>
      </c>
      <c r="AF77">
        <v>2220</v>
      </c>
      <c r="AG77" t="s">
        <v>758</v>
      </c>
      <c r="AI77" t="s">
        <v>59</v>
      </c>
      <c r="AM77" t="s">
        <v>766</v>
      </c>
      <c r="AN77" s="3">
        <v>46077.591666666667</v>
      </c>
      <c r="AO77" t="s">
        <v>759</v>
      </c>
    </row>
    <row r="78" spans="1:41" x14ac:dyDescent="0.3">
      <c r="A78" t="s">
        <v>61</v>
      </c>
      <c r="B78" t="s">
        <v>753</v>
      </c>
      <c r="C78" t="s">
        <v>484</v>
      </c>
      <c r="D78" t="s">
        <v>754</v>
      </c>
      <c r="E78" s="1">
        <v>46065</v>
      </c>
      <c r="F78" t="s">
        <v>621</v>
      </c>
      <c r="G78" t="s">
        <v>128</v>
      </c>
      <c r="H78" s="2">
        <v>0.29166666666666669</v>
      </c>
      <c r="I78" s="2">
        <v>0.8125</v>
      </c>
      <c r="J78" t="s">
        <v>389</v>
      </c>
      <c r="L78" t="s">
        <v>755</v>
      </c>
      <c r="M78" t="s">
        <v>756</v>
      </c>
      <c r="N78" t="s">
        <v>757</v>
      </c>
      <c r="O78">
        <v>5951482</v>
      </c>
      <c r="Q78" t="s">
        <v>758</v>
      </c>
      <c r="R78" t="s">
        <v>759</v>
      </c>
      <c r="S78" t="s">
        <v>119</v>
      </c>
      <c r="T78" t="s">
        <v>760</v>
      </c>
      <c r="U78" t="s">
        <v>767</v>
      </c>
      <c r="V78" s="3">
        <v>46077.59375</v>
      </c>
      <c r="W78" t="s">
        <v>762</v>
      </c>
      <c r="X78" t="s">
        <v>763</v>
      </c>
      <c r="Y78" t="str">
        <f>"0418119924"</f>
        <v>0418119924</v>
      </c>
      <c r="Z78" t="s">
        <v>70</v>
      </c>
      <c r="AB78" t="s">
        <v>764</v>
      </c>
      <c r="AD78" t="s">
        <v>61</v>
      </c>
      <c r="AE78" t="s">
        <v>765</v>
      </c>
      <c r="AF78">
        <v>2220</v>
      </c>
      <c r="AG78" t="s">
        <v>758</v>
      </c>
      <c r="AI78" t="s">
        <v>59</v>
      </c>
      <c r="AM78" t="s">
        <v>766</v>
      </c>
      <c r="AN78" s="3">
        <v>46077.59375</v>
      </c>
      <c r="AO78" t="s">
        <v>759</v>
      </c>
    </row>
    <row r="79" spans="1:41" x14ac:dyDescent="0.3">
      <c r="A79" t="s">
        <v>61</v>
      </c>
      <c r="B79" t="s">
        <v>753</v>
      </c>
      <c r="C79" t="s">
        <v>484</v>
      </c>
      <c r="D79" t="s">
        <v>754</v>
      </c>
      <c r="E79" s="1">
        <v>46065</v>
      </c>
      <c r="F79" t="s">
        <v>621</v>
      </c>
      <c r="G79" t="s">
        <v>45</v>
      </c>
      <c r="H79" s="2">
        <v>0.29166666666666669</v>
      </c>
      <c r="I79" s="2">
        <v>0.8125</v>
      </c>
      <c r="J79" t="s">
        <v>389</v>
      </c>
      <c r="L79" t="s">
        <v>755</v>
      </c>
      <c r="M79" t="s">
        <v>756</v>
      </c>
      <c r="N79" t="s">
        <v>757</v>
      </c>
      <c r="O79">
        <v>5951482</v>
      </c>
      <c r="Q79" t="s">
        <v>758</v>
      </c>
      <c r="R79" t="s">
        <v>67</v>
      </c>
      <c r="S79" t="s">
        <v>52</v>
      </c>
      <c r="U79">
        <v>890267</v>
      </c>
      <c r="V79" s="3">
        <v>46058.362500000003</v>
      </c>
      <c r="W79" t="s">
        <v>762</v>
      </c>
      <c r="X79" t="s">
        <v>763</v>
      </c>
      <c r="Y79" t="str">
        <f>"0418119924"</f>
        <v>0418119924</v>
      </c>
      <c r="Z79" t="s">
        <v>70</v>
      </c>
      <c r="AA79" s="1">
        <v>46065</v>
      </c>
      <c r="AB79" t="s">
        <v>764</v>
      </c>
      <c r="AD79" t="s">
        <v>61</v>
      </c>
      <c r="AE79" t="s">
        <v>765</v>
      </c>
      <c r="AF79">
        <v>2220</v>
      </c>
      <c r="AG79" t="s">
        <v>758</v>
      </c>
      <c r="AI79" t="s">
        <v>59</v>
      </c>
      <c r="AL79" t="s">
        <v>631</v>
      </c>
      <c r="AN79" s="3">
        <v>46065.817361111112</v>
      </c>
      <c r="AO79" t="s">
        <v>762</v>
      </c>
    </row>
    <row r="80" spans="1:41" x14ac:dyDescent="0.3">
      <c r="A80" t="s">
        <v>61</v>
      </c>
      <c r="B80" t="s">
        <v>768</v>
      </c>
      <c r="C80" t="s">
        <v>296</v>
      </c>
      <c r="D80" t="s">
        <v>769</v>
      </c>
      <c r="E80" s="1">
        <v>46065</v>
      </c>
      <c r="F80" t="s">
        <v>621</v>
      </c>
      <c r="G80" t="s">
        <v>45</v>
      </c>
      <c r="H80" s="2">
        <v>0.3125</v>
      </c>
      <c r="I80" s="2">
        <v>0.625</v>
      </c>
      <c r="J80" t="s">
        <v>296</v>
      </c>
      <c r="L80" t="s">
        <v>298</v>
      </c>
      <c r="M80" t="s">
        <v>770</v>
      </c>
      <c r="N80" t="s">
        <v>771</v>
      </c>
      <c r="O80">
        <v>5952291</v>
      </c>
      <c r="Q80" t="s">
        <v>772</v>
      </c>
      <c r="R80" t="s">
        <v>132</v>
      </c>
      <c r="S80" t="s">
        <v>52</v>
      </c>
      <c r="U80">
        <v>890234</v>
      </c>
      <c r="V80" s="3">
        <v>46056.670138888891</v>
      </c>
      <c r="W80" t="s">
        <v>773</v>
      </c>
      <c r="X80" t="s">
        <v>774</v>
      </c>
      <c r="Y80" t="str">
        <f>"0432174467"</f>
        <v>0432174467</v>
      </c>
      <c r="Z80" t="s">
        <v>527</v>
      </c>
      <c r="AB80" t="s">
        <v>775</v>
      </c>
      <c r="AD80" t="s">
        <v>61</v>
      </c>
      <c r="AE80" t="s">
        <v>776</v>
      </c>
      <c r="AF80">
        <v>2076</v>
      </c>
      <c r="AG80" t="s">
        <v>772</v>
      </c>
      <c r="AI80" t="s">
        <v>59</v>
      </c>
      <c r="AL80" t="s">
        <v>631</v>
      </c>
      <c r="AN80" s="3">
        <v>46065.635416666664</v>
      </c>
      <c r="AO80" t="s">
        <v>773</v>
      </c>
    </row>
    <row r="81" spans="1:41" x14ac:dyDescent="0.3">
      <c r="A81" t="s">
        <v>61</v>
      </c>
      <c r="B81" t="s">
        <v>507</v>
      </c>
      <c r="C81" t="s">
        <v>183</v>
      </c>
      <c r="D81" t="s">
        <v>63</v>
      </c>
      <c r="E81" s="1">
        <v>46065</v>
      </c>
      <c r="F81" t="s">
        <v>621</v>
      </c>
      <c r="G81" t="s">
        <v>45</v>
      </c>
      <c r="H81" s="2">
        <v>0.3125</v>
      </c>
      <c r="I81" s="2">
        <v>0.99861111111111112</v>
      </c>
      <c r="J81" t="s">
        <v>185</v>
      </c>
      <c r="L81" t="s">
        <v>186</v>
      </c>
      <c r="M81" t="s">
        <v>777</v>
      </c>
      <c r="N81" t="s">
        <v>778</v>
      </c>
      <c r="O81">
        <v>5952331</v>
      </c>
      <c r="Q81" t="s">
        <v>779</v>
      </c>
      <c r="R81" t="s">
        <v>500</v>
      </c>
      <c r="S81" t="s">
        <v>52</v>
      </c>
      <c r="U81">
        <v>890238</v>
      </c>
      <c r="V81" s="3">
        <v>46028.720833333333</v>
      </c>
      <c r="W81" t="s">
        <v>780</v>
      </c>
      <c r="X81" t="s">
        <v>781</v>
      </c>
      <c r="Y81" t="str">
        <f>"0478730906"</f>
        <v>0478730906</v>
      </c>
      <c r="Z81" t="s">
        <v>782</v>
      </c>
      <c r="AA81" s="1">
        <v>46065</v>
      </c>
      <c r="AB81" t="s">
        <v>514</v>
      </c>
      <c r="AD81" t="s">
        <v>61</v>
      </c>
      <c r="AE81" t="s">
        <v>515</v>
      </c>
      <c r="AF81">
        <v>2086</v>
      </c>
      <c r="AG81" t="s">
        <v>783</v>
      </c>
      <c r="AI81" t="s">
        <v>59</v>
      </c>
      <c r="AL81" t="s">
        <v>631</v>
      </c>
      <c r="AN81" s="3">
        <v>46065.7</v>
      </c>
      <c r="AO81" t="s">
        <v>780</v>
      </c>
    </row>
    <row r="82" spans="1:41" x14ac:dyDescent="0.3">
      <c r="A82" t="s">
        <v>61</v>
      </c>
      <c r="B82" t="s">
        <v>62</v>
      </c>
      <c r="C82" t="s">
        <v>43</v>
      </c>
      <c r="D82" t="s">
        <v>63</v>
      </c>
      <c r="E82" s="1">
        <v>46065</v>
      </c>
      <c r="F82" t="s">
        <v>621</v>
      </c>
      <c r="G82" t="s">
        <v>45</v>
      </c>
      <c r="H82" s="2">
        <v>0.3125</v>
      </c>
      <c r="I82" s="2">
        <v>0.98958333333333337</v>
      </c>
      <c r="J82" t="s">
        <v>185</v>
      </c>
      <c r="L82" t="s">
        <v>784</v>
      </c>
      <c r="M82" t="s">
        <v>785</v>
      </c>
      <c r="N82" t="s">
        <v>786</v>
      </c>
      <c r="O82">
        <v>5951112</v>
      </c>
      <c r="Q82" t="s">
        <v>66</v>
      </c>
      <c r="R82" t="s">
        <v>67</v>
      </c>
      <c r="S82" t="s">
        <v>52</v>
      </c>
      <c r="U82">
        <v>890241</v>
      </c>
      <c r="V82" s="3">
        <v>46056.448611111111</v>
      </c>
      <c r="W82" t="s">
        <v>787</v>
      </c>
      <c r="X82" t="s">
        <v>788</v>
      </c>
      <c r="Y82" t="str">
        <f>"0423329386"</f>
        <v>0423329386</v>
      </c>
      <c r="Z82" t="s">
        <v>70</v>
      </c>
      <c r="AB82" t="s">
        <v>71</v>
      </c>
      <c r="AD82" t="s">
        <v>61</v>
      </c>
      <c r="AE82" t="s">
        <v>72</v>
      </c>
      <c r="AF82">
        <v>2747</v>
      </c>
      <c r="AG82" t="s">
        <v>73</v>
      </c>
      <c r="AI82" t="s">
        <v>59</v>
      </c>
      <c r="AL82" t="s">
        <v>789</v>
      </c>
      <c r="AN82" s="3">
        <v>46065.71597222222</v>
      </c>
      <c r="AO82" t="s">
        <v>787</v>
      </c>
    </row>
    <row r="83" spans="1:41" x14ac:dyDescent="0.3">
      <c r="A83" t="s">
        <v>61</v>
      </c>
      <c r="B83" t="s">
        <v>62</v>
      </c>
      <c r="C83" t="s">
        <v>43</v>
      </c>
      <c r="D83" t="s">
        <v>63</v>
      </c>
      <c r="E83" s="1">
        <v>46065</v>
      </c>
      <c r="F83" t="s">
        <v>621</v>
      </c>
      <c r="G83" t="s">
        <v>45</v>
      </c>
      <c r="H83" s="2">
        <v>0.3125</v>
      </c>
      <c r="I83" s="2">
        <v>0.98958333333333337</v>
      </c>
      <c r="J83" t="s">
        <v>185</v>
      </c>
      <c r="L83" t="s">
        <v>790</v>
      </c>
      <c r="M83" t="s">
        <v>791</v>
      </c>
      <c r="N83" t="s">
        <v>792</v>
      </c>
      <c r="O83">
        <v>5952334</v>
      </c>
      <c r="Q83" t="s">
        <v>66</v>
      </c>
      <c r="R83" t="s">
        <v>67</v>
      </c>
      <c r="S83" t="s">
        <v>52</v>
      </c>
      <c r="U83">
        <v>890236</v>
      </c>
      <c r="V83" s="3">
        <v>46056.431944444441</v>
      </c>
      <c r="W83" t="s">
        <v>793</v>
      </c>
      <c r="X83" t="s">
        <v>794</v>
      </c>
      <c r="Y83" t="str">
        <f>"0422273393"</f>
        <v>0422273393</v>
      </c>
      <c r="Z83" t="s">
        <v>795</v>
      </c>
      <c r="AB83" t="s">
        <v>71</v>
      </c>
      <c r="AD83" t="s">
        <v>61</v>
      </c>
      <c r="AE83" t="s">
        <v>72</v>
      </c>
      <c r="AF83">
        <v>2747</v>
      </c>
      <c r="AG83" t="s">
        <v>73</v>
      </c>
      <c r="AI83" t="s">
        <v>59</v>
      </c>
      <c r="AL83" t="s">
        <v>789</v>
      </c>
      <c r="AN83" s="3">
        <v>46065.681250000001</v>
      </c>
      <c r="AO83" t="s">
        <v>793</v>
      </c>
    </row>
    <row r="84" spans="1:41" x14ac:dyDescent="0.3">
      <c r="A84" t="s">
        <v>168</v>
      </c>
      <c r="B84" t="s">
        <v>225</v>
      </c>
      <c r="C84" t="s">
        <v>796</v>
      </c>
      <c r="D84" t="s">
        <v>227</v>
      </c>
      <c r="E84" s="1">
        <v>46065</v>
      </c>
      <c r="F84" t="s">
        <v>621</v>
      </c>
      <c r="G84" t="s">
        <v>45</v>
      </c>
      <c r="H84" s="2">
        <v>0.3125</v>
      </c>
      <c r="I84" s="2">
        <v>0.5625</v>
      </c>
      <c r="J84" t="s">
        <v>185</v>
      </c>
      <c r="K84" t="s">
        <v>797</v>
      </c>
      <c r="L84" t="s">
        <v>186</v>
      </c>
      <c r="M84" t="s">
        <v>798</v>
      </c>
      <c r="N84" t="s">
        <v>799</v>
      </c>
      <c r="O84">
        <v>20875</v>
      </c>
      <c r="Q84" t="s">
        <v>230</v>
      </c>
      <c r="R84" t="s">
        <v>231</v>
      </c>
      <c r="S84" t="s">
        <v>52</v>
      </c>
      <c r="U84">
        <v>890227</v>
      </c>
      <c r="V84" s="3">
        <v>46042.371527777781</v>
      </c>
      <c r="W84" t="s">
        <v>800</v>
      </c>
      <c r="X84" t="s">
        <v>801</v>
      </c>
      <c r="Y84" t="str">
        <f>"0417001267"</f>
        <v>0417001267</v>
      </c>
      <c r="Z84" t="s">
        <v>802</v>
      </c>
      <c r="AB84" t="s">
        <v>235</v>
      </c>
      <c r="AD84" t="s">
        <v>168</v>
      </c>
      <c r="AE84" t="s">
        <v>236</v>
      </c>
      <c r="AF84">
        <v>5087</v>
      </c>
      <c r="AG84" t="s">
        <v>230</v>
      </c>
      <c r="AI84" t="s">
        <v>59</v>
      </c>
      <c r="AL84" t="s">
        <v>803</v>
      </c>
      <c r="AN84" s="3">
        <v>46065.543749999997</v>
      </c>
      <c r="AO84" t="s">
        <v>800</v>
      </c>
    </row>
    <row r="85" spans="1:41" x14ac:dyDescent="0.3">
      <c r="A85" t="s">
        <v>75</v>
      </c>
      <c r="B85" t="s">
        <v>804</v>
      </c>
      <c r="C85" t="s">
        <v>43</v>
      </c>
      <c r="D85" t="s">
        <v>700</v>
      </c>
      <c r="E85" s="1">
        <v>46065</v>
      </c>
      <c r="F85" t="s">
        <v>621</v>
      </c>
      <c r="G85" t="s">
        <v>45</v>
      </c>
      <c r="H85" s="2">
        <v>0.3125</v>
      </c>
      <c r="I85" s="2">
        <v>0.5625</v>
      </c>
      <c r="J85" t="s">
        <v>185</v>
      </c>
      <c r="K85" t="s">
        <v>805</v>
      </c>
      <c r="L85" t="s">
        <v>186</v>
      </c>
      <c r="M85" t="s">
        <v>806</v>
      </c>
      <c r="N85" t="s">
        <v>807</v>
      </c>
      <c r="O85">
        <v>5951855</v>
      </c>
      <c r="Q85" t="s">
        <v>808</v>
      </c>
      <c r="R85" t="s">
        <v>81</v>
      </c>
      <c r="S85" t="s">
        <v>52</v>
      </c>
      <c r="U85">
        <v>890261</v>
      </c>
      <c r="V85" s="3">
        <v>46062.615277777775</v>
      </c>
      <c r="W85" t="s">
        <v>809</v>
      </c>
      <c r="X85" t="s">
        <v>810</v>
      </c>
      <c r="Y85" t="str">
        <f>"0450257692"</f>
        <v>0450257692</v>
      </c>
      <c r="Z85" t="s">
        <v>123</v>
      </c>
      <c r="AA85" s="1">
        <v>46065</v>
      </c>
      <c r="AB85" t="s">
        <v>811</v>
      </c>
      <c r="AC85" t="s">
        <v>812</v>
      </c>
      <c r="AD85" t="s">
        <v>75</v>
      </c>
      <c r="AE85" t="s">
        <v>813</v>
      </c>
      <c r="AF85">
        <v>6050</v>
      </c>
      <c r="AG85" t="s">
        <v>808</v>
      </c>
      <c r="AI85" t="s">
        <v>59</v>
      </c>
      <c r="AL85" t="s">
        <v>814</v>
      </c>
      <c r="AN85" s="3">
        <v>46065.788888888892</v>
      </c>
      <c r="AO85" t="s">
        <v>809</v>
      </c>
    </row>
    <row r="86" spans="1:41" x14ac:dyDescent="0.3">
      <c r="A86" t="s">
        <v>41</v>
      </c>
      <c r="B86" t="s">
        <v>426</v>
      </c>
      <c r="C86" t="s">
        <v>43</v>
      </c>
      <c r="D86" t="s">
        <v>246</v>
      </c>
      <c r="E86" s="1">
        <v>46065</v>
      </c>
      <c r="F86" t="s">
        <v>621</v>
      </c>
      <c r="G86" t="s">
        <v>45</v>
      </c>
      <c r="H86" s="2">
        <v>0.32291666666666669</v>
      </c>
      <c r="I86" s="2">
        <v>0.71875</v>
      </c>
      <c r="J86" t="s">
        <v>185</v>
      </c>
      <c r="K86" t="s">
        <v>427</v>
      </c>
      <c r="L86" t="s">
        <v>815</v>
      </c>
      <c r="M86" t="s">
        <v>816</v>
      </c>
      <c r="N86" t="s">
        <v>817</v>
      </c>
      <c r="O86">
        <v>22501</v>
      </c>
      <c r="Q86" t="s">
        <v>249</v>
      </c>
      <c r="R86" t="s">
        <v>51</v>
      </c>
      <c r="S86" t="s">
        <v>52</v>
      </c>
      <c r="U86">
        <v>890257</v>
      </c>
      <c r="V86" s="3">
        <v>46059.572916666664</v>
      </c>
      <c r="W86" t="s">
        <v>818</v>
      </c>
      <c r="X86" t="s">
        <v>819</v>
      </c>
      <c r="Y86" t="str">
        <f>"0432588228"</f>
        <v>0432588228</v>
      </c>
      <c r="Z86" t="s">
        <v>687</v>
      </c>
      <c r="AB86" t="s">
        <v>434</v>
      </c>
      <c r="AD86" t="s">
        <v>41</v>
      </c>
      <c r="AE86" t="s">
        <v>435</v>
      </c>
      <c r="AF86">
        <v>4163</v>
      </c>
      <c r="AG86" t="s">
        <v>249</v>
      </c>
      <c r="AI86" t="s">
        <v>59</v>
      </c>
      <c r="AL86" t="s">
        <v>249</v>
      </c>
      <c r="AN86" s="3">
        <v>46065.765277777777</v>
      </c>
      <c r="AO86" t="s">
        <v>818</v>
      </c>
    </row>
    <row r="87" spans="1:41" x14ac:dyDescent="0.3">
      <c r="A87" t="s">
        <v>306</v>
      </c>
      <c r="B87" t="s">
        <v>820</v>
      </c>
      <c r="C87" t="s">
        <v>100</v>
      </c>
      <c r="D87" t="s">
        <v>127</v>
      </c>
      <c r="E87" s="1">
        <v>46065</v>
      </c>
      <c r="F87" t="s">
        <v>621</v>
      </c>
      <c r="G87" t="s">
        <v>45</v>
      </c>
      <c r="H87" s="2">
        <v>0.33333333333333331</v>
      </c>
      <c r="I87" s="2">
        <v>0.75</v>
      </c>
      <c r="J87" t="s">
        <v>451</v>
      </c>
      <c r="L87" t="s">
        <v>452</v>
      </c>
      <c r="M87" t="s">
        <v>821</v>
      </c>
      <c r="N87" t="s">
        <v>822</v>
      </c>
      <c r="O87">
        <v>20712</v>
      </c>
      <c r="Q87" t="s">
        <v>823</v>
      </c>
      <c r="R87" t="s">
        <v>476</v>
      </c>
      <c r="S87" t="s">
        <v>52</v>
      </c>
      <c r="U87">
        <v>890253</v>
      </c>
      <c r="V87" s="3">
        <v>46057.551388888889</v>
      </c>
      <c r="W87" t="s">
        <v>824</v>
      </c>
      <c r="X87" t="s">
        <v>825</v>
      </c>
      <c r="Y87" t="str">
        <f>"0439419256"</f>
        <v>0439419256</v>
      </c>
      <c r="Z87" t="s">
        <v>70</v>
      </c>
      <c r="AA87" s="1">
        <v>46065</v>
      </c>
      <c r="AB87" t="s">
        <v>826</v>
      </c>
      <c r="AD87" t="s">
        <v>306</v>
      </c>
      <c r="AE87" t="s">
        <v>827</v>
      </c>
      <c r="AF87">
        <v>3181</v>
      </c>
      <c r="AG87" t="s">
        <v>823</v>
      </c>
      <c r="AI87" t="s">
        <v>59</v>
      </c>
      <c r="AL87" t="s">
        <v>87</v>
      </c>
      <c r="AN87" s="3">
        <v>46065.756249999999</v>
      </c>
      <c r="AO87" t="s">
        <v>824</v>
      </c>
    </row>
    <row r="88" spans="1:41" x14ac:dyDescent="0.3">
      <c r="A88" t="s">
        <v>168</v>
      </c>
      <c r="B88" t="s">
        <v>282</v>
      </c>
      <c r="C88" t="s">
        <v>170</v>
      </c>
      <c r="D88" t="s">
        <v>283</v>
      </c>
      <c r="E88" s="1">
        <v>46065</v>
      </c>
      <c r="F88" t="s">
        <v>621</v>
      </c>
      <c r="G88" t="s">
        <v>45</v>
      </c>
      <c r="H88" s="2">
        <v>0.33333333333333331</v>
      </c>
      <c r="I88" s="2">
        <v>0.5</v>
      </c>
      <c r="J88" t="s">
        <v>170</v>
      </c>
      <c r="K88" t="s">
        <v>77</v>
      </c>
      <c r="L88" t="s">
        <v>47</v>
      </c>
      <c r="M88" t="s">
        <v>828</v>
      </c>
      <c r="N88" t="s">
        <v>829</v>
      </c>
      <c r="O88">
        <v>5950740</v>
      </c>
      <c r="Q88" t="s">
        <v>294</v>
      </c>
      <c r="R88" t="s">
        <v>176</v>
      </c>
      <c r="S88" t="s">
        <v>52</v>
      </c>
      <c r="U88">
        <v>890222</v>
      </c>
      <c r="V88" s="3">
        <v>46063.417361111111</v>
      </c>
      <c r="W88" t="s">
        <v>830</v>
      </c>
      <c r="X88" t="s">
        <v>831</v>
      </c>
      <c r="Y88" t="str">
        <f>"0417084501"</f>
        <v>0417084501</v>
      </c>
      <c r="Z88" t="s">
        <v>832</v>
      </c>
      <c r="AB88" t="s">
        <v>291</v>
      </c>
      <c r="AC88" t="s">
        <v>292</v>
      </c>
      <c r="AD88" t="s">
        <v>168</v>
      </c>
      <c r="AE88" t="s">
        <v>293</v>
      </c>
      <c r="AF88">
        <v>5037</v>
      </c>
      <c r="AG88" t="s">
        <v>294</v>
      </c>
      <c r="AI88" t="s">
        <v>59</v>
      </c>
      <c r="AL88" t="s">
        <v>833</v>
      </c>
      <c r="AN88" s="3">
        <v>46065.518750000003</v>
      </c>
      <c r="AO88" t="s">
        <v>830</v>
      </c>
    </row>
    <row r="89" spans="1:41" x14ac:dyDescent="0.3">
      <c r="A89" t="s">
        <v>168</v>
      </c>
      <c r="B89" t="s">
        <v>282</v>
      </c>
      <c r="C89" t="s">
        <v>43</v>
      </c>
      <c r="D89" t="s">
        <v>283</v>
      </c>
      <c r="E89" s="1">
        <v>46065</v>
      </c>
      <c r="F89" t="s">
        <v>621</v>
      </c>
      <c r="G89" t="s">
        <v>45</v>
      </c>
      <c r="H89" s="2">
        <v>0.33333333333333331</v>
      </c>
      <c r="I89" s="2">
        <v>0.5</v>
      </c>
      <c r="J89" t="s">
        <v>258</v>
      </c>
      <c r="K89" t="s">
        <v>834</v>
      </c>
      <c r="L89" t="s">
        <v>186</v>
      </c>
      <c r="M89" t="s">
        <v>835</v>
      </c>
      <c r="N89" t="s">
        <v>836</v>
      </c>
      <c r="O89">
        <v>22947</v>
      </c>
      <c r="Q89" t="s">
        <v>294</v>
      </c>
      <c r="R89" t="s">
        <v>208</v>
      </c>
      <c r="S89" t="s">
        <v>52</v>
      </c>
      <c r="U89">
        <v>890225</v>
      </c>
      <c r="V89" s="3">
        <v>46063.856944444444</v>
      </c>
      <c r="W89" t="s">
        <v>837</v>
      </c>
      <c r="X89" t="s">
        <v>838</v>
      </c>
      <c r="Y89" t="str">
        <f>"0415626656"</f>
        <v>0415626656</v>
      </c>
      <c r="Z89" t="s">
        <v>550</v>
      </c>
      <c r="AB89" t="s">
        <v>291</v>
      </c>
      <c r="AC89" t="s">
        <v>292</v>
      </c>
      <c r="AD89" t="s">
        <v>168</v>
      </c>
      <c r="AE89" t="s">
        <v>293</v>
      </c>
      <c r="AF89">
        <v>5037</v>
      </c>
      <c r="AG89" t="s">
        <v>294</v>
      </c>
      <c r="AI89" t="s">
        <v>59</v>
      </c>
      <c r="AL89" t="s">
        <v>839</v>
      </c>
      <c r="AN89" s="3">
        <v>46065.527777777781</v>
      </c>
      <c r="AO89" t="s">
        <v>837</v>
      </c>
    </row>
    <row r="90" spans="1:41" x14ac:dyDescent="0.3">
      <c r="A90" t="s">
        <v>61</v>
      </c>
      <c r="B90" t="s">
        <v>507</v>
      </c>
      <c r="C90" t="s">
        <v>202</v>
      </c>
      <c r="D90" t="s">
        <v>63</v>
      </c>
      <c r="E90" s="1">
        <v>46065</v>
      </c>
      <c r="F90" t="s">
        <v>621</v>
      </c>
      <c r="G90" t="s">
        <v>45</v>
      </c>
      <c r="H90" s="2">
        <v>0.33333333333333331</v>
      </c>
      <c r="I90" s="2">
        <v>0.6875</v>
      </c>
      <c r="J90" t="s">
        <v>46</v>
      </c>
      <c r="L90" t="s">
        <v>47</v>
      </c>
      <c r="M90" t="s">
        <v>351</v>
      </c>
      <c r="N90" t="s">
        <v>352</v>
      </c>
      <c r="O90">
        <v>5951965</v>
      </c>
      <c r="Q90" t="s">
        <v>840</v>
      </c>
      <c r="R90" t="s">
        <v>67</v>
      </c>
      <c r="S90" t="s">
        <v>52</v>
      </c>
      <c r="U90">
        <v>890232</v>
      </c>
      <c r="V90" s="3">
        <v>46059.474999999999</v>
      </c>
      <c r="W90" t="s">
        <v>354</v>
      </c>
      <c r="X90" t="s">
        <v>355</v>
      </c>
      <c r="Y90" t="str">
        <f>"0430083393"</f>
        <v>0430083393</v>
      </c>
      <c r="Z90" t="s">
        <v>841</v>
      </c>
      <c r="AB90" t="s">
        <v>514</v>
      </c>
      <c r="AD90" t="s">
        <v>61</v>
      </c>
      <c r="AE90" t="s">
        <v>515</v>
      </c>
      <c r="AF90">
        <v>2086</v>
      </c>
      <c r="AG90" t="s">
        <v>840</v>
      </c>
      <c r="AI90" t="s">
        <v>59</v>
      </c>
      <c r="AL90" t="s">
        <v>631</v>
      </c>
      <c r="AN90" s="3">
        <v>46065.599999999999</v>
      </c>
      <c r="AO90" t="s">
        <v>354</v>
      </c>
    </row>
    <row r="91" spans="1:41" x14ac:dyDescent="0.3">
      <c r="A91" t="s">
        <v>168</v>
      </c>
      <c r="B91" t="s">
        <v>282</v>
      </c>
      <c r="C91" t="s">
        <v>170</v>
      </c>
      <c r="D91" t="s">
        <v>283</v>
      </c>
      <c r="E91" s="1">
        <v>46065</v>
      </c>
      <c r="F91" t="s">
        <v>621</v>
      </c>
      <c r="G91" t="s">
        <v>45</v>
      </c>
      <c r="H91" s="2">
        <v>0.35416666666666669</v>
      </c>
      <c r="I91" s="2">
        <v>0.52083333333333337</v>
      </c>
      <c r="J91" t="s">
        <v>170</v>
      </c>
      <c r="K91" t="s">
        <v>77</v>
      </c>
      <c r="L91" t="s">
        <v>47</v>
      </c>
      <c r="M91" t="s">
        <v>842</v>
      </c>
      <c r="N91" t="s">
        <v>843</v>
      </c>
      <c r="O91">
        <v>21274</v>
      </c>
      <c r="Q91" t="s">
        <v>294</v>
      </c>
      <c r="R91" t="s">
        <v>176</v>
      </c>
      <c r="S91" t="s">
        <v>52</v>
      </c>
      <c r="U91">
        <v>890226</v>
      </c>
      <c r="V91" s="3">
        <v>46063.417361111111</v>
      </c>
      <c r="W91" t="s">
        <v>844</v>
      </c>
      <c r="X91" t="s">
        <v>845</v>
      </c>
      <c r="Y91" t="str">
        <f>"0402041367"</f>
        <v>0402041367</v>
      </c>
      <c r="Z91" t="s">
        <v>846</v>
      </c>
      <c r="AB91" t="s">
        <v>291</v>
      </c>
      <c r="AC91" t="s">
        <v>292</v>
      </c>
      <c r="AD91" t="s">
        <v>168</v>
      </c>
      <c r="AE91" t="s">
        <v>293</v>
      </c>
      <c r="AF91">
        <v>5037</v>
      </c>
      <c r="AG91" t="s">
        <v>294</v>
      </c>
      <c r="AI91" t="s">
        <v>59</v>
      </c>
      <c r="AL91" t="s">
        <v>224</v>
      </c>
      <c r="AN91" s="3">
        <v>46065.536805555559</v>
      </c>
      <c r="AO91" t="s">
        <v>844</v>
      </c>
    </row>
    <row r="92" spans="1:41" x14ac:dyDescent="0.3">
      <c r="A92" t="s">
        <v>168</v>
      </c>
      <c r="B92" t="s">
        <v>847</v>
      </c>
      <c r="C92" t="s">
        <v>848</v>
      </c>
      <c r="D92" t="s">
        <v>268</v>
      </c>
      <c r="E92" s="1">
        <v>46065</v>
      </c>
      <c r="F92" t="s">
        <v>621</v>
      </c>
      <c r="G92" t="s">
        <v>45</v>
      </c>
      <c r="H92" s="2">
        <v>0.35416666666666669</v>
      </c>
      <c r="I92" s="2">
        <v>0.70833333333333337</v>
      </c>
      <c r="J92" t="s">
        <v>101</v>
      </c>
      <c r="K92" t="s">
        <v>849</v>
      </c>
      <c r="L92" t="s">
        <v>159</v>
      </c>
      <c r="M92" t="s">
        <v>850</v>
      </c>
      <c r="N92" t="s">
        <v>851</v>
      </c>
      <c r="O92">
        <v>5951814</v>
      </c>
      <c r="Q92" t="s">
        <v>852</v>
      </c>
      <c r="R92" t="s">
        <v>231</v>
      </c>
      <c r="S92" t="s">
        <v>52</v>
      </c>
      <c r="U92">
        <v>890244</v>
      </c>
      <c r="V92" s="3">
        <v>46035.578472222223</v>
      </c>
      <c r="W92" t="s">
        <v>853</v>
      </c>
      <c r="X92" t="s">
        <v>854</v>
      </c>
      <c r="Y92" t="str">
        <f>"0415587072"</f>
        <v>0415587072</v>
      </c>
      <c r="Z92" t="s">
        <v>673</v>
      </c>
      <c r="AB92" t="s">
        <v>847</v>
      </c>
      <c r="AC92" t="s">
        <v>855</v>
      </c>
      <c r="AD92" t="s">
        <v>168</v>
      </c>
      <c r="AE92" t="s">
        <v>856</v>
      </c>
      <c r="AF92">
        <v>5112</v>
      </c>
      <c r="AG92" t="s">
        <v>857</v>
      </c>
      <c r="AI92" t="s">
        <v>59</v>
      </c>
      <c r="AL92" t="s">
        <v>858</v>
      </c>
      <c r="AN92" s="3">
        <v>46065.722222222219</v>
      </c>
      <c r="AO92" t="s">
        <v>853</v>
      </c>
    </row>
    <row r="93" spans="1:41" x14ac:dyDescent="0.3">
      <c r="A93" t="s">
        <v>61</v>
      </c>
      <c r="B93" t="s">
        <v>859</v>
      </c>
      <c r="C93" t="s">
        <v>43</v>
      </c>
      <c r="D93" t="s">
        <v>227</v>
      </c>
      <c r="E93" s="1">
        <v>46065</v>
      </c>
      <c r="F93" t="s">
        <v>621</v>
      </c>
      <c r="G93" t="s">
        <v>45</v>
      </c>
      <c r="H93" s="2">
        <v>0.35416666666666669</v>
      </c>
      <c r="I93" s="2">
        <v>0.54166666666666663</v>
      </c>
      <c r="J93" t="s">
        <v>46</v>
      </c>
      <c r="L93" t="s">
        <v>47</v>
      </c>
      <c r="M93" t="s">
        <v>91</v>
      </c>
      <c r="N93" t="s">
        <v>92</v>
      </c>
      <c r="O93">
        <v>5950650</v>
      </c>
      <c r="Q93" t="s">
        <v>860</v>
      </c>
      <c r="R93" t="s">
        <v>132</v>
      </c>
      <c r="S93" t="s">
        <v>52</v>
      </c>
      <c r="U93">
        <v>890221</v>
      </c>
      <c r="V93" s="3">
        <v>46043.590277777781</v>
      </c>
      <c r="W93" t="s">
        <v>94</v>
      </c>
      <c r="X93" t="s">
        <v>95</v>
      </c>
      <c r="Y93" t="str">
        <f>"0493332534"</f>
        <v>0493332534</v>
      </c>
      <c r="Z93" t="s">
        <v>366</v>
      </c>
      <c r="AB93" t="s">
        <v>861</v>
      </c>
      <c r="AD93" t="s">
        <v>61</v>
      </c>
      <c r="AE93" t="s">
        <v>765</v>
      </c>
      <c r="AF93">
        <v>2220</v>
      </c>
      <c r="AG93" t="s">
        <v>860</v>
      </c>
      <c r="AI93" t="s">
        <v>59</v>
      </c>
      <c r="AL93" t="s">
        <v>631</v>
      </c>
      <c r="AN93" s="3">
        <v>46065.517361111109</v>
      </c>
      <c r="AO93" t="s">
        <v>94</v>
      </c>
    </row>
    <row r="94" spans="1:41" x14ac:dyDescent="0.3">
      <c r="A94" t="s">
        <v>168</v>
      </c>
      <c r="B94" t="s">
        <v>689</v>
      </c>
      <c r="C94" t="s">
        <v>43</v>
      </c>
      <c r="D94" t="s">
        <v>268</v>
      </c>
      <c r="E94" s="1">
        <v>46065</v>
      </c>
      <c r="F94" t="s">
        <v>621</v>
      </c>
      <c r="G94" t="s">
        <v>45</v>
      </c>
      <c r="H94" s="2">
        <v>0.35416666666666669</v>
      </c>
      <c r="I94" s="2">
        <v>0.70833333333333337</v>
      </c>
      <c r="J94" t="s">
        <v>100</v>
      </c>
      <c r="L94" t="s">
        <v>100</v>
      </c>
      <c r="M94" t="s">
        <v>862</v>
      </c>
      <c r="N94" t="s">
        <v>863</v>
      </c>
      <c r="O94">
        <v>5952375</v>
      </c>
      <c r="Q94" t="s">
        <v>692</v>
      </c>
      <c r="R94" t="s">
        <v>864</v>
      </c>
      <c r="S94" t="s">
        <v>52</v>
      </c>
      <c r="T94" t="s">
        <v>252</v>
      </c>
      <c r="U94">
        <v>890611</v>
      </c>
      <c r="V94" s="3">
        <v>46069.457638888889</v>
      </c>
      <c r="W94" t="s">
        <v>864</v>
      </c>
      <c r="X94" t="s">
        <v>865</v>
      </c>
      <c r="Y94" t="str">
        <f>"0433092113"</f>
        <v>0433092113</v>
      </c>
      <c r="Z94" t="s">
        <v>503</v>
      </c>
      <c r="AA94" s="1">
        <v>46075</v>
      </c>
      <c r="AB94" t="s">
        <v>695</v>
      </c>
      <c r="AD94" t="s">
        <v>168</v>
      </c>
      <c r="AE94" t="s">
        <v>696</v>
      </c>
      <c r="AF94">
        <v>5606</v>
      </c>
      <c r="AG94" t="s">
        <v>866</v>
      </c>
      <c r="AI94" t="s">
        <v>59</v>
      </c>
      <c r="AJ94" t="str">
        <f>"0020187960"</f>
        <v>0020187960</v>
      </c>
      <c r="AN94" s="3">
        <v>46069.457638888889</v>
      </c>
      <c r="AO94" t="s">
        <v>864</v>
      </c>
    </row>
    <row r="95" spans="1:41" x14ac:dyDescent="0.3">
      <c r="A95" t="s">
        <v>168</v>
      </c>
      <c r="B95" t="s">
        <v>266</v>
      </c>
      <c r="C95" t="s">
        <v>43</v>
      </c>
      <c r="D95" t="s">
        <v>268</v>
      </c>
      <c r="E95" s="1">
        <v>46065</v>
      </c>
      <c r="F95" t="s">
        <v>621</v>
      </c>
      <c r="G95" t="s">
        <v>45</v>
      </c>
      <c r="H95" s="2">
        <v>0.35416666666666669</v>
      </c>
      <c r="I95" s="2">
        <v>0.70833333333333337</v>
      </c>
      <c r="J95" t="s">
        <v>185</v>
      </c>
      <c r="L95" t="s">
        <v>186</v>
      </c>
      <c r="M95" t="s">
        <v>867</v>
      </c>
      <c r="N95" t="s">
        <v>868</v>
      </c>
      <c r="O95">
        <v>5951869</v>
      </c>
      <c r="Q95" t="s">
        <v>869</v>
      </c>
      <c r="R95" t="s">
        <v>176</v>
      </c>
      <c r="S95" t="s">
        <v>52</v>
      </c>
      <c r="U95">
        <v>890233</v>
      </c>
      <c r="V95" s="3">
        <v>46059.54791666667</v>
      </c>
      <c r="W95" t="s">
        <v>870</v>
      </c>
      <c r="X95" t="s">
        <v>871</v>
      </c>
      <c r="Y95" t="str">
        <f>"0435211342"</f>
        <v>0435211342</v>
      </c>
      <c r="Z95" t="s">
        <v>70</v>
      </c>
      <c r="AA95" s="1">
        <v>46065</v>
      </c>
      <c r="AB95" t="s">
        <v>277</v>
      </c>
      <c r="AC95" t="s">
        <v>278</v>
      </c>
      <c r="AD95" t="s">
        <v>168</v>
      </c>
      <c r="AE95" t="s">
        <v>279</v>
      </c>
      <c r="AF95">
        <v>5092</v>
      </c>
      <c r="AG95" t="s">
        <v>869</v>
      </c>
      <c r="AI95" t="s">
        <v>59</v>
      </c>
      <c r="AL95" t="s">
        <v>872</v>
      </c>
      <c r="AM95" t="s">
        <v>873</v>
      </c>
      <c r="AN95" s="3">
        <v>46065.615277777775</v>
      </c>
      <c r="AO95" t="s">
        <v>870</v>
      </c>
    </row>
    <row r="96" spans="1:41" x14ac:dyDescent="0.3">
      <c r="A96" t="s">
        <v>874</v>
      </c>
      <c r="B96" t="s">
        <v>875</v>
      </c>
      <c r="D96" t="s">
        <v>388</v>
      </c>
      <c r="E96" s="1">
        <v>46065</v>
      </c>
      <c r="F96" t="s">
        <v>621</v>
      </c>
      <c r="G96" t="s">
        <v>45</v>
      </c>
      <c r="H96" s="2">
        <v>0.35416666666666669</v>
      </c>
      <c r="I96" s="2">
        <v>0.70833333333333337</v>
      </c>
      <c r="J96" t="s">
        <v>876</v>
      </c>
      <c r="L96" t="s">
        <v>877</v>
      </c>
      <c r="M96" t="s">
        <v>878</v>
      </c>
      <c r="N96" t="s">
        <v>879</v>
      </c>
      <c r="O96">
        <v>5951689</v>
      </c>
      <c r="P96" t="s">
        <v>249</v>
      </c>
      <c r="Q96" t="s">
        <v>880</v>
      </c>
      <c r="R96" t="s">
        <v>392</v>
      </c>
      <c r="S96" t="s">
        <v>52</v>
      </c>
      <c r="T96" t="s">
        <v>252</v>
      </c>
      <c r="U96">
        <v>890597</v>
      </c>
      <c r="V96" s="3">
        <v>46069.382638888892</v>
      </c>
      <c r="W96" t="s">
        <v>881</v>
      </c>
      <c r="X96" t="s">
        <v>882</v>
      </c>
      <c r="Y96" t="str">
        <f>"0474765680"</f>
        <v>0474765680</v>
      </c>
      <c r="Z96" t="s">
        <v>290</v>
      </c>
      <c r="AA96" s="1">
        <v>46110</v>
      </c>
      <c r="AB96" t="s">
        <v>883</v>
      </c>
      <c r="AD96" t="s">
        <v>397</v>
      </c>
      <c r="AE96" t="s">
        <v>884</v>
      </c>
      <c r="AG96" t="s">
        <v>880</v>
      </c>
      <c r="AI96" t="s">
        <v>59</v>
      </c>
      <c r="AJ96" t="str">
        <f>"0090000061"</f>
        <v>0090000061</v>
      </c>
      <c r="AN96" s="3">
        <v>46069.382638888892</v>
      </c>
      <c r="AO96" t="s">
        <v>392</v>
      </c>
    </row>
    <row r="97" spans="1:41" x14ac:dyDescent="0.3">
      <c r="A97" t="s">
        <v>61</v>
      </c>
      <c r="B97" t="s">
        <v>885</v>
      </c>
      <c r="E97" s="1">
        <v>46065</v>
      </c>
      <c r="F97" t="s">
        <v>621</v>
      </c>
      <c r="G97" t="s">
        <v>45</v>
      </c>
      <c r="H97" s="2">
        <v>0.375</v>
      </c>
      <c r="I97" s="2">
        <v>0.70833333333333337</v>
      </c>
      <c r="J97" t="s">
        <v>185</v>
      </c>
      <c r="K97" t="s">
        <v>238</v>
      </c>
      <c r="L97" t="s">
        <v>186</v>
      </c>
      <c r="M97" t="s">
        <v>886</v>
      </c>
      <c r="N97" t="s">
        <v>887</v>
      </c>
      <c r="O97">
        <v>5951205</v>
      </c>
      <c r="Q97" t="s">
        <v>888</v>
      </c>
      <c r="R97" t="s">
        <v>67</v>
      </c>
      <c r="S97" t="s">
        <v>52</v>
      </c>
      <c r="U97">
        <v>890239</v>
      </c>
      <c r="V97" s="3">
        <v>46058.649305555555</v>
      </c>
      <c r="W97" t="s">
        <v>889</v>
      </c>
      <c r="X97" t="s">
        <v>890</v>
      </c>
      <c r="Y97" t="str">
        <f>"0427481581"</f>
        <v>0427481581</v>
      </c>
      <c r="Z97" t="s">
        <v>70</v>
      </c>
      <c r="AA97" s="1">
        <v>46065</v>
      </c>
      <c r="AB97" t="s">
        <v>891</v>
      </c>
      <c r="AC97" t="s">
        <v>892</v>
      </c>
      <c r="AD97" t="s">
        <v>61</v>
      </c>
      <c r="AE97" t="s">
        <v>893</v>
      </c>
      <c r="AF97">
        <v>2022</v>
      </c>
      <c r="AG97" t="s">
        <v>894</v>
      </c>
      <c r="AI97" t="s">
        <v>59</v>
      </c>
      <c r="AL97" t="s">
        <v>631</v>
      </c>
      <c r="AN97" s="3">
        <v>46065.709722222222</v>
      </c>
      <c r="AO97" t="s">
        <v>889</v>
      </c>
    </row>
    <row r="98" spans="1:41" x14ac:dyDescent="0.3">
      <c r="A98" t="s">
        <v>75</v>
      </c>
      <c r="B98" t="s">
        <v>895</v>
      </c>
      <c r="C98" t="s">
        <v>896</v>
      </c>
      <c r="D98" t="s">
        <v>184</v>
      </c>
      <c r="E98" s="1">
        <v>46065</v>
      </c>
      <c r="F98" t="s">
        <v>621</v>
      </c>
      <c r="G98" t="s">
        <v>45</v>
      </c>
      <c r="H98" s="2">
        <v>0.375</v>
      </c>
      <c r="I98" s="2">
        <v>0.58333333333333337</v>
      </c>
      <c r="J98" t="s">
        <v>46</v>
      </c>
      <c r="K98" t="s">
        <v>77</v>
      </c>
      <c r="L98" t="s">
        <v>47</v>
      </c>
      <c r="M98" t="s">
        <v>897</v>
      </c>
      <c r="N98" t="s">
        <v>898</v>
      </c>
      <c r="O98">
        <v>22938</v>
      </c>
      <c r="Q98" t="s">
        <v>899</v>
      </c>
      <c r="R98" t="s">
        <v>81</v>
      </c>
      <c r="S98" t="s">
        <v>52</v>
      </c>
      <c r="U98">
        <v>890240</v>
      </c>
      <c r="V98" s="3">
        <v>46063.724999999999</v>
      </c>
      <c r="W98" t="s">
        <v>900</v>
      </c>
      <c r="X98" t="s">
        <v>901</v>
      </c>
      <c r="Y98" t="str">
        <f>"0412336670"</f>
        <v>0412336670</v>
      </c>
      <c r="Z98" t="s">
        <v>503</v>
      </c>
      <c r="AA98" s="1">
        <v>46065</v>
      </c>
      <c r="AB98" t="s">
        <v>902</v>
      </c>
      <c r="AD98" t="s">
        <v>75</v>
      </c>
      <c r="AE98" t="s">
        <v>903</v>
      </c>
      <c r="AF98">
        <v>6009</v>
      </c>
      <c r="AG98" t="s">
        <v>899</v>
      </c>
      <c r="AI98" t="s">
        <v>59</v>
      </c>
      <c r="AL98" t="s">
        <v>904</v>
      </c>
      <c r="AN98" s="3">
        <v>46065.709722222222</v>
      </c>
      <c r="AO98" t="s">
        <v>900</v>
      </c>
    </row>
    <row r="99" spans="1:41" x14ac:dyDescent="0.3">
      <c r="A99" t="s">
        <v>61</v>
      </c>
      <c r="B99" t="s">
        <v>655</v>
      </c>
      <c r="C99" t="s">
        <v>43</v>
      </c>
      <c r="D99" t="s">
        <v>656</v>
      </c>
      <c r="E99" s="1">
        <v>46065</v>
      </c>
      <c r="F99" t="s">
        <v>621</v>
      </c>
      <c r="G99" t="s">
        <v>45</v>
      </c>
      <c r="H99" s="2">
        <v>0.38541666666666669</v>
      </c>
      <c r="I99" s="2">
        <v>0.99861111111111112</v>
      </c>
      <c r="J99" t="s">
        <v>101</v>
      </c>
      <c r="L99" t="s">
        <v>47</v>
      </c>
      <c r="M99" t="s">
        <v>785</v>
      </c>
      <c r="N99" t="s">
        <v>905</v>
      </c>
      <c r="O99">
        <v>5950885</v>
      </c>
      <c r="Q99" t="s">
        <v>665</v>
      </c>
      <c r="R99" t="s">
        <v>67</v>
      </c>
      <c r="S99" t="s">
        <v>52</v>
      </c>
      <c r="U99">
        <v>890256</v>
      </c>
      <c r="V99" s="3">
        <v>46042.432638888888</v>
      </c>
      <c r="W99" t="s">
        <v>906</v>
      </c>
      <c r="X99" t="s">
        <v>907</v>
      </c>
      <c r="Y99" t="str">
        <f>"0421650139"</f>
        <v>0421650139</v>
      </c>
      <c r="Z99" t="s">
        <v>908</v>
      </c>
      <c r="AB99" t="s">
        <v>662</v>
      </c>
      <c r="AC99" t="s">
        <v>663</v>
      </c>
      <c r="AD99" t="s">
        <v>61</v>
      </c>
      <c r="AE99" t="s">
        <v>664</v>
      </c>
      <c r="AF99">
        <v>2067</v>
      </c>
      <c r="AG99" t="s">
        <v>665</v>
      </c>
      <c r="AI99" t="s">
        <v>59</v>
      </c>
      <c r="AL99" t="s">
        <v>909</v>
      </c>
      <c r="AN99" s="3">
        <v>46065.761111111111</v>
      </c>
      <c r="AO99" t="s">
        <v>906</v>
      </c>
    </row>
    <row r="100" spans="1:41" x14ac:dyDescent="0.3">
      <c r="A100" t="s">
        <v>61</v>
      </c>
      <c r="B100" t="s">
        <v>62</v>
      </c>
      <c r="C100" t="s">
        <v>43</v>
      </c>
      <c r="D100" t="s">
        <v>63</v>
      </c>
      <c r="E100" s="1">
        <v>46065</v>
      </c>
      <c r="F100" t="s">
        <v>621</v>
      </c>
      <c r="G100" t="s">
        <v>45</v>
      </c>
      <c r="H100" s="2">
        <v>0.39583333333333331</v>
      </c>
      <c r="I100" s="2">
        <v>0.99861111111111112</v>
      </c>
      <c r="J100" t="s">
        <v>46</v>
      </c>
      <c r="L100" t="s">
        <v>47</v>
      </c>
      <c r="M100" t="s">
        <v>64</v>
      </c>
      <c r="N100" t="s">
        <v>65</v>
      </c>
      <c r="O100">
        <v>22580</v>
      </c>
      <c r="Q100" t="s">
        <v>66</v>
      </c>
      <c r="R100" t="s">
        <v>67</v>
      </c>
      <c r="S100" t="s">
        <v>52</v>
      </c>
      <c r="U100">
        <v>890251</v>
      </c>
      <c r="V100" s="3">
        <v>46058.356944444444</v>
      </c>
      <c r="W100" t="s">
        <v>68</v>
      </c>
      <c r="X100" t="s">
        <v>69</v>
      </c>
      <c r="Y100" t="str">
        <f>"0414449015"</f>
        <v>0414449015</v>
      </c>
      <c r="Z100" t="s">
        <v>70</v>
      </c>
      <c r="AB100" t="s">
        <v>71</v>
      </c>
      <c r="AD100" t="s">
        <v>61</v>
      </c>
      <c r="AE100" t="s">
        <v>72</v>
      </c>
      <c r="AF100">
        <v>2747</v>
      </c>
      <c r="AG100" t="s">
        <v>73</v>
      </c>
      <c r="AI100" t="s">
        <v>59</v>
      </c>
      <c r="AL100" t="s">
        <v>910</v>
      </c>
      <c r="AN100" s="3">
        <v>46065.750694444447</v>
      </c>
      <c r="AO100" t="s">
        <v>68</v>
      </c>
    </row>
    <row r="101" spans="1:41" x14ac:dyDescent="0.3">
      <c r="A101" t="s">
        <v>61</v>
      </c>
      <c r="B101" t="s">
        <v>62</v>
      </c>
      <c r="C101" t="s">
        <v>100</v>
      </c>
      <c r="D101" t="s">
        <v>63</v>
      </c>
      <c r="E101" s="1">
        <v>46065</v>
      </c>
      <c r="F101" t="s">
        <v>621</v>
      </c>
      <c r="G101" t="s">
        <v>45</v>
      </c>
      <c r="H101" s="2">
        <v>0.41666666666666669</v>
      </c>
      <c r="I101" s="2">
        <v>0.77083333333333337</v>
      </c>
      <c r="J101" t="s">
        <v>100</v>
      </c>
      <c r="L101" t="s">
        <v>100</v>
      </c>
      <c r="M101" t="s">
        <v>101</v>
      </c>
      <c r="N101" t="s">
        <v>102</v>
      </c>
      <c r="O101">
        <v>27</v>
      </c>
      <c r="Q101" t="s">
        <v>103</v>
      </c>
      <c r="R101" t="s">
        <v>67</v>
      </c>
      <c r="S101" t="s">
        <v>52</v>
      </c>
      <c r="U101">
        <v>890255</v>
      </c>
      <c r="V101" s="3">
        <v>46034.648611111108</v>
      </c>
      <c r="W101" t="s">
        <v>104</v>
      </c>
      <c r="X101" t="s">
        <v>105</v>
      </c>
      <c r="Y101" t="str">
        <f>"0403748369"</f>
        <v>0403748369</v>
      </c>
      <c r="Z101" t="s">
        <v>911</v>
      </c>
      <c r="AB101" t="s">
        <v>71</v>
      </c>
      <c r="AD101" t="s">
        <v>61</v>
      </c>
      <c r="AE101" t="s">
        <v>72</v>
      </c>
      <c r="AF101">
        <v>2747</v>
      </c>
      <c r="AG101" t="s">
        <v>107</v>
      </c>
      <c r="AI101" t="s">
        <v>59</v>
      </c>
      <c r="AL101" t="s">
        <v>631</v>
      </c>
      <c r="AN101" s="3">
        <v>46065.758333333331</v>
      </c>
      <c r="AO101" t="s">
        <v>104</v>
      </c>
    </row>
    <row r="102" spans="1:41" x14ac:dyDescent="0.3">
      <c r="A102" t="s">
        <v>61</v>
      </c>
      <c r="B102" t="s">
        <v>912</v>
      </c>
      <c r="C102" t="s">
        <v>913</v>
      </c>
      <c r="D102" t="s">
        <v>184</v>
      </c>
      <c r="E102" s="1">
        <v>46065</v>
      </c>
      <c r="F102" t="s">
        <v>621</v>
      </c>
      <c r="G102" t="s">
        <v>45</v>
      </c>
      <c r="H102" s="2">
        <v>0.41666666666666669</v>
      </c>
      <c r="I102" s="2">
        <v>0.99861111111111112</v>
      </c>
      <c r="J102" t="s">
        <v>46</v>
      </c>
      <c r="L102" t="s">
        <v>47</v>
      </c>
      <c r="M102" t="s">
        <v>914</v>
      </c>
      <c r="N102" t="s">
        <v>915</v>
      </c>
      <c r="O102">
        <v>5951931</v>
      </c>
      <c r="Q102" t="s">
        <v>916</v>
      </c>
      <c r="R102" t="s">
        <v>132</v>
      </c>
      <c r="S102" t="s">
        <v>52</v>
      </c>
      <c r="U102">
        <v>890258</v>
      </c>
      <c r="V102" s="3">
        <v>46058.480555555558</v>
      </c>
      <c r="W102" t="s">
        <v>917</v>
      </c>
      <c r="X102" t="s">
        <v>918</v>
      </c>
      <c r="Y102" t="str">
        <f>"0402155331"</f>
        <v>0402155331</v>
      </c>
      <c r="Z102" t="s">
        <v>919</v>
      </c>
      <c r="AB102" t="s">
        <v>920</v>
      </c>
      <c r="AC102" t="s">
        <v>921</v>
      </c>
      <c r="AD102" t="s">
        <v>61</v>
      </c>
      <c r="AE102" t="s">
        <v>922</v>
      </c>
      <c r="AF102">
        <v>2228</v>
      </c>
      <c r="AG102" t="s">
        <v>923</v>
      </c>
      <c r="AI102" t="s">
        <v>59</v>
      </c>
      <c r="AL102" t="s">
        <v>631</v>
      </c>
      <c r="AN102" s="3">
        <v>46065.769444444442</v>
      </c>
      <c r="AO102" t="s">
        <v>917</v>
      </c>
    </row>
    <row r="103" spans="1:41" x14ac:dyDescent="0.3">
      <c r="A103" t="s">
        <v>75</v>
      </c>
      <c r="B103" t="s">
        <v>76</v>
      </c>
      <c r="C103" t="s">
        <v>43</v>
      </c>
      <c r="D103" t="s">
        <v>63</v>
      </c>
      <c r="E103" s="1">
        <v>46065</v>
      </c>
      <c r="F103" t="s">
        <v>621</v>
      </c>
      <c r="G103" t="s">
        <v>45</v>
      </c>
      <c r="H103" s="2">
        <v>0.45833333333333331</v>
      </c>
      <c r="I103" s="2">
        <v>0.89583333333333337</v>
      </c>
      <c r="J103" t="s">
        <v>46</v>
      </c>
      <c r="K103" t="s">
        <v>77</v>
      </c>
      <c r="L103" t="s">
        <v>47</v>
      </c>
      <c r="M103" t="s">
        <v>924</v>
      </c>
      <c r="N103" t="s">
        <v>925</v>
      </c>
      <c r="O103">
        <v>5951405</v>
      </c>
      <c r="Q103" t="s">
        <v>80</v>
      </c>
      <c r="R103" t="s">
        <v>926</v>
      </c>
      <c r="S103" t="s">
        <v>52</v>
      </c>
      <c r="U103">
        <v>890288</v>
      </c>
      <c r="V103" s="3">
        <v>46059.650694444441</v>
      </c>
      <c r="W103" t="s">
        <v>927</v>
      </c>
      <c r="X103" t="s">
        <v>928</v>
      </c>
      <c r="Y103" t="str">
        <f>"0406099115"</f>
        <v>0406099115</v>
      </c>
      <c r="Z103" t="s">
        <v>70</v>
      </c>
      <c r="AA103" s="1">
        <v>46065</v>
      </c>
      <c r="AB103" t="s">
        <v>85</v>
      </c>
      <c r="AD103" t="s">
        <v>75</v>
      </c>
      <c r="AE103" t="s">
        <v>86</v>
      </c>
      <c r="AF103">
        <v>6000</v>
      </c>
      <c r="AG103" t="s">
        <v>80</v>
      </c>
      <c r="AI103" t="s">
        <v>59</v>
      </c>
      <c r="AL103" t="s">
        <v>87</v>
      </c>
      <c r="AN103" s="3">
        <v>46065.950694444444</v>
      </c>
      <c r="AO103" t="s">
        <v>927</v>
      </c>
    </row>
    <row r="104" spans="1:41" x14ac:dyDescent="0.3">
      <c r="A104" t="s">
        <v>61</v>
      </c>
      <c r="B104" t="s">
        <v>929</v>
      </c>
      <c r="C104" t="s">
        <v>929</v>
      </c>
      <c r="D104" t="s">
        <v>309</v>
      </c>
      <c r="E104" s="1">
        <v>46065</v>
      </c>
      <c r="F104" t="s">
        <v>621</v>
      </c>
      <c r="G104" t="s">
        <v>45</v>
      </c>
      <c r="H104" s="2">
        <v>0.48958333333333331</v>
      </c>
      <c r="I104" s="2">
        <v>0.65625</v>
      </c>
      <c r="J104" t="s">
        <v>930</v>
      </c>
      <c r="L104" t="s">
        <v>931</v>
      </c>
      <c r="M104" t="s">
        <v>932</v>
      </c>
      <c r="N104" t="s">
        <v>933</v>
      </c>
      <c r="O104">
        <v>5952462</v>
      </c>
      <c r="P104" t="s">
        <v>934</v>
      </c>
      <c r="Q104" t="s">
        <v>935</v>
      </c>
      <c r="R104" t="s">
        <v>67</v>
      </c>
      <c r="S104" t="s">
        <v>119</v>
      </c>
      <c r="T104" t="s">
        <v>414</v>
      </c>
      <c r="V104" s="3">
        <v>46065.427777777775</v>
      </c>
      <c r="W104" t="s">
        <v>936</v>
      </c>
      <c r="X104" t="s">
        <v>937</v>
      </c>
      <c r="Y104" t="str">
        <f>"9999999999"</f>
        <v>9999999999</v>
      </c>
      <c r="Z104" t="s">
        <v>70</v>
      </c>
      <c r="AA104" s="1">
        <v>46065</v>
      </c>
      <c r="AB104" t="s">
        <v>938</v>
      </c>
      <c r="AD104" t="s">
        <v>61</v>
      </c>
      <c r="AE104" t="s">
        <v>939</v>
      </c>
      <c r="AF104">
        <v>2085</v>
      </c>
      <c r="AG104" t="s">
        <v>940</v>
      </c>
      <c r="AI104" t="s">
        <v>59</v>
      </c>
      <c r="AL104" t="s">
        <v>941</v>
      </c>
      <c r="AN104" s="3">
        <v>46065.429166666669</v>
      </c>
      <c r="AO104" t="s">
        <v>67</v>
      </c>
    </row>
    <row r="105" spans="1:41" x14ac:dyDescent="0.3">
      <c r="A105" t="s">
        <v>168</v>
      </c>
      <c r="B105" t="s">
        <v>441</v>
      </c>
      <c r="C105" t="s">
        <v>43</v>
      </c>
      <c r="E105" s="1">
        <v>46065</v>
      </c>
      <c r="F105" t="s">
        <v>621</v>
      </c>
      <c r="G105" t="s">
        <v>128</v>
      </c>
      <c r="H105" s="2">
        <v>0.5</v>
      </c>
      <c r="I105" s="2">
        <v>0.85416666666666663</v>
      </c>
      <c r="J105" t="s">
        <v>185</v>
      </c>
      <c r="K105" t="s">
        <v>678</v>
      </c>
      <c r="L105" t="s">
        <v>186</v>
      </c>
      <c r="M105" t="s">
        <v>942</v>
      </c>
      <c r="N105" t="s">
        <v>943</v>
      </c>
      <c r="O105">
        <v>5950867</v>
      </c>
      <c r="Q105" t="s">
        <v>944</v>
      </c>
      <c r="R105" t="s">
        <v>500</v>
      </c>
      <c r="S105" t="s">
        <v>52</v>
      </c>
      <c r="U105">
        <v>890276</v>
      </c>
      <c r="V105" s="3">
        <v>46050.968055555553</v>
      </c>
      <c r="W105" t="s">
        <v>945</v>
      </c>
      <c r="X105" t="s">
        <v>946</v>
      </c>
      <c r="Y105" t="str">
        <f>"0413415810"</f>
        <v>0413415810</v>
      </c>
      <c r="Z105" t="s">
        <v>947</v>
      </c>
      <c r="AA105" s="1">
        <v>46065</v>
      </c>
      <c r="AB105" t="s">
        <v>448</v>
      </c>
      <c r="AD105" t="s">
        <v>168</v>
      </c>
      <c r="AE105" t="s">
        <v>180</v>
      </c>
      <c r="AF105">
        <v>5063</v>
      </c>
      <c r="AG105" t="s">
        <v>944</v>
      </c>
      <c r="AI105" t="s">
        <v>59</v>
      </c>
      <c r="AL105" t="s">
        <v>948</v>
      </c>
      <c r="AN105" s="3">
        <v>46065.853472222225</v>
      </c>
      <c r="AO105" t="s">
        <v>945</v>
      </c>
    </row>
    <row r="106" spans="1:41" x14ac:dyDescent="0.3">
      <c r="A106" t="s">
        <v>61</v>
      </c>
      <c r="B106" t="s">
        <v>62</v>
      </c>
      <c r="C106" t="s">
        <v>43</v>
      </c>
      <c r="D106" t="s">
        <v>63</v>
      </c>
      <c r="E106" s="1">
        <v>46065</v>
      </c>
      <c r="F106" t="s">
        <v>621</v>
      </c>
      <c r="G106" t="s">
        <v>128</v>
      </c>
      <c r="H106" s="2">
        <v>0.5</v>
      </c>
      <c r="I106" s="2">
        <v>0.99861111111111112</v>
      </c>
      <c r="J106" t="s">
        <v>101</v>
      </c>
      <c r="L106" t="s">
        <v>159</v>
      </c>
      <c r="M106" t="s">
        <v>949</v>
      </c>
      <c r="N106" t="s">
        <v>950</v>
      </c>
      <c r="O106">
        <v>21975</v>
      </c>
      <c r="Q106" t="s">
        <v>66</v>
      </c>
      <c r="R106" t="s">
        <v>67</v>
      </c>
      <c r="S106" t="s">
        <v>52</v>
      </c>
      <c r="U106">
        <v>890260</v>
      </c>
      <c r="V106" s="3">
        <v>46058.357638888891</v>
      </c>
      <c r="W106" t="s">
        <v>951</v>
      </c>
      <c r="X106" t="s">
        <v>952</v>
      </c>
      <c r="Y106" t="str">
        <f>"0412930014"</f>
        <v>0412930014</v>
      </c>
      <c r="Z106" t="s">
        <v>70</v>
      </c>
      <c r="AB106" t="s">
        <v>71</v>
      </c>
      <c r="AD106" t="s">
        <v>61</v>
      </c>
      <c r="AE106" t="s">
        <v>72</v>
      </c>
      <c r="AF106">
        <v>2747</v>
      </c>
      <c r="AG106" t="s">
        <v>73</v>
      </c>
      <c r="AI106" t="s">
        <v>59</v>
      </c>
      <c r="AL106" t="s">
        <v>953</v>
      </c>
      <c r="AN106" s="3">
        <v>46065.78402777778</v>
      </c>
      <c r="AO106" t="s">
        <v>951</v>
      </c>
    </row>
    <row r="107" spans="1:41" x14ac:dyDescent="0.3">
      <c r="A107" t="s">
        <v>75</v>
      </c>
      <c r="B107" t="s">
        <v>76</v>
      </c>
      <c r="C107" t="s">
        <v>43</v>
      </c>
      <c r="D107" t="s">
        <v>63</v>
      </c>
      <c r="E107" s="1">
        <v>46065</v>
      </c>
      <c r="F107" t="s">
        <v>621</v>
      </c>
      <c r="G107" t="s">
        <v>128</v>
      </c>
      <c r="H107" s="2">
        <v>0.5</v>
      </c>
      <c r="I107" s="2">
        <v>0.89583333333333337</v>
      </c>
      <c r="J107" t="s">
        <v>46</v>
      </c>
      <c r="L107" t="s">
        <v>47</v>
      </c>
      <c r="M107" t="s">
        <v>954</v>
      </c>
      <c r="N107" t="s">
        <v>955</v>
      </c>
      <c r="O107">
        <v>5952037</v>
      </c>
      <c r="Q107" t="s">
        <v>956</v>
      </c>
      <c r="R107" t="s">
        <v>556</v>
      </c>
      <c r="S107" t="s">
        <v>52</v>
      </c>
      <c r="U107">
        <v>890286</v>
      </c>
      <c r="V107" s="3">
        <v>46064.036805555559</v>
      </c>
      <c r="W107" t="s">
        <v>957</v>
      </c>
      <c r="X107" t="s">
        <v>958</v>
      </c>
      <c r="Y107" t="str">
        <f>"0452457162"</f>
        <v>0452457162</v>
      </c>
      <c r="Z107" t="s">
        <v>70</v>
      </c>
      <c r="AA107" s="1">
        <v>46065</v>
      </c>
      <c r="AB107" t="s">
        <v>85</v>
      </c>
      <c r="AD107" t="s">
        <v>75</v>
      </c>
      <c r="AE107" t="s">
        <v>86</v>
      </c>
      <c r="AF107">
        <v>6000</v>
      </c>
      <c r="AG107" t="s">
        <v>197</v>
      </c>
      <c r="AI107" t="s">
        <v>59</v>
      </c>
      <c r="AL107" t="s">
        <v>959</v>
      </c>
      <c r="AN107" s="3">
        <v>46065.930555555555</v>
      </c>
      <c r="AO107" t="s">
        <v>957</v>
      </c>
    </row>
    <row r="108" spans="1:41" x14ac:dyDescent="0.3">
      <c r="A108" t="s">
        <v>61</v>
      </c>
      <c r="B108" t="s">
        <v>912</v>
      </c>
      <c r="C108" t="s">
        <v>913</v>
      </c>
      <c r="D108" t="s">
        <v>184</v>
      </c>
      <c r="E108" s="1">
        <v>46065</v>
      </c>
      <c r="F108" t="s">
        <v>621</v>
      </c>
      <c r="G108" t="s">
        <v>128</v>
      </c>
      <c r="H108" s="2">
        <v>0.5</v>
      </c>
      <c r="I108" s="2">
        <v>0.99861111111111112</v>
      </c>
      <c r="J108" t="s">
        <v>46</v>
      </c>
      <c r="L108" t="s">
        <v>298</v>
      </c>
      <c r="M108" t="s">
        <v>960</v>
      </c>
      <c r="N108" t="s">
        <v>961</v>
      </c>
      <c r="O108">
        <v>5952208</v>
      </c>
      <c r="Q108" t="s">
        <v>916</v>
      </c>
      <c r="R108" t="s">
        <v>132</v>
      </c>
      <c r="S108" t="s">
        <v>52</v>
      </c>
      <c r="U108">
        <v>890284</v>
      </c>
      <c r="V108" s="3">
        <v>46058.480555555558</v>
      </c>
      <c r="W108" t="s">
        <v>962</v>
      </c>
      <c r="X108" t="s">
        <v>963</v>
      </c>
      <c r="Y108" t="str">
        <f>"0427301257"</f>
        <v>0427301257</v>
      </c>
      <c r="Z108" t="s">
        <v>964</v>
      </c>
      <c r="AB108" t="s">
        <v>920</v>
      </c>
      <c r="AC108" t="s">
        <v>921</v>
      </c>
      <c r="AD108" t="s">
        <v>61</v>
      </c>
      <c r="AE108" t="s">
        <v>922</v>
      </c>
      <c r="AF108">
        <v>2228</v>
      </c>
      <c r="AG108" t="s">
        <v>923</v>
      </c>
      <c r="AI108" t="s">
        <v>59</v>
      </c>
      <c r="AL108" t="s">
        <v>631</v>
      </c>
      <c r="AN108" s="3">
        <v>46065.914583333331</v>
      </c>
      <c r="AO108" t="s">
        <v>962</v>
      </c>
    </row>
    <row r="109" spans="1:41" x14ac:dyDescent="0.3">
      <c r="A109" t="s">
        <v>41</v>
      </c>
      <c r="B109" t="s">
        <v>965</v>
      </c>
      <c r="C109" t="s">
        <v>43</v>
      </c>
      <c r="D109" t="s">
        <v>966</v>
      </c>
      <c r="E109" s="1">
        <v>46065</v>
      </c>
      <c r="F109" t="s">
        <v>621</v>
      </c>
      <c r="G109" t="s">
        <v>128</v>
      </c>
      <c r="H109" s="2">
        <v>0.5</v>
      </c>
      <c r="I109" s="2">
        <v>0.72916666666666663</v>
      </c>
      <c r="J109" t="s">
        <v>101</v>
      </c>
      <c r="L109" t="s">
        <v>967</v>
      </c>
      <c r="M109" t="s">
        <v>968</v>
      </c>
      <c r="N109" t="s">
        <v>969</v>
      </c>
      <c r="O109">
        <v>5952467</v>
      </c>
      <c r="Q109" t="s">
        <v>823</v>
      </c>
      <c r="R109" t="s">
        <v>723</v>
      </c>
      <c r="S109" t="s">
        <v>52</v>
      </c>
      <c r="U109">
        <v>890268</v>
      </c>
      <c r="V109" s="3">
        <v>46058.507638888892</v>
      </c>
      <c r="W109" t="s">
        <v>970</v>
      </c>
      <c r="X109" t="s">
        <v>971</v>
      </c>
      <c r="Y109" t="str">
        <f>"0433979184"</f>
        <v>0433979184</v>
      </c>
      <c r="Z109" t="s">
        <v>70</v>
      </c>
      <c r="AA109" s="1">
        <v>46065</v>
      </c>
      <c r="AB109" t="s">
        <v>972</v>
      </c>
      <c r="AD109" t="s">
        <v>41</v>
      </c>
      <c r="AE109" t="s">
        <v>973</v>
      </c>
      <c r="AF109">
        <v>4068</v>
      </c>
      <c r="AG109" t="s">
        <v>823</v>
      </c>
      <c r="AI109" t="s">
        <v>59</v>
      </c>
      <c r="AL109" t="s">
        <v>974</v>
      </c>
      <c r="AN109" s="3">
        <v>46065.828472222223</v>
      </c>
      <c r="AO109" t="s">
        <v>970</v>
      </c>
    </row>
    <row r="110" spans="1:41" x14ac:dyDescent="0.3">
      <c r="A110" t="s">
        <v>168</v>
      </c>
      <c r="B110" t="s">
        <v>441</v>
      </c>
      <c r="C110" t="s">
        <v>100</v>
      </c>
      <c r="E110" s="1">
        <v>46065</v>
      </c>
      <c r="F110" t="s">
        <v>621</v>
      </c>
      <c r="G110" t="s">
        <v>128</v>
      </c>
      <c r="H110" s="2">
        <v>0.5</v>
      </c>
      <c r="I110" s="2">
        <v>0.83333333333333337</v>
      </c>
      <c r="J110" t="s">
        <v>100</v>
      </c>
      <c r="L110" t="s">
        <v>100</v>
      </c>
      <c r="M110" t="s">
        <v>975</v>
      </c>
      <c r="N110" t="s">
        <v>976</v>
      </c>
      <c r="O110">
        <v>5950948</v>
      </c>
      <c r="Q110" t="s">
        <v>977</v>
      </c>
      <c r="R110" t="s">
        <v>231</v>
      </c>
      <c r="S110" t="s">
        <v>52</v>
      </c>
      <c r="U110">
        <v>890272</v>
      </c>
      <c r="V110" s="3">
        <v>46029.513888888891</v>
      </c>
      <c r="W110" t="s">
        <v>978</v>
      </c>
      <c r="X110" t="s">
        <v>979</v>
      </c>
      <c r="Y110" t="str">
        <f>"0451011613"</f>
        <v>0451011613</v>
      </c>
      <c r="Z110" t="s">
        <v>980</v>
      </c>
      <c r="AA110" s="1">
        <v>46065</v>
      </c>
      <c r="AB110" t="s">
        <v>448</v>
      </c>
      <c r="AD110" t="s">
        <v>168</v>
      </c>
      <c r="AE110" t="s">
        <v>180</v>
      </c>
      <c r="AF110">
        <v>5063</v>
      </c>
      <c r="AG110" t="s">
        <v>981</v>
      </c>
      <c r="AI110" t="s">
        <v>59</v>
      </c>
      <c r="AL110" t="s">
        <v>948</v>
      </c>
      <c r="AN110" s="3">
        <v>46065.847916666666</v>
      </c>
      <c r="AO110" t="s">
        <v>978</v>
      </c>
    </row>
    <row r="111" spans="1:41" x14ac:dyDescent="0.3">
      <c r="A111" t="s">
        <v>168</v>
      </c>
      <c r="B111" t="s">
        <v>982</v>
      </c>
      <c r="C111" t="s">
        <v>100</v>
      </c>
      <c r="D111" t="s">
        <v>127</v>
      </c>
      <c r="E111" s="1">
        <v>46065</v>
      </c>
      <c r="F111" t="s">
        <v>621</v>
      </c>
      <c r="G111" t="s">
        <v>128</v>
      </c>
      <c r="H111" s="2">
        <v>0.5</v>
      </c>
      <c r="I111" s="2">
        <v>0.83333333333333337</v>
      </c>
      <c r="J111" t="s">
        <v>100</v>
      </c>
      <c r="L111" t="s">
        <v>100</v>
      </c>
      <c r="M111" t="s">
        <v>411</v>
      </c>
      <c r="N111" t="s">
        <v>412</v>
      </c>
      <c r="O111">
        <v>228</v>
      </c>
      <c r="Q111" t="s">
        <v>983</v>
      </c>
      <c r="R111" t="s">
        <v>231</v>
      </c>
      <c r="S111" t="s">
        <v>52</v>
      </c>
      <c r="U111">
        <v>890273</v>
      </c>
      <c r="V111" s="3">
        <v>46030.459027777775</v>
      </c>
      <c r="W111" t="s">
        <v>415</v>
      </c>
      <c r="X111" t="s">
        <v>416</v>
      </c>
      <c r="Y111" t="str">
        <f>"0414869673"</f>
        <v>0414869673</v>
      </c>
      <c r="Z111" t="s">
        <v>984</v>
      </c>
      <c r="AA111" s="1">
        <v>46065</v>
      </c>
      <c r="AB111" t="s">
        <v>985</v>
      </c>
      <c r="AD111" t="s">
        <v>168</v>
      </c>
      <c r="AE111" t="s">
        <v>279</v>
      </c>
      <c r="AF111">
        <v>5092</v>
      </c>
      <c r="AG111" t="s">
        <v>986</v>
      </c>
      <c r="AI111" t="s">
        <v>59</v>
      </c>
      <c r="AL111" t="s">
        <v>987</v>
      </c>
      <c r="AN111" s="3">
        <v>46065.851388888892</v>
      </c>
      <c r="AO111" t="s">
        <v>415</v>
      </c>
    </row>
    <row r="112" spans="1:41" x14ac:dyDescent="0.3">
      <c r="A112" t="s">
        <v>61</v>
      </c>
      <c r="B112" t="s">
        <v>912</v>
      </c>
      <c r="C112" t="s">
        <v>913</v>
      </c>
      <c r="D112" t="s">
        <v>184</v>
      </c>
      <c r="E112" s="1">
        <v>46065</v>
      </c>
      <c r="F112" t="s">
        <v>621</v>
      </c>
      <c r="G112" t="s">
        <v>128</v>
      </c>
      <c r="H112" s="2">
        <v>0.52083333333333337</v>
      </c>
      <c r="I112" s="2">
        <v>0.99861111111111112</v>
      </c>
      <c r="J112" t="s">
        <v>101</v>
      </c>
      <c r="L112" t="s">
        <v>159</v>
      </c>
      <c r="M112" t="s">
        <v>988</v>
      </c>
      <c r="N112" t="s">
        <v>989</v>
      </c>
      <c r="O112">
        <v>21506</v>
      </c>
      <c r="Q112" t="s">
        <v>916</v>
      </c>
      <c r="R112" t="s">
        <v>132</v>
      </c>
      <c r="S112" t="s">
        <v>52</v>
      </c>
      <c r="U112">
        <v>890271</v>
      </c>
      <c r="V112" s="3">
        <v>46065.375694444447</v>
      </c>
      <c r="W112" t="s">
        <v>990</v>
      </c>
      <c r="X112" t="s">
        <v>991</v>
      </c>
      <c r="Y112" t="str">
        <f>"0416493278"</f>
        <v>0416493278</v>
      </c>
      <c r="Z112" t="s">
        <v>70</v>
      </c>
      <c r="AA112" s="1">
        <v>46065</v>
      </c>
      <c r="AB112" t="s">
        <v>920</v>
      </c>
      <c r="AC112" t="s">
        <v>921</v>
      </c>
      <c r="AD112" t="s">
        <v>61</v>
      </c>
      <c r="AE112" t="s">
        <v>922</v>
      </c>
      <c r="AF112">
        <v>2228</v>
      </c>
      <c r="AG112" t="s">
        <v>916</v>
      </c>
      <c r="AI112" t="s">
        <v>59</v>
      </c>
      <c r="AN112" s="3">
        <v>46065.842361111114</v>
      </c>
      <c r="AO112" t="s">
        <v>990</v>
      </c>
    </row>
    <row r="113" spans="1:41" x14ac:dyDescent="0.3">
      <c r="A113" t="s">
        <v>61</v>
      </c>
      <c r="B113" t="s">
        <v>992</v>
      </c>
      <c r="C113" t="s">
        <v>993</v>
      </c>
      <c r="D113" t="s">
        <v>63</v>
      </c>
      <c r="E113" s="1">
        <v>46065</v>
      </c>
      <c r="F113" t="s">
        <v>621</v>
      </c>
      <c r="G113" t="s">
        <v>128</v>
      </c>
      <c r="H113" s="2">
        <v>0.52083333333333337</v>
      </c>
      <c r="I113" s="2">
        <v>0.99861111111111112</v>
      </c>
      <c r="J113" t="s">
        <v>101</v>
      </c>
      <c r="L113" t="s">
        <v>159</v>
      </c>
      <c r="M113" t="s">
        <v>994</v>
      </c>
      <c r="N113" t="s">
        <v>995</v>
      </c>
      <c r="O113">
        <v>5951207</v>
      </c>
      <c r="Q113" t="s">
        <v>996</v>
      </c>
      <c r="R113" t="s">
        <v>500</v>
      </c>
      <c r="S113" t="s">
        <v>52</v>
      </c>
      <c r="U113">
        <v>890247</v>
      </c>
      <c r="V113" s="3">
        <v>46060.6875</v>
      </c>
      <c r="W113" t="s">
        <v>997</v>
      </c>
      <c r="X113" t="s">
        <v>998</v>
      </c>
      <c r="Y113" t="str">
        <f>"0428557393"</f>
        <v>0428557393</v>
      </c>
      <c r="Z113" t="s">
        <v>999</v>
      </c>
      <c r="AB113" t="s">
        <v>1000</v>
      </c>
      <c r="AD113" t="s">
        <v>61</v>
      </c>
      <c r="AE113" t="s">
        <v>1001</v>
      </c>
      <c r="AF113">
        <v>2560</v>
      </c>
      <c r="AG113" t="s">
        <v>996</v>
      </c>
      <c r="AI113" t="s">
        <v>59</v>
      </c>
      <c r="AL113" t="s">
        <v>1002</v>
      </c>
      <c r="AN113" s="3">
        <v>46065.741666666669</v>
      </c>
      <c r="AO113" t="s">
        <v>997</v>
      </c>
    </row>
    <row r="114" spans="1:41" x14ac:dyDescent="0.3">
      <c r="A114" t="s">
        <v>61</v>
      </c>
      <c r="B114" t="s">
        <v>507</v>
      </c>
      <c r="C114" t="s">
        <v>1003</v>
      </c>
      <c r="D114" t="s">
        <v>63</v>
      </c>
      <c r="E114" s="1">
        <v>46065</v>
      </c>
      <c r="F114" t="s">
        <v>621</v>
      </c>
      <c r="G114" t="s">
        <v>128</v>
      </c>
      <c r="H114" s="2">
        <v>0.52083333333333337</v>
      </c>
      <c r="I114" s="2">
        <v>0.99861111111111112</v>
      </c>
      <c r="J114" t="s">
        <v>101</v>
      </c>
      <c r="L114" t="s">
        <v>159</v>
      </c>
      <c r="M114" t="s">
        <v>1004</v>
      </c>
      <c r="N114" t="s">
        <v>1005</v>
      </c>
      <c r="O114">
        <v>5952129</v>
      </c>
      <c r="Q114" t="s">
        <v>1006</v>
      </c>
      <c r="R114" t="s">
        <v>132</v>
      </c>
      <c r="S114" t="s">
        <v>52</v>
      </c>
      <c r="U114">
        <v>890243</v>
      </c>
      <c r="V114" s="3">
        <v>46029.462500000001</v>
      </c>
      <c r="W114" t="s">
        <v>1007</v>
      </c>
      <c r="X114" t="s">
        <v>1008</v>
      </c>
      <c r="Y114" t="str">
        <f>"0422263194"</f>
        <v>0422263194</v>
      </c>
      <c r="Z114" t="s">
        <v>1009</v>
      </c>
      <c r="AB114" t="s">
        <v>514</v>
      </c>
      <c r="AD114" t="s">
        <v>61</v>
      </c>
      <c r="AE114" t="s">
        <v>515</v>
      </c>
      <c r="AF114">
        <v>2086</v>
      </c>
      <c r="AG114" t="s">
        <v>783</v>
      </c>
      <c r="AI114" t="s">
        <v>59</v>
      </c>
      <c r="AL114" t="s">
        <v>1010</v>
      </c>
      <c r="AN114" s="3">
        <v>46065.72152777778</v>
      </c>
      <c r="AO114" t="s">
        <v>1007</v>
      </c>
    </row>
    <row r="115" spans="1:41" x14ac:dyDescent="0.3">
      <c r="A115" t="s">
        <v>41</v>
      </c>
      <c r="B115" t="s">
        <v>244</v>
      </c>
      <c r="C115" t="s">
        <v>245</v>
      </c>
      <c r="D115" t="s">
        <v>246</v>
      </c>
      <c r="E115" s="1">
        <v>46065</v>
      </c>
      <c r="F115" t="s">
        <v>621</v>
      </c>
      <c r="G115" t="s">
        <v>45</v>
      </c>
      <c r="H115" s="2">
        <v>0.52083333333333337</v>
      </c>
      <c r="I115" s="2">
        <v>0.875</v>
      </c>
      <c r="J115" t="s">
        <v>100</v>
      </c>
      <c r="L115" t="s">
        <v>100</v>
      </c>
      <c r="M115" t="s">
        <v>247</v>
      </c>
      <c r="N115" t="s">
        <v>248</v>
      </c>
      <c r="O115">
        <v>20770</v>
      </c>
      <c r="P115" t="s">
        <v>249</v>
      </c>
      <c r="Q115" t="s">
        <v>250</v>
      </c>
      <c r="R115" t="s">
        <v>251</v>
      </c>
      <c r="S115" t="s">
        <v>52</v>
      </c>
      <c r="T115" t="s">
        <v>252</v>
      </c>
      <c r="U115">
        <v>890624</v>
      </c>
      <c r="V115" s="3">
        <v>46069.495138888888</v>
      </c>
      <c r="W115" t="s">
        <v>251</v>
      </c>
      <c r="X115" t="s">
        <v>253</v>
      </c>
      <c r="Y115" t="str">
        <f>"0429586658"</f>
        <v>0429586658</v>
      </c>
      <c r="Z115" t="s">
        <v>345</v>
      </c>
      <c r="AA115" s="1">
        <v>46068</v>
      </c>
      <c r="AB115" t="s">
        <v>255</v>
      </c>
      <c r="AD115" t="s">
        <v>41</v>
      </c>
      <c r="AE115" t="s">
        <v>256</v>
      </c>
      <c r="AF115">
        <v>4655</v>
      </c>
      <c r="AG115" t="s">
        <v>257</v>
      </c>
      <c r="AI115" t="s">
        <v>59</v>
      </c>
      <c r="AJ115" t="str">
        <f>"0050076900"</f>
        <v>0050076900</v>
      </c>
      <c r="AN115" s="3">
        <v>46069.495138888888</v>
      </c>
      <c r="AO115" t="s">
        <v>251</v>
      </c>
    </row>
    <row r="116" spans="1:41" x14ac:dyDescent="0.3">
      <c r="A116" t="s">
        <v>168</v>
      </c>
      <c r="B116" t="s">
        <v>215</v>
      </c>
      <c r="C116" t="s">
        <v>43</v>
      </c>
      <c r="D116" t="s">
        <v>127</v>
      </c>
      <c r="E116" s="1">
        <v>46065</v>
      </c>
      <c r="F116" t="s">
        <v>621</v>
      </c>
      <c r="G116" t="s">
        <v>128</v>
      </c>
      <c r="H116" s="2">
        <v>0.52152777777777781</v>
      </c>
      <c r="I116" s="2">
        <v>0.85416666666666663</v>
      </c>
      <c r="J116" t="s">
        <v>1011</v>
      </c>
      <c r="K116" t="s">
        <v>1012</v>
      </c>
      <c r="L116" t="s">
        <v>186</v>
      </c>
      <c r="M116" t="s">
        <v>651</v>
      </c>
      <c r="N116" t="s">
        <v>412</v>
      </c>
      <c r="O116">
        <v>21855</v>
      </c>
      <c r="Q116" t="s">
        <v>219</v>
      </c>
      <c r="R116" t="s">
        <v>176</v>
      </c>
      <c r="S116" t="s">
        <v>52</v>
      </c>
      <c r="U116">
        <v>890250</v>
      </c>
      <c r="V116" s="3">
        <v>46043.797222222223</v>
      </c>
      <c r="W116" t="s">
        <v>652</v>
      </c>
      <c r="X116" t="s">
        <v>653</v>
      </c>
      <c r="Y116" t="str">
        <f>"0407317111"</f>
        <v>0407317111</v>
      </c>
      <c r="Z116" t="s">
        <v>1013</v>
      </c>
      <c r="AB116" t="s">
        <v>222</v>
      </c>
      <c r="AD116" t="s">
        <v>168</v>
      </c>
      <c r="AE116" t="s">
        <v>223</v>
      </c>
      <c r="AF116">
        <v>5069</v>
      </c>
      <c r="AG116" t="s">
        <v>219</v>
      </c>
      <c r="AI116" t="s">
        <v>59</v>
      </c>
      <c r="AL116" t="s">
        <v>87</v>
      </c>
      <c r="AN116" s="3">
        <v>46065.750694444447</v>
      </c>
      <c r="AO116" t="s">
        <v>652</v>
      </c>
    </row>
    <row r="117" spans="1:41" x14ac:dyDescent="0.3">
      <c r="A117" t="s">
        <v>61</v>
      </c>
      <c r="B117" t="s">
        <v>507</v>
      </c>
      <c r="C117" t="s">
        <v>202</v>
      </c>
      <c r="D117" t="s">
        <v>63</v>
      </c>
      <c r="E117" s="1">
        <v>46065</v>
      </c>
      <c r="F117" t="s">
        <v>621</v>
      </c>
      <c r="G117" t="s">
        <v>128</v>
      </c>
      <c r="H117" s="2">
        <v>0.54166666666666663</v>
      </c>
      <c r="I117" s="2">
        <v>0.89583333333333337</v>
      </c>
      <c r="J117" t="s">
        <v>46</v>
      </c>
      <c r="L117" t="s">
        <v>735</v>
      </c>
      <c r="M117" t="s">
        <v>1014</v>
      </c>
      <c r="N117" t="s">
        <v>1015</v>
      </c>
      <c r="O117">
        <v>22831</v>
      </c>
      <c r="Q117" t="s">
        <v>840</v>
      </c>
      <c r="R117" t="s">
        <v>67</v>
      </c>
      <c r="S117" t="s">
        <v>52</v>
      </c>
      <c r="U117">
        <v>890248</v>
      </c>
      <c r="V117" s="3">
        <v>46059.474999999999</v>
      </c>
      <c r="W117" t="s">
        <v>1016</v>
      </c>
      <c r="X117" t="s">
        <v>1017</v>
      </c>
      <c r="Y117" t="str">
        <f>"0466590947"</f>
        <v>0466590947</v>
      </c>
      <c r="Z117" t="s">
        <v>1018</v>
      </c>
      <c r="AB117" t="s">
        <v>514</v>
      </c>
      <c r="AD117" t="s">
        <v>61</v>
      </c>
      <c r="AE117" t="s">
        <v>515</v>
      </c>
      <c r="AF117">
        <v>2086</v>
      </c>
      <c r="AG117" t="s">
        <v>840</v>
      </c>
      <c r="AI117" t="s">
        <v>59</v>
      </c>
      <c r="AL117" t="s">
        <v>1019</v>
      </c>
      <c r="AN117" s="3">
        <v>46065.746527777781</v>
      </c>
      <c r="AO117" t="s">
        <v>1016</v>
      </c>
    </row>
    <row r="118" spans="1:41" x14ac:dyDescent="0.3">
      <c r="A118" t="s">
        <v>168</v>
      </c>
      <c r="B118" t="s">
        <v>282</v>
      </c>
      <c r="C118" t="s">
        <v>43</v>
      </c>
      <c r="D118" t="s">
        <v>283</v>
      </c>
      <c r="E118" s="1">
        <v>46065</v>
      </c>
      <c r="F118" t="s">
        <v>621</v>
      </c>
      <c r="G118" t="s">
        <v>128</v>
      </c>
      <c r="H118" s="2">
        <v>0.54166666666666663</v>
      </c>
      <c r="I118" s="2">
        <v>0.75</v>
      </c>
      <c r="J118" t="s">
        <v>258</v>
      </c>
      <c r="K118" t="s">
        <v>834</v>
      </c>
      <c r="L118" t="s">
        <v>186</v>
      </c>
      <c r="M118" t="s">
        <v>835</v>
      </c>
      <c r="N118" t="s">
        <v>836</v>
      </c>
      <c r="O118">
        <v>22947</v>
      </c>
      <c r="Q118" t="s">
        <v>294</v>
      </c>
      <c r="R118" t="s">
        <v>208</v>
      </c>
      <c r="S118" t="s">
        <v>52</v>
      </c>
      <c r="U118">
        <v>890242</v>
      </c>
      <c r="V118" s="3">
        <v>46063.856944444444</v>
      </c>
      <c r="W118" t="s">
        <v>837</v>
      </c>
      <c r="X118" t="s">
        <v>838</v>
      </c>
      <c r="Y118" t="str">
        <f>"0415626656"</f>
        <v>0415626656</v>
      </c>
      <c r="Z118" t="s">
        <v>503</v>
      </c>
      <c r="AB118" t="s">
        <v>291</v>
      </c>
      <c r="AC118" t="s">
        <v>292</v>
      </c>
      <c r="AD118" t="s">
        <v>168</v>
      </c>
      <c r="AE118" t="s">
        <v>293</v>
      </c>
      <c r="AF118">
        <v>5037</v>
      </c>
      <c r="AG118" t="s">
        <v>294</v>
      </c>
      <c r="AI118" t="s">
        <v>59</v>
      </c>
      <c r="AL118" t="s">
        <v>1020</v>
      </c>
      <c r="AN118" s="3">
        <v>46065.720833333333</v>
      </c>
      <c r="AO118" t="s">
        <v>837</v>
      </c>
    </row>
    <row r="119" spans="1:41" x14ac:dyDescent="0.3">
      <c r="A119" t="s">
        <v>168</v>
      </c>
      <c r="B119" t="s">
        <v>1021</v>
      </c>
      <c r="C119" t="s">
        <v>216</v>
      </c>
      <c r="D119" t="s">
        <v>127</v>
      </c>
      <c r="E119" s="1">
        <v>46065</v>
      </c>
      <c r="F119" t="s">
        <v>621</v>
      </c>
      <c r="G119" t="s">
        <v>128</v>
      </c>
      <c r="H119" s="2">
        <v>0.54166666666666663</v>
      </c>
      <c r="I119" s="2">
        <v>0.875</v>
      </c>
      <c r="J119" t="s">
        <v>101</v>
      </c>
      <c r="K119" t="s">
        <v>1022</v>
      </c>
      <c r="L119" t="s">
        <v>159</v>
      </c>
      <c r="M119" t="s">
        <v>1023</v>
      </c>
      <c r="N119" t="s">
        <v>1024</v>
      </c>
      <c r="O119">
        <v>22730</v>
      </c>
      <c r="Q119" t="s">
        <v>1025</v>
      </c>
      <c r="R119" t="s">
        <v>1026</v>
      </c>
      <c r="S119" t="s">
        <v>52</v>
      </c>
      <c r="U119">
        <v>890278</v>
      </c>
      <c r="V119" s="3">
        <v>46059.820138888892</v>
      </c>
      <c r="W119" t="s">
        <v>1027</v>
      </c>
      <c r="X119" t="s">
        <v>1028</v>
      </c>
      <c r="Y119" t="str">
        <f>"0402354674"</f>
        <v>0402354674</v>
      </c>
      <c r="Z119" t="s">
        <v>550</v>
      </c>
      <c r="AB119" t="s">
        <v>1029</v>
      </c>
      <c r="AD119" t="s">
        <v>168</v>
      </c>
      <c r="AE119" t="s">
        <v>1030</v>
      </c>
      <c r="AF119">
        <v>5022</v>
      </c>
      <c r="AI119" t="s">
        <v>59</v>
      </c>
      <c r="AL119" t="s">
        <v>1031</v>
      </c>
      <c r="AM119" t="s">
        <v>1032</v>
      </c>
      <c r="AN119" s="3">
        <v>46065.856944444444</v>
      </c>
      <c r="AO119" t="s">
        <v>1027</v>
      </c>
    </row>
    <row r="120" spans="1:41" x14ac:dyDescent="0.3">
      <c r="A120" t="s">
        <v>168</v>
      </c>
      <c r="B120" t="s">
        <v>1021</v>
      </c>
      <c r="C120" t="s">
        <v>216</v>
      </c>
      <c r="D120" t="s">
        <v>127</v>
      </c>
      <c r="E120" s="1">
        <v>46065</v>
      </c>
      <c r="F120" t="s">
        <v>621</v>
      </c>
      <c r="G120" t="s">
        <v>128</v>
      </c>
      <c r="H120" s="2">
        <v>0.54166666666666663</v>
      </c>
      <c r="I120" s="2">
        <v>0.875</v>
      </c>
      <c r="J120" t="s">
        <v>101</v>
      </c>
      <c r="L120" t="s">
        <v>159</v>
      </c>
      <c r="M120" t="s">
        <v>1033</v>
      </c>
      <c r="N120" t="s">
        <v>1034</v>
      </c>
      <c r="O120">
        <v>5952456</v>
      </c>
      <c r="Q120" t="s">
        <v>1025</v>
      </c>
      <c r="R120" t="s">
        <v>1026</v>
      </c>
      <c r="S120" t="s">
        <v>52</v>
      </c>
      <c r="U120">
        <v>890270</v>
      </c>
      <c r="V120" s="3">
        <v>46059.820138888892</v>
      </c>
      <c r="W120" t="s">
        <v>1035</v>
      </c>
      <c r="X120" t="s">
        <v>1036</v>
      </c>
      <c r="Y120" t="str">
        <f>"0431375216"</f>
        <v>0431375216</v>
      </c>
      <c r="Z120" t="s">
        <v>503</v>
      </c>
      <c r="AB120" t="s">
        <v>1029</v>
      </c>
      <c r="AD120" t="s">
        <v>168</v>
      </c>
      <c r="AE120" t="s">
        <v>1030</v>
      </c>
      <c r="AF120">
        <v>5022</v>
      </c>
      <c r="AI120" t="s">
        <v>59</v>
      </c>
      <c r="AL120" t="s">
        <v>1037</v>
      </c>
      <c r="AN120" s="3">
        <v>46065.831250000003</v>
      </c>
      <c r="AO120" t="s">
        <v>1035</v>
      </c>
    </row>
    <row r="121" spans="1:41" x14ac:dyDescent="0.3">
      <c r="A121" t="s">
        <v>168</v>
      </c>
      <c r="B121" t="s">
        <v>336</v>
      </c>
      <c r="C121" t="s">
        <v>337</v>
      </c>
      <c r="D121" t="s">
        <v>268</v>
      </c>
      <c r="E121" s="1">
        <v>46065</v>
      </c>
      <c r="F121" t="s">
        <v>621</v>
      </c>
      <c r="G121" t="s">
        <v>128</v>
      </c>
      <c r="H121" s="2">
        <v>0.54166666666666663</v>
      </c>
      <c r="I121" s="2">
        <v>0.89583333333333337</v>
      </c>
      <c r="J121" t="s">
        <v>296</v>
      </c>
      <c r="K121" t="s">
        <v>338</v>
      </c>
      <c r="L121" t="s">
        <v>339</v>
      </c>
      <c r="M121" t="s">
        <v>340</v>
      </c>
      <c r="N121" t="s">
        <v>341</v>
      </c>
      <c r="O121">
        <v>5951711</v>
      </c>
      <c r="P121" t="s">
        <v>338</v>
      </c>
      <c r="Q121" t="s">
        <v>342</v>
      </c>
      <c r="R121" t="s">
        <v>176</v>
      </c>
      <c r="S121" t="s">
        <v>52</v>
      </c>
      <c r="U121">
        <v>890279</v>
      </c>
      <c r="V121" s="3">
        <v>46050.415277777778</v>
      </c>
      <c r="W121" t="s">
        <v>343</v>
      </c>
      <c r="X121" t="s">
        <v>344</v>
      </c>
      <c r="Y121" t="str">
        <f>"0422996486"</f>
        <v>0422996486</v>
      </c>
      <c r="Z121" t="s">
        <v>290</v>
      </c>
      <c r="AB121" t="s">
        <v>346</v>
      </c>
      <c r="AD121" t="s">
        <v>168</v>
      </c>
      <c r="AE121" t="s">
        <v>347</v>
      </c>
      <c r="AF121">
        <v>5042</v>
      </c>
      <c r="AG121" t="s">
        <v>342</v>
      </c>
      <c r="AI121" t="s">
        <v>59</v>
      </c>
      <c r="AL121" t="s">
        <v>1038</v>
      </c>
      <c r="AM121" t="s">
        <v>349</v>
      </c>
      <c r="AN121" s="3">
        <v>46065.87777777778</v>
      </c>
      <c r="AO121" t="s">
        <v>343</v>
      </c>
    </row>
    <row r="122" spans="1:41" x14ac:dyDescent="0.3">
      <c r="A122" t="s">
        <v>61</v>
      </c>
      <c r="B122" t="s">
        <v>182</v>
      </c>
      <c r="C122" t="s">
        <v>100</v>
      </c>
      <c r="D122" t="s">
        <v>184</v>
      </c>
      <c r="E122" s="1">
        <v>46065</v>
      </c>
      <c r="F122" t="s">
        <v>621</v>
      </c>
      <c r="G122" t="s">
        <v>128</v>
      </c>
      <c r="H122" s="2">
        <v>0.54166666666666663</v>
      </c>
      <c r="I122" s="2">
        <v>0.89583333333333337</v>
      </c>
      <c r="J122" t="s">
        <v>100</v>
      </c>
      <c r="L122" t="s">
        <v>100</v>
      </c>
      <c r="M122" t="s">
        <v>1039</v>
      </c>
      <c r="N122" t="s">
        <v>1040</v>
      </c>
      <c r="O122">
        <v>5951110</v>
      </c>
      <c r="Q122" t="s">
        <v>1041</v>
      </c>
      <c r="R122" t="s">
        <v>67</v>
      </c>
      <c r="S122" t="s">
        <v>52</v>
      </c>
      <c r="U122">
        <v>890274</v>
      </c>
      <c r="V122" s="3">
        <v>46044.34097222222</v>
      </c>
      <c r="W122" t="s">
        <v>1042</v>
      </c>
      <c r="X122" t="s">
        <v>1043</v>
      </c>
      <c r="Y122" t="str">
        <f>"0424952006"</f>
        <v>0424952006</v>
      </c>
      <c r="Z122" t="s">
        <v>1044</v>
      </c>
      <c r="AB122" t="s">
        <v>193</v>
      </c>
      <c r="AD122" t="s">
        <v>61</v>
      </c>
      <c r="AE122" t="s">
        <v>194</v>
      </c>
      <c r="AF122">
        <v>2229</v>
      </c>
      <c r="AG122" t="s">
        <v>1045</v>
      </c>
      <c r="AI122" t="s">
        <v>59</v>
      </c>
      <c r="AL122" t="s">
        <v>631</v>
      </c>
      <c r="AN122" s="3">
        <v>46065.852083333331</v>
      </c>
      <c r="AO122" t="s">
        <v>1042</v>
      </c>
    </row>
    <row r="123" spans="1:41" x14ac:dyDescent="0.3">
      <c r="A123" t="s">
        <v>306</v>
      </c>
      <c r="B123" t="s">
        <v>450</v>
      </c>
      <c r="C123" t="s">
        <v>100</v>
      </c>
      <c r="D123" t="s">
        <v>63</v>
      </c>
      <c r="E123" s="1">
        <v>46076</v>
      </c>
      <c r="F123" t="s">
        <v>569</v>
      </c>
      <c r="G123" t="s">
        <v>45</v>
      </c>
      <c r="H123" s="2">
        <v>0.375</v>
      </c>
      <c r="I123" s="2">
        <v>0.625</v>
      </c>
      <c r="J123" t="s">
        <v>451</v>
      </c>
      <c r="L123" t="s">
        <v>100</v>
      </c>
      <c r="M123" t="s">
        <v>1046</v>
      </c>
      <c r="N123" t="s">
        <v>1047</v>
      </c>
      <c r="O123">
        <v>5951333</v>
      </c>
      <c r="Q123" t="s">
        <v>1048</v>
      </c>
      <c r="R123" t="s">
        <v>476</v>
      </c>
      <c r="S123" t="s">
        <v>52</v>
      </c>
      <c r="U123">
        <v>891485</v>
      </c>
      <c r="V123" s="3">
        <v>46072.561805555553</v>
      </c>
      <c r="W123" t="s">
        <v>1049</v>
      </c>
      <c r="X123" t="s">
        <v>1050</v>
      </c>
      <c r="Y123" t="str">
        <f>"0404089564"</f>
        <v>0404089564</v>
      </c>
      <c r="Z123" t="s">
        <v>70</v>
      </c>
      <c r="AA123" s="1">
        <v>46076</v>
      </c>
      <c r="AB123" t="s">
        <v>459</v>
      </c>
      <c r="AD123" t="s">
        <v>306</v>
      </c>
      <c r="AE123" t="s">
        <v>460</v>
      </c>
      <c r="AF123">
        <v>3058</v>
      </c>
      <c r="AG123" t="s">
        <v>455</v>
      </c>
      <c r="AI123" t="s">
        <v>59</v>
      </c>
      <c r="AL123" t="s">
        <v>87</v>
      </c>
      <c r="AN123" s="3">
        <v>46076.622916666667</v>
      </c>
      <c r="AO123" t="s">
        <v>1049</v>
      </c>
    </row>
    <row r="124" spans="1:41" x14ac:dyDescent="0.3">
      <c r="A124" t="s">
        <v>61</v>
      </c>
      <c r="B124" t="s">
        <v>62</v>
      </c>
      <c r="C124" t="s">
        <v>100</v>
      </c>
      <c r="D124" t="s">
        <v>63</v>
      </c>
      <c r="E124" s="1">
        <v>46076</v>
      </c>
      <c r="F124" t="s">
        <v>569</v>
      </c>
      <c r="G124" t="s">
        <v>45</v>
      </c>
      <c r="H124" s="2">
        <v>0.41666666666666669</v>
      </c>
      <c r="I124" s="2">
        <v>0.77083333333333337</v>
      </c>
      <c r="J124" t="s">
        <v>100</v>
      </c>
      <c r="L124" t="s">
        <v>100</v>
      </c>
      <c r="M124" t="s">
        <v>101</v>
      </c>
      <c r="N124" t="s">
        <v>102</v>
      </c>
      <c r="O124">
        <v>27</v>
      </c>
      <c r="Q124" t="s">
        <v>1051</v>
      </c>
      <c r="R124" t="s">
        <v>132</v>
      </c>
      <c r="S124" t="s">
        <v>52</v>
      </c>
      <c r="U124">
        <v>891526</v>
      </c>
      <c r="V124" s="3">
        <v>46052.632638888892</v>
      </c>
      <c r="W124" t="s">
        <v>104</v>
      </c>
      <c r="X124" t="s">
        <v>105</v>
      </c>
      <c r="Y124" t="str">
        <f>"0403748369"</f>
        <v>0403748369</v>
      </c>
      <c r="Z124" t="s">
        <v>1052</v>
      </c>
      <c r="AB124" t="s">
        <v>71</v>
      </c>
      <c r="AD124" t="s">
        <v>61</v>
      </c>
      <c r="AE124" t="s">
        <v>72</v>
      </c>
      <c r="AF124">
        <v>2747</v>
      </c>
      <c r="AG124" t="s">
        <v>1051</v>
      </c>
      <c r="AI124" t="s">
        <v>59</v>
      </c>
      <c r="AL124" t="s">
        <v>1053</v>
      </c>
      <c r="AN124" s="3">
        <v>46076.801388888889</v>
      </c>
      <c r="AO124" t="s">
        <v>104</v>
      </c>
    </row>
    <row r="125" spans="1:41" x14ac:dyDescent="0.3">
      <c r="A125" t="s">
        <v>61</v>
      </c>
      <c r="B125" t="s">
        <v>182</v>
      </c>
      <c r="C125" t="s">
        <v>202</v>
      </c>
      <c r="D125" t="s">
        <v>184</v>
      </c>
      <c r="E125" s="1">
        <v>46076</v>
      </c>
      <c r="F125" t="s">
        <v>569</v>
      </c>
      <c r="G125" t="s">
        <v>45</v>
      </c>
      <c r="H125" s="2">
        <v>0.47916666666666669</v>
      </c>
      <c r="I125" s="2">
        <v>0.99861111111111112</v>
      </c>
      <c r="J125" t="s">
        <v>46</v>
      </c>
      <c r="L125" t="s">
        <v>298</v>
      </c>
      <c r="M125" t="s">
        <v>960</v>
      </c>
      <c r="N125" t="s">
        <v>961</v>
      </c>
      <c r="O125">
        <v>5952208</v>
      </c>
      <c r="Q125" t="s">
        <v>923</v>
      </c>
      <c r="R125" t="s">
        <v>500</v>
      </c>
      <c r="S125" t="s">
        <v>52</v>
      </c>
      <c r="U125">
        <v>891536</v>
      </c>
      <c r="V125" s="3">
        <v>46075.640277777777</v>
      </c>
      <c r="W125" t="s">
        <v>962</v>
      </c>
      <c r="X125" t="s">
        <v>963</v>
      </c>
      <c r="Y125" t="str">
        <f>"0427301257"</f>
        <v>0427301257</v>
      </c>
      <c r="Z125" t="s">
        <v>70</v>
      </c>
      <c r="AA125" s="1">
        <v>46076</v>
      </c>
      <c r="AB125" t="s">
        <v>193</v>
      </c>
      <c r="AD125" t="s">
        <v>61</v>
      </c>
      <c r="AE125" t="s">
        <v>194</v>
      </c>
      <c r="AF125">
        <v>2229</v>
      </c>
      <c r="AG125" t="s">
        <v>923</v>
      </c>
      <c r="AI125" t="s">
        <v>59</v>
      </c>
      <c r="AL125" t="s">
        <v>87</v>
      </c>
      <c r="AN125" s="3">
        <v>46076.828472222223</v>
      </c>
      <c r="AO125" t="s">
        <v>962</v>
      </c>
    </row>
    <row r="126" spans="1:41" x14ac:dyDescent="0.3">
      <c r="A126" t="s">
        <v>61</v>
      </c>
      <c r="B126" t="s">
        <v>655</v>
      </c>
      <c r="C126" t="s">
        <v>43</v>
      </c>
      <c r="D126" t="s">
        <v>656</v>
      </c>
      <c r="E126" s="1">
        <v>46076</v>
      </c>
      <c r="F126" t="s">
        <v>569</v>
      </c>
      <c r="G126" t="s">
        <v>128</v>
      </c>
      <c r="H126" s="2">
        <v>0.5</v>
      </c>
      <c r="I126" s="2">
        <v>0.99861111111111112</v>
      </c>
      <c r="J126" t="s">
        <v>185</v>
      </c>
      <c r="K126" t="s">
        <v>327</v>
      </c>
      <c r="L126" t="s">
        <v>47</v>
      </c>
      <c r="M126" t="s">
        <v>657</v>
      </c>
      <c r="N126" t="s">
        <v>658</v>
      </c>
      <c r="O126">
        <v>22959</v>
      </c>
      <c r="Q126" t="s">
        <v>665</v>
      </c>
      <c r="R126" t="s">
        <v>556</v>
      </c>
      <c r="S126" t="s">
        <v>52</v>
      </c>
      <c r="U126">
        <v>891524</v>
      </c>
      <c r="V126" s="3">
        <v>46064.98333333333</v>
      </c>
      <c r="W126" t="s">
        <v>660</v>
      </c>
      <c r="X126" t="s">
        <v>661</v>
      </c>
      <c r="Y126" t="str">
        <f>"0451533427"</f>
        <v>0451533427</v>
      </c>
      <c r="Z126" t="s">
        <v>70</v>
      </c>
      <c r="AB126" t="s">
        <v>662</v>
      </c>
      <c r="AC126" t="s">
        <v>663</v>
      </c>
      <c r="AD126" t="s">
        <v>61</v>
      </c>
      <c r="AE126" t="s">
        <v>664</v>
      </c>
      <c r="AF126">
        <v>2067</v>
      </c>
      <c r="AG126" t="s">
        <v>665</v>
      </c>
      <c r="AI126" t="s">
        <v>59</v>
      </c>
      <c r="AL126" t="s">
        <v>1054</v>
      </c>
      <c r="AN126" s="3">
        <v>46076.791666666664</v>
      </c>
      <c r="AO126" t="s">
        <v>660</v>
      </c>
    </row>
    <row r="127" spans="1:41" x14ac:dyDescent="0.3">
      <c r="A127" t="s">
        <v>75</v>
      </c>
      <c r="B127" t="s">
        <v>76</v>
      </c>
      <c r="C127" t="s">
        <v>43</v>
      </c>
      <c r="D127" t="s">
        <v>63</v>
      </c>
      <c r="E127" s="1">
        <v>46076</v>
      </c>
      <c r="F127" t="s">
        <v>569</v>
      </c>
      <c r="G127" t="s">
        <v>128</v>
      </c>
      <c r="H127" s="2">
        <v>0.5</v>
      </c>
      <c r="I127" s="2">
        <v>0.89583333333333337</v>
      </c>
      <c r="J127" t="s">
        <v>46</v>
      </c>
      <c r="K127" t="s">
        <v>77</v>
      </c>
      <c r="L127" t="s">
        <v>47</v>
      </c>
      <c r="M127" t="s">
        <v>64</v>
      </c>
      <c r="N127" t="s">
        <v>1055</v>
      </c>
      <c r="O127">
        <v>5951519</v>
      </c>
      <c r="Q127" t="s">
        <v>1056</v>
      </c>
      <c r="R127" t="s">
        <v>926</v>
      </c>
      <c r="S127" t="s">
        <v>52</v>
      </c>
      <c r="U127">
        <v>891573</v>
      </c>
      <c r="V127" s="3">
        <v>46071.660416666666</v>
      </c>
      <c r="W127" t="s">
        <v>1057</v>
      </c>
      <c r="X127" t="s">
        <v>1058</v>
      </c>
      <c r="Y127" t="str">
        <f>"0432063806"</f>
        <v>0432063806</v>
      </c>
      <c r="Z127" t="s">
        <v>70</v>
      </c>
      <c r="AA127" s="1">
        <v>46076</v>
      </c>
      <c r="AB127" t="s">
        <v>85</v>
      </c>
      <c r="AD127" t="s">
        <v>75</v>
      </c>
      <c r="AE127" t="s">
        <v>86</v>
      </c>
      <c r="AF127">
        <v>6000</v>
      </c>
      <c r="AG127" t="s">
        <v>1059</v>
      </c>
      <c r="AI127" t="s">
        <v>59</v>
      </c>
      <c r="AN127" s="3">
        <v>46077.022222222222</v>
      </c>
      <c r="AO127" t="s">
        <v>1057</v>
      </c>
    </row>
    <row r="128" spans="1:41" x14ac:dyDescent="0.3">
      <c r="A128" t="s">
        <v>306</v>
      </c>
      <c r="B128" t="s">
        <v>1060</v>
      </c>
      <c r="C128" t="s">
        <v>100</v>
      </c>
      <c r="D128" t="s">
        <v>184</v>
      </c>
      <c r="E128" s="1">
        <v>46076</v>
      </c>
      <c r="F128" t="s">
        <v>569</v>
      </c>
      <c r="G128" t="s">
        <v>485</v>
      </c>
      <c r="H128" s="2">
        <v>0.5</v>
      </c>
      <c r="I128" s="2">
        <v>0</v>
      </c>
      <c r="J128" t="s">
        <v>1061</v>
      </c>
      <c r="L128" t="s">
        <v>473</v>
      </c>
      <c r="M128" t="s">
        <v>78</v>
      </c>
      <c r="N128" t="s">
        <v>1062</v>
      </c>
      <c r="O128">
        <v>5950737</v>
      </c>
      <c r="Q128" t="s">
        <v>1063</v>
      </c>
      <c r="R128" t="s">
        <v>314</v>
      </c>
      <c r="S128" t="s">
        <v>119</v>
      </c>
      <c r="T128" t="s">
        <v>414</v>
      </c>
      <c r="U128">
        <v>892171</v>
      </c>
      <c r="V128" s="3">
        <v>46076.409722222219</v>
      </c>
      <c r="W128" t="s">
        <v>1064</v>
      </c>
      <c r="X128" t="s">
        <v>1065</v>
      </c>
      <c r="Y128" t="str">
        <f>"0423540683"</f>
        <v>0423540683</v>
      </c>
      <c r="Z128" t="s">
        <v>70</v>
      </c>
      <c r="AB128" t="s">
        <v>1066</v>
      </c>
      <c r="AD128" t="s">
        <v>306</v>
      </c>
      <c r="AE128" t="s">
        <v>1067</v>
      </c>
      <c r="AF128">
        <v>3084</v>
      </c>
      <c r="AI128" t="s">
        <v>59</v>
      </c>
      <c r="AL128" t="s">
        <v>1068</v>
      </c>
      <c r="AM128" t="s">
        <v>1069</v>
      </c>
      <c r="AN128" s="3">
        <v>46076.415277777778</v>
      </c>
      <c r="AO128" t="s">
        <v>314</v>
      </c>
    </row>
    <row r="129" spans="1:41" x14ac:dyDescent="0.3">
      <c r="A129" t="s">
        <v>75</v>
      </c>
      <c r="B129" t="s">
        <v>804</v>
      </c>
      <c r="C129" t="s">
        <v>43</v>
      </c>
      <c r="D129" t="s">
        <v>700</v>
      </c>
      <c r="E129" s="1">
        <v>46076</v>
      </c>
      <c r="F129" t="s">
        <v>569</v>
      </c>
      <c r="G129" t="s">
        <v>128</v>
      </c>
      <c r="H129" s="2">
        <v>0.5</v>
      </c>
      <c r="I129" s="2">
        <v>0.75</v>
      </c>
      <c r="J129" t="s">
        <v>185</v>
      </c>
      <c r="K129" t="s">
        <v>667</v>
      </c>
      <c r="L129" t="s">
        <v>186</v>
      </c>
      <c r="M129" t="s">
        <v>1070</v>
      </c>
      <c r="N129" t="s">
        <v>1071</v>
      </c>
      <c r="O129">
        <v>5951604</v>
      </c>
      <c r="Q129" t="s">
        <v>808</v>
      </c>
      <c r="R129" t="s">
        <v>926</v>
      </c>
      <c r="S129" t="s">
        <v>52</v>
      </c>
      <c r="U129">
        <v>891550</v>
      </c>
      <c r="V129" s="3">
        <v>46070.523611111108</v>
      </c>
      <c r="W129" t="s">
        <v>1072</v>
      </c>
      <c r="X129" t="s">
        <v>1073</v>
      </c>
      <c r="Y129" t="str">
        <f>"0410139992"</f>
        <v>0410139992</v>
      </c>
      <c r="Z129" t="s">
        <v>70</v>
      </c>
      <c r="AA129" s="1">
        <v>46076</v>
      </c>
      <c r="AB129" t="s">
        <v>811</v>
      </c>
      <c r="AC129" t="s">
        <v>812</v>
      </c>
      <c r="AD129" t="s">
        <v>75</v>
      </c>
      <c r="AE129" t="s">
        <v>813</v>
      </c>
      <c r="AF129">
        <v>6050</v>
      </c>
      <c r="AG129" t="s">
        <v>808</v>
      </c>
      <c r="AI129" t="s">
        <v>59</v>
      </c>
      <c r="AL129" t="s">
        <v>87</v>
      </c>
      <c r="AN129" s="3">
        <v>46076.884722222225</v>
      </c>
      <c r="AO129" t="s">
        <v>1072</v>
      </c>
    </row>
    <row r="130" spans="1:41" x14ac:dyDescent="0.3">
      <c r="A130" t="s">
        <v>168</v>
      </c>
      <c r="B130" t="s">
        <v>441</v>
      </c>
      <c r="C130" t="s">
        <v>100</v>
      </c>
      <c r="E130" s="1">
        <v>46076</v>
      </c>
      <c r="F130" t="s">
        <v>569</v>
      </c>
      <c r="G130" t="s">
        <v>128</v>
      </c>
      <c r="H130" s="2">
        <v>0.5</v>
      </c>
      <c r="I130" s="2">
        <v>0.83333333333333337</v>
      </c>
      <c r="J130" t="s">
        <v>100</v>
      </c>
      <c r="L130" t="s">
        <v>100</v>
      </c>
      <c r="M130" t="s">
        <v>1074</v>
      </c>
      <c r="N130" t="s">
        <v>1075</v>
      </c>
      <c r="O130">
        <v>5951966</v>
      </c>
      <c r="Q130" t="s">
        <v>981</v>
      </c>
      <c r="R130" t="s">
        <v>176</v>
      </c>
      <c r="S130" t="s">
        <v>52</v>
      </c>
      <c r="U130">
        <v>891541</v>
      </c>
      <c r="V130" s="3">
        <v>46056.505555555559</v>
      </c>
      <c r="W130" t="s">
        <v>1076</v>
      </c>
      <c r="X130" t="s">
        <v>1077</v>
      </c>
      <c r="Y130" t="str">
        <f>"0424089440"</f>
        <v>0424089440</v>
      </c>
      <c r="Z130" t="s">
        <v>585</v>
      </c>
      <c r="AB130" t="s">
        <v>448</v>
      </c>
      <c r="AD130" t="s">
        <v>168</v>
      </c>
      <c r="AE130" t="s">
        <v>180</v>
      </c>
      <c r="AF130">
        <v>5063</v>
      </c>
      <c r="AG130" t="s">
        <v>981</v>
      </c>
      <c r="AI130" t="s">
        <v>59</v>
      </c>
      <c r="AL130" t="s">
        <v>1078</v>
      </c>
      <c r="AN130" s="3">
        <v>46076.850694444445</v>
      </c>
      <c r="AO130" t="s">
        <v>1076</v>
      </c>
    </row>
    <row r="131" spans="1:41" x14ac:dyDescent="0.3">
      <c r="A131" t="s">
        <v>61</v>
      </c>
      <c r="B131" t="s">
        <v>1079</v>
      </c>
      <c r="C131" t="s">
        <v>43</v>
      </c>
      <c r="D131" t="s">
        <v>63</v>
      </c>
      <c r="E131" s="1">
        <v>46076</v>
      </c>
      <c r="F131" t="s">
        <v>569</v>
      </c>
      <c r="G131" t="s">
        <v>128</v>
      </c>
      <c r="H131" s="2">
        <v>0.5</v>
      </c>
      <c r="I131" s="2">
        <v>0.85416666666666663</v>
      </c>
      <c r="J131" t="s">
        <v>46</v>
      </c>
      <c r="L131" t="s">
        <v>47</v>
      </c>
      <c r="M131" t="s">
        <v>1080</v>
      </c>
      <c r="N131" t="s">
        <v>1081</v>
      </c>
      <c r="O131">
        <v>5951255</v>
      </c>
      <c r="Q131" t="s">
        <v>1082</v>
      </c>
      <c r="R131" t="s">
        <v>67</v>
      </c>
      <c r="S131" t="s">
        <v>52</v>
      </c>
      <c r="U131">
        <v>891539</v>
      </c>
      <c r="V131" s="3">
        <v>46071.626388888886</v>
      </c>
      <c r="W131" t="s">
        <v>1083</v>
      </c>
      <c r="X131" t="s">
        <v>1084</v>
      </c>
      <c r="Y131" t="str">
        <f>"0451307044"</f>
        <v>0451307044</v>
      </c>
      <c r="Z131" t="s">
        <v>55</v>
      </c>
      <c r="AB131" t="s">
        <v>1085</v>
      </c>
      <c r="AD131" t="s">
        <v>61</v>
      </c>
      <c r="AE131" t="s">
        <v>1086</v>
      </c>
      <c r="AF131">
        <v>2031</v>
      </c>
      <c r="AG131" t="s">
        <v>1087</v>
      </c>
      <c r="AI131" t="s">
        <v>59</v>
      </c>
      <c r="AL131" t="s">
        <v>1088</v>
      </c>
      <c r="AN131" s="3">
        <v>46076.84652777778</v>
      </c>
      <c r="AO131" t="s">
        <v>1083</v>
      </c>
    </row>
    <row r="132" spans="1:41" x14ac:dyDescent="0.3">
      <c r="A132" t="s">
        <v>168</v>
      </c>
      <c r="B132" t="s">
        <v>266</v>
      </c>
      <c r="C132" t="s">
        <v>202</v>
      </c>
      <c r="D132" t="s">
        <v>268</v>
      </c>
      <c r="E132" s="1">
        <v>46076</v>
      </c>
      <c r="F132" t="s">
        <v>569</v>
      </c>
      <c r="G132" t="s">
        <v>128</v>
      </c>
      <c r="H132" s="2">
        <v>0.5</v>
      </c>
      <c r="I132" s="2">
        <v>0.9375</v>
      </c>
      <c r="J132" t="s">
        <v>46</v>
      </c>
      <c r="K132" t="s">
        <v>849</v>
      </c>
      <c r="L132" t="s">
        <v>47</v>
      </c>
      <c r="M132" t="s">
        <v>1089</v>
      </c>
      <c r="N132" t="s">
        <v>1024</v>
      </c>
      <c r="O132">
        <v>20963</v>
      </c>
      <c r="Q132" t="s">
        <v>1090</v>
      </c>
      <c r="R132" t="s">
        <v>231</v>
      </c>
      <c r="S132" t="s">
        <v>52</v>
      </c>
      <c r="U132">
        <v>891534</v>
      </c>
      <c r="V132" s="3">
        <v>46072.486805555556</v>
      </c>
      <c r="W132" t="s">
        <v>1091</v>
      </c>
      <c r="X132" t="s">
        <v>1092</v>
      </c>
      <c r="Y132" t="str">
        <f>"0430222501"</f>
        <v>0430222501</v>
      </c>
      <c r="Z132" t="s">
        <v>123</v>
      </c>
      <c r="AB132" t="s">
        <v>277</v>
      </c>
      <c r="AC132" t="s">
        <v>278</v>
      </c>
      <c r="AD132" t="s">
        <v>168</v>
      </c>
      <c r="AE132" t="s">
        <v>279</v>
      </c>
      <c r="AF132">
        <v>5092</v>
      </c>
      <c r="AG132" t="s">
        <v>1090</v>
      </c>
      <c r="AI132" t="s">
        <v>59</v>
      </c>
      <c r="AL132" t="s">
        <v>1093</v>
      </c>
      <c r="AN132" s="3">
        <v>46076.822916666664</v>
      </c>
      <c r="AO132" t="s">
        <v>1091</v>
      </c>
    </row>
    <row r="133" spans="1:41" x14ac:dyDescent="0.3">
      <c r="A133" t="s">
        <v>75</v>
      </c>
      <c r="B133" t="s">
        <v>804</v>
      </c>
      <c r="C133" t="s">
        <v>43</v>
      </c>
      <c r="D133" t="s">
        <v>700</v>
      </c>
      <c r="E133" s="1">
        <v>46076</v>
      </c>
      <c r="F133" t="s">
        <v>569</v>
      </c>
      <c r="G133" t="s">
        <v>128</v>
      </c>
      <c r="H133" s="2">
        <v>0.5</v>
      </c>
      <c r="I133" s="2">
        <v>0.75</v>
      </c>
      <c r="J133" t="s">
        <v>185</v>
      </c>
      <c r="K133" t="s">
        <v>667</v>
      </c>
      <c r="L133" t="s">
        <v>186</v>
      </c>
      <c r="M133" t="s">
        <v>1094</v>
      </c>
      <c r="N133" t="s">
        <v>518</v>
      </c>
      <c r="O133">
        <v>5952404</v>
      </c>
      <c r="Q133" t="s">
        <v>808</v>
      </c>
      <c r="R133" t="s">
        <v>926</v>
      </c>
      <c r="S133" t="s">
        <v>52</v>
      </c>
      <c r="U133">
        <v>891546</v>
      </c>
      <c r="V133" s="3">
        <v>46070.524305555555</v>
      </c>
      <c r="W133" t="s">
        <v>1095</v>
      </c>
      <c r="X133" t="s">
        <v>1096</v>
      </c>
      <c r="Y133" t="str">
        <f>"0416821298"</f>
        <v>0416821298</v>
      </c>
      <c r="Z133" t="s">
        <v>70</v>
      </c>
      <c r="AA133" s="1">
        <v>46076</v>
      </c>
      <c r="AB133" t="s">
        <v>811</v>
      </c>
      <c r="AC133" t="s">
        <v>812</v>
      </c>
      <c r="AD133" t="s">
        <v>75</v>
      </c>
      <c r="AE133" t="s">
        <v>813</v>
      </c>
      <c r="AF133">
        <v>6050</v>
      </c>
      <c r="AG133" t="s">
        <v>808</v>
      </c>
      <c r="AI133" t="s">
        <v>59</v>
      </c>
      <c r="AL133" t="s">
        <v>87</v>
      </c>
      <c r="AN133" s="3">
        <v>46076.867361111108</v>
      </c>
      <c r="AO133" t="s">
        <v>1095</v>
      </c>
    </row>
    <row r="134" spans="1:41" x14ac:dyDescent="0.3">
      <c r="A134" t="s">
        <v>168</v>
      </c>
      <c r="B134" t="s">
        <v>982</v>
      </c>
      <c r="C134" t="s">
        <v>100</v>
      </c>
      <c r="D134" t="s">
        <v>127</v>
      </c>
      <c r="E134" s="1">
        <v>46076</v>
      </c>
      <c r="F134" t="s">
        <v>569</v>
      </c>
      <c r="G134" t="s">
        <v>128</v>
      </c>
      <c r="H134" s="2">
        <v>0.5</v>
      </c>
      <c r="I134" s="2">
        <v>0.83333333333333337</v>
      </c>
      <c r="J134" t="s">
        <v>100</v>
      </c>
      <c r="L134" t="s">
        <v>100</v>
      </c>
      <c r="M134" t="s">
        <v>411</v>
      </c>
      <c r="N134" t="s">
        <v>412</v>
      </c>
      <c r="O134">
        <v>228</v>
      </c>
      <c r="Q134" t="s">
        <v>986</v>
      </c>
      <c r="R134" t="s">
        <v>176</v>
      </c>
      <c r="S134" t="s">
        <v>52</v>
      </c>
      <c r="U134">
        <v>891544</v>
      </c>
      <c r="V134" s="3">
        <v>46043.802777777775</v>
      </c>
      <c r="W134" t="s">
        <v>415</v>
      </c>
      <c r="X134" t="s">
        <v>416</v>
      </c>
      <c r="Y134" t="str">
        <f>"0414869673"</f>
        <v>0414869673</v>
      </c>
      <c r="Z134" t="s">
        <v>1097</v>
      </c>
      <c r="AB134" t="s">
        <v>985</v>
      </c>
      <c r="AD134" t="s">
        <v>168</v>
      </c>
      <c r="AE134" t="s">
        <v>279</v>
      </c>
      <c r="AF134">
        <v>5092</v>
      </c>
      <c r="AG134" t="s">
        <v>986</v>
      </c>
      <c r="AI134" t="s">
        <v>59</v>
      </c>
      <c r="AL134" t="s">
        <v>1098</v>
      </c>
      <c r="AN134" s="3">
        <v>46076.853472222225</v>
      </c>
      <c r="AO134" t="s">
        <v>415</v>
      </c>
    </row>
    <row r="135" spans="1:41" x14ac:dyDescent="0.3">
      <c r="A135" t="s">
        <v>168</v>
      </c>
      <c r="B135" t="s">
        <v>225</v>
      </c>
      <c r="C135" t="s">
        <v>226</v>
      </c>
      <c r="D135" t="s">
        <v>227</v>
      </c>
      <c r="E135" s="1">
        <v>46076</v>
      </c>
      <c r="F135" t="s">
        <v>569</v>
      </c>
      <c r="G135" t="s">
        <v>128</v>
      </c>
      <c r="H135" s="2">
        <v>0.52083333333333337</v>
      </c>
      <c r="I135" s="2">
        <v>0.75</v>
      </c>
      <c r="J135" t="s">
        <v>101</v>
      </c>
      <c r="L135" t="s">
        <v>159</v>
      </c>
      <c r="M135" t="s">
        <v>1099</v>
      </c>
      <c r="N135" t="s">
        <v>1100</v>
      </c>
      <c r="O135">
        <v>804</v>
      </c>
      <c r="Q135" t="s">
        <v>230</v>
      </c>
      <c r="R135" t="s">
        <v>231</v>
      </c>
      <c r="S135" t="s">
        <v>52</v>
      </c>
      <c r="U135">
        <v>891512</v>
      </c>
      <c r="V135" s="3">
        <v>46042.371527777781</v>
      </c>
      <c r="W135" t="s">
        <v>1101</v>
      </c>
      <c r="X135" t="s">
        <v>1102</v>
      </c>
      <c r="Y135" t="str">
        <f>"0447786025"</f>
        <v>0447786025</v>
      </c>
      <c r="Z135" t="s">
        <v>964</v>
      </c>
      <c r="AB135" t="s">
        <v>235</v>
      </c>
      <c r="AD135" t="s">
        <v>168</v>
      </c>
      <c r="AE135" t="s">
        <v>236</v>
      </c>
      <c r="AF135">
        <v>5087</v>
      </c>
      <c r="AG135" t="s">
        <v>230</v>
      </c>
      <c r="AI135" t="s">
        <v>59</v>
      </c>
      <c r="AL135" t="s">
        <v>803</v>
      </c>
      <c r="AM135" t="s">
        <v>1103</v>
      </c>
      <c r="AN135" s="3">
        <v>46076.762499999997</v>
      </c>
      <c r="AO135" t="s">
        <v>1101</v>
      </c>
    </row>
    <row r="136" spans="1:41" x14ac:dyDescent="0.3">
      <c r="A136" t="s">
        <v>75</v>
      </c>
      <c r="B136" t="s">
        <v>1104</v>
      </c>
      <c r="C136" t="s">
        <v>43</v>
      </c>
      <c r="D136" t="s">
        <v>700</v>
      </c>
      <c r="E136" s="1">
        <v>46076</v>
      </c>
      <c r="F136" t="s">
        <v>569</v>
      </c>
      <c r="G136" t="s">
        <v>128</v>
      </c>
      <c r="H136" s="2">
        <v>0.52083333333333337</v>
      </c>
      <c r="I136" s="2">
        <v>0.77083333333333337</v>
      </c>
      <c r="J136" t="s">
        <v>101</v>
      </c>
      <c r="L136" t="s">
        <v>159</v>
      </c>
      <c r="M136" t="s">
        <v>187</v>
      </c>
      <c r="N136" t="s">
        <v>1105</v>
      </c>
      <c r="O136">
        <v>21727</v>
      </c>
      <c r="Q136" t="s">
        <v>1106</v>
      </c>
      <c r="R136" t="s">
        <v>926</v>
      </c>
      <c r="S136" t="s">
        <v>52</v>
      </c>
      <c r="U136">
        <v>891549</v>
      </c>
      <c r="V136" s="3">
        <v>46070.5</v>
      </c>
      <c r="W136" t="s">
        <v>1107</v>
      </c>
      <c r="X136" t="s">
        <v>1108</v>
      </c>
      <c r="Y136" t="str">
        <f>"0407897784"</f>
        <v>0407897784</v>
      </c>
      <c r="Z136" t="s">
        <v>70</v>
      </c>
      <c r="AA136" s="1">
        <v>46076</v>
      </c>
      <c r="AB136" t="s">
        <v>920</v>
      </c>
      <c r="AC136" t="s">
        <v>1109</v>
      </c>
      <c r="AD136" t="s">
        <v>75</v>
      </c>
      <c r="AE136" t="s">
        <v>1110</v>
      </c>
      <c r="AF136">
        <v>6014</v>
      </c>
      <c r="AG136" t="s">
        <v>1106</v>
      </c>
      <c r="AI136" t="s">
        <v>59</v>
      </c>
      <c r="AL136" t="s">
        <v>87</v>
      </c>
      <c r="AN136" s="3">
        <v>46076.882638888892</v>
      </c>
      <c r="AO136" t="s">
        <v>1107</v>
      </c>
    </row>
    <row r="137" spans="1:41" x14ac:dyDescent="0.3">
      <c r="A137" t="s">
        <v>61</v>
      </c>
      <c r="B137" t="s">
        <v>1079</v>
      </c>
      <c r="C137" t="s">
        <v>43</v>
      </c>
      <c r="D137" t="s">
        <v>63</v>
      </c>
      <c r="E137" s="1">
        <v>46076</v>
      </c>
      <c r="F137" t="s">
        <v>569</v>
      </c>
      <c r="G137" t="s">
        <v>128</v>
      </c>
      <c r="H137" s="2">
        <v>0.52083333333333337</v>
      </c>
      <c r="I137" s="2">
        <v>0.83333333333333337</v>
      </c>
      <c r="J137" t="s">
        <v>101</v>
      </c>
      <c r="L137" t="s">
        <v>159</v>
      </c>
      <c r="M137" t="s">
        <v>1111</v>
      </c>
      <c r="N137" t="s">
        <v>1112</v>
      </c>
      <c r="O137">
        <v>5950887</v>
      </c>
      <c r="Q137" t="s">
        <v>1113</v>
      </c>
      <c r="R137" t="s">
        <v>67</v>
      </c>
      <c r="S137" t="s">
        <v>52</v>
      </c>
      <c r="U137">
        <v>891520</v>
      </c>
      <c r="V137" s="3">
        <v>46073.416666666664</v>
      </c>
      <c r="W137" t="s">
        <v>1114</v>
      </c>
      <c r="X137" t="s">
        <v>1115</v>
      </c>
      <c r="Y137" t="str">
        <f>"0406493884"</f>
        <v>0406493884</v>
      </c>
      <c r="Z137" t="s">
        <v>55</v>
      </c>
      <c r="AA137" s="1">
        <v>46076</v>
      </c>
      <c r="AB137" t="s">
        <v>1085</v>
      </c>
      <c r="AD137" t="s">
        <v>61</v>
      </c>
      <c r="AE137" t="s">
        <v>1086</v>
      </c>
      <c r="AF137">
        <v>2031</v>
      </c>
      <c r="AG137" t="s">
        <v>1116</v>
      </c>
      <c r="AI137" t="s">
        <v>59</v>
      </c>
      <c r="AL137" t="s">
        <v>87</v>
      </c>
      <c r="AN137" s="3">
        <v>46076.785416666666</v>
      </c>
      <c r="AO137" t="s">
        <v>1114</v>
      </c>
    </row>
    <row r="138" spans="1:41" x14ac:dyDescent="0.3">
      <c r="A138" t="s">
        <v>168</v>
      </c>
      <c r="B138" t="s">
        <v>215</v>
      </c>
      <c r="C138" t="s">
        <v>43</v>
      </c>
      <c r="D138" t="s">
        <v>127</v>
      </c>
      <c r="E138" s="1">
        <v>46076</v>
      </c>
      <c r="F138" t="s">
        <v>569</v>
      </c>
      <c r="G138" t="s">
        <v>128</v>
      </c>
      <c r="H138" s="2">
        <v>0.52083333333333337</v>
      </c>
      <c r="I138" s="2">
        <v>0.85416666666666663</v>
      </c>
      <c r="J138" t="s">
        <v>258</v>
      </c>
      <c r="K138" t="s">
        <v>259</v>
      </c>
      <c r="L138" t="s">
        <v>186</v>
      </c>
      <c r="M138" t="s">
        <v>1117</v>
      </c>
      <c r="N138" t="s">
        <v>1118</v>
      </c>
      <c r="O138">
        <v>5952419</v>
      </c>
      <c r="Q138" t="s">
        <v>219</v>
      </c>
      <c r="R138" t="s">
        <v>556</v>
      </c>
      <c r="S138" t="s">
        <v>52</v>
      </c>
      <c r="U138">
        <v>891538</v>
      </c>
      <c r="V138" s="3">
        <v>46057.055555555555</v>
      </c>
      <c r="W138" t="s">
        <v>1119</v>
      </c>
      <c r="X138" t="s">
        <v>1120</v>
      </c>
      <c r="Y138" t="str">
        <f>"0433820679"</f>
        <v>0433820679</v>
      </c>
      <c r="Z138" t="s">
        <v>70</v>
      </c>
      <c r="AA138" s="1">
        <v>46076</v>
      </c>
      <c r="AB138" t="s">
        <v>222</v>
      </c>
      <c r="AD138" t="s">
        <v>168</v>
      </c>
      <c r="AE138" t="s">
        <v>223</v>
      </c>
      <c r="AF138">
        <v>5069</v>
      </c>
      <c r="AG138" t="s">
        <v>219</v>
      </c>
      <c r="AI138" t="s">
        <v>59</v>
      </c>
      <c r="AL138" t="s">
        <v>1121</v>
      </c>
      <c r="AN138" s="3">
        <v>46076.845138888886</v>
      </c>
      <c r="AO138" t="s">
        <v>1119</v>
      </c>
    </row>
    <row r="139" spans="1:41" x14ac:dyDescent="0.3">
      <c r="A139" t="s">
        <v>41</v>
      </c>
      <c r="B139" t="s">
        <v>244</v>
      </c>
      <c r="C139" t="s">
        <v>245</v>
      </c>
      <c r="D139" t="s">
        <v>246</v>
      </c>
      <c r="E139" s="1">
        <v>46076</v>
      </c>
      <c r="F139" t="s">
        <v>569</v>
      </c>
      <c r="G139" t="s">
        <v>45</v>
      </c>
      <c r="H139" s="2">
        <v>0.52083333333333337</v>
      </c>
      <c r="I139" s="2">
        <v>0.875</v>
      </c>
      <c r="J139" t="s">
        <v>100</v>
      </c>
      <c r="L139" t="s">
        <v>452</v>
      </c>
      <c r="M139" t="s">
        <v>1122</v>
      </c>
      <c r="N139" t="s">
        <v>1123</v>
      </c>
      <c r="O139">
        <v>5951585</v>
      </c>
      <c r="P139" t="s">
        <v>249</v>
      </c>
      <c r="Q139" t="s">
        <v>250</v>
      </c>
      <c r="R139" t="s">
        <v>1124</v>
      </c>
      <c r="S139" t="s">
        <v>52</v>
      </c>
      <c r="T139" t="s">
        <v>252</v>
      </c>
      <c r="U139">
        <v>892196</v>
      </c>
      <c r="V139" s="3">
        <v>46083.347916666666</v>
      </c>
      <c r="W139" t="s">
        <v>1124</v>
      </c>
      <c r="X139" t="s">
        <v>1125</v>
      </c>
      <c r="Y139" t="str">
        <f>"0406622986"</f>
        <v>0406622986</v>
      </c>
      <c r="Z139" t="s">
        <v>585</v>
      </c>
      <c r="AA139" s="1">
        <v>46082</v>
      </c>
      <c r="AB139" t="s">
        <v>255</v>
      </c>
      <c r="AD139" t="s">
        <v>41</v>
      </c>
      <c r="AE139" t="s">
        <v>256</v>
      </c>
      <c r="AF139">
        <v>4655</v>
      </c>
      <c r="AG139" t="s">
        <v>257</v>
      </c>
      <c r="AI139" t="s">
        <v>59</v>
      </c>
      <c r="AJ139" t="str">
        <f>"0050076953"</f>
        <v>0050076953</v>
      </c>
      <c r="AN139" s="3">
        <v>46083.347916666666</v>
      </c>
      <c r="AO139" t="s">
        <v>1124</v>
      </c>
    </row>
    <row r="140" spans="1:41" x14ac:dyDescent="0.3">
      <c r="A140" t="s">
        <v>61</v>
      </c>
      <c r="B140" t="s">
        <v>158</v>
      </c>
      <c r="C140" t="s">
        <v>43</v>
      </c>
      <c r="D140" t="s">
        <v>127</v>
      </c>
      <c r="E140" s="1">
        <v>46076</v>
      </c>
      <c r="F140" t="s">
        <v>569</v>
      </c>
      <c r="G140" t="s">
        <v>128</v>
      </c>
      <c r="H140" s="2">
        <v>0.52083333333333337</v>
      </c>
      <c r="I140" s="2">
        <v>0.99861111111111112</v>
      </c>
      <c r="J140" t="s">
        <v>101</v>
      </c>
      <c r="L140" t="s">
        <v>159</v>
      </c>
      <c r="M140" t="s">
        <v>1126</v>
      </c>
      <c r="N140" t="s">
        <v>1127</v>
      </c>
      <c r="O140">
        <v>21552</v>
      </c>
      <c r="Q140" t="s">
        <v>1128</v>
      </c>
      <c r="R140" t="s">
        <v>132</v>
      </c>
      <c r="S140" t="s">
        <v>52</v>
      </c>
      <c r="U140">
        <v>891558</v>
      </c>
      <c r="V140" s="3">
        <v>46059.500694444447</v>
      </c>
      <c r="W140" t="s">
        <v>1129</v>
      </c>
      <c r="X140" t="s">
        <v>1130</v>
      </c>
      <c r="Y140" t="str">
        <f>"0401723179"</f>
        <v>0401723179</v>
      </c>
      <c r="Z140" t="s">
        <v>123</v>
      </c>
      <c r="AB140" t="s">
        <v>166</v>
      </c>
      <c r="AD140" t="s">
        <v>61</v>
      </c>
      <c r="AE140" t="s">
        <v>167</v>
      </c>
      <c r="AF140">
        <v>2011</v>
      </c>
      <c r="AG140" t="s">
        <v>1131</v>
      </c>
      <c r="AI140" t="s">
        <v>59</v>
      </c>
      <c r="AL140" t="s">
        <v>1132</v>
      </c>
      <c r="AN140" s="3">
        <v>46076.909722222219</v>
      </c>
      <c r="AO140" t="s">
        <v>1129</v>
      </c>
    </row>
    <row r="141" spans="1:41" x14ac:dyDescent="0.3">
      <c r="A141" t="s">
        <v>61</v>
      </c>
      <c r="B141" t="s">
        <v>182</v>
      </c>
      <c r="C141" t="s">
        <v>183</v>
      </c>
      <c r="D141" t="s">
        <v>184</v>
      </c>
      <c r="E141" s="1">
        <v>46076</v>
      </c>
      <c r="F141" t="s">
        <v>569</v>
      </c>
      <c r="G141" t="s">
        <v>128</v>
      </c>
      <c r="H141" s="2">
        <v>0.52083333333333337</v>
      </c>
      <c r="I141" s="2">
        <v>0.99861111111111112</v>
      </c>
      <c r="J141" t="s">
        <v>185</v>
      </c>
      <c r="L141" t="s">
        <v>790</v>
      </c>
      <c r="M141" t="s">
        <v>791</v>
      </c>
      <c r="N141" t="s">
        <v>792</v>
      </c>
      <c r="O141">
        <v>5952334</v>
      </c>
      <c r="Q141" t="s">
        <v>189</v>
      </c>
      <c r="R141" t="s">
        <v>500</v>
      </c>
      <c r="S141" t="s">
        <v>52</v>
      </c>
      <c r="U141">
        <v>891545</v>
      </c>
      <c r="V141" s="3">
        <v>46071.829861111109</v>
      </c>
      <c r="W141" t="s">
        <v>793</v>
      </c>
      <c r="X141" t="s">
        <v>794</v>
      </c>
      <c r="Y141" t="str">
        <f>"0422273393"</f>
        <v>0422273393</v>
      </c>
      <c r="Z141" t="s">
        <v>1097</v>
      </c>
      <c r="AB141" t="s">
        <v>193</v>
      </c>
      <c r="AD141" t="s">
        <v>61</v>
      </c>
      <c r="AE141" t="s">
        <v>194</v>
      </c>
      <c r="AF141">
        <v>2229</v>
      </c>
      <c r="AG141" t="s">
        <v>189</v>
      </c>
      <c r="AI141" t="s">
        <v>59</v>
      </c>
      <c r="AL141" t="s">
        <v>1133</v>
      </c>
      <c r="AN141" s="3">
        <v>46076.862500000003</v>
      </c>
      <c r="AO141" t="s">
        <v>793</v>
      </c>
    </row>
    <row r="142" spans="1:41" x14ac:dyDescent="0.3">
      <c r="A142" t="s">
        <v>61</v>
      </c>
      <c r="B142" t="s">
        <v>182</v>
      </c>
      <c r="C142" t="s">
        <v>183</v>
      </c>
      <c r="D142" t="s">
        <v>184</v>
      </c>
      <c r="E142" s="1">
        <v>46076</v>
      </c>
      <c r="F142" t="s">
        <v>569</v>
      </c>
      <c r="G142" t="s">
        <v>128</v>
      </c>
      <c r="H142" s="2">
        <v>0.52083333333333337</v>
      </c>
      <c r="I142" s="2">
        <v>0.99861111111111112</v>
      </c>
      <c r="J142" t="s">
        <v>185</v>
      </c>
      <c r="L142" t="s">
        <v>186</v>
      </c>
      <c r="M142" t="s">
        <v>436</v>
      </c>
      <c r="N142" t="s">
        <v>437</v>
      </c>
      <c r="O142">
        <v>5951773</v>
      </c>
      <c r="Q142" t="s">
        <v>189</v>
      </c>
      <c r="R142" t="s">
        <v>500</v>
      </c>
      <c r="S142" t="s">
        <v>52</v>
      </c>
      <c r="U142">
        <v>891555</v>
      </c>
      <c r="V142" s="3">
        <v>46071.829861111109</v>
      </c>
      <c r="W142" t="s">
        <v>438</v>
      </c>
      <c r="X142" t="s">
        <v>439</v>
      </c>
      <c r="Y142" t="str">
        <f>"0405762113"</f>
        <v>0405762113</v>
      </c>
      <c r="Z142" t="s">
        <v>1134</v>
      </c>
      <c r="AB142" t="s">
        <v>193</v>
      </c>
      <c r="AD142" t="s">
        <v>61</v>
      </c>
      <c r="AE142" t="s">
        <v>194</v>
      </c>
      <c r="AF142">
        <v>2229</v>
      </c>
      <c r="AG142" t="s">
        <v>189</v>
      </c>
      <c r="AI142" t="s">
        <v>59</v>
      </c>
      <c r="AL142" t="s">
        <v>1088</v>
      </c>
      <c r="AN142" s="3">
        <v>46076.890277777777</v>
      </c>
      <c r="AO142" t="s">
        <v>438</v>
      </c>
    </row>
    <row r="143" spans="1:41" x14ac:dyDescent="0.3">
      <c r="A143" t="s">
        <v>168</v>
      </c>
      <c r="B143" t="s">
        <v>215</v>
      </c>
      <c r="C143" t="s">
        <v>43</v>
      </c>
      <c r="D143" t="s">
        <v>127</v>
      </c>
      <c r="E143" s="1">
        <v>46076</v>
      </c>
      <c r="F143" t="s">
        <v>569</v>
      </c>
      <c r="G143" t="s">
        <v>128</v>
      </c>
      <c r="H143" s="2">
        <v>0.52083333333333337</v>
      </c>
      <c r="I143" s="2">
        <v>0.85416666666666663</v>
      </c>
      <c r="J143" t="s">
        <v>258</v>
      </c>
      <c r="K143" t="s">
        <v>259</v>
      </c>
      <c r="L143" t="s">
        <v>186</v>
      </c>
      <c r="M143" t="s">
        <v>1135</v>
      </c>
      <c r="N143" t="s">
        <v>1136</v>
      </c>
      <c r="O143">
        <v>5950894</v>
      </c>
      <c r="Q143" t="s">
        <v>1137</v>
      </c>
      <c r="R143" t="s">
        <v>556</v>
      </c>
      <c r="S143" t="s">
        <v>52</v>
      </c>
      <c r="U143">
        <v>891497</v>
      </c>
      <c r="V143" s="3">
        <v>46057.068749999999</v>
      </c>
      <c r="W143" t="s">
        <v>1138</v>
      </c>
      <c r="X143" t="s">
        <v>1139</v>
      </c>
      <c r="Y143" t="str">
        <f>"0468819992"</f>
        <v>0468819992</v>
      </c>
      <c r="Z143" t="s">
        <v>70</v>
      </c>
      <c r="AA143" s="1">
        <v>46076</v>
      </c>
      <c r="AB143" t="s">
        <v>222</v>
      </c>
      <c r="AD143" t="s">
        <v>168</v>
      </c>
      <c r="AE143" t="s">
        <v>223</v>
      </c>
      <c r="AF143">
        <v>5069</v>
      </c>
      <c r="AG143" t="s">
        <v>219</v>
      </c>
      <c r="AI143" t="s">
        <v>59</v>
      </c>
      <c r="AL143" t="s">
        <v>1140</v>
      </c>
      <c r="AN143" s="3">
        <v>46076.727083333331</v>
      </c>
      <c r="AO143" t="s">
        <v>1138</v>
      </c>
    </row>
    <row r="144" spans="1:41" x14ac:dyDescent="0.3">
      <c r="A144" t="s">
        <v>168</v>
      </c>
      <c r="B144" t="s">
        <v>266</v>
      </c>
      <c r="C144" t="s">
        <v>267</v>
      </c>
      <c r="D144" t="s">
        <v>268</v>
      </c>
      <c r="E144" s="1">
        <v>46076</v>
      </c>
      <c r="F144" t="s">
        <v>569</v>
      </c>
      <c r="G144" t="s">
        <v>128</v>
      </c>
      <c r="H144" s="2">
        <v>0.54166666666666663</v>
      </c>
      <c r="I144" s="2">
        <v>0.89583333333333337</v>
      </c>
      <c r="J144" t="s">
        <v>269</v>
      </c>
      <c r="K144" t="s">
        <v>297</v>
      </c>
      <c r="L144" t="s">
        <v>271</v>
      </c>
      <c r="M144" t="s">
        <v>272</v>
      </c>
      <c r="N144" t="s">
        <v>273</v>
      </c>
      <c r="O144">
        <v>5951312</v>
      </c>
      <c r="Q144" t="s">
        <v>274</v>
      </c>
      <c r="R144" t="s">
        <v>176</v>
      </c>
      <c r="S144" t="s">
        <v>52</v>
      </c>
      <c r="U144">
        <v>891561</v>
      </c>
      <c r="V144" s="3">
        <v>45993.429166666669</v>
      </c>
      <c r="W144" t="s">
        <v>275</v>
      </c>
      <c r="X144" t="s">
        <v>276</v>
      </c>
      <c r="Y144" t="str">
        <f>"0451788814"</f>
        <v>0451788814</v>
      </c>
      <c r="Z144" t="s">
        <v>1141</v>
      </c>
      <c r="AB144" t="s">
        <v>277</v>
      </c>
      <c r="AC144" t="s">
        <v>278</v>
      </c>
      <c r="AD144" t="s">
        <v>168</v>
      </c>
      <c r="AE144" t="s">
        <v>279</v>
      </c>
      <c r="AF144">
        <v>5092</v>
      </c>
      <c r="AG144" t="s">
        <v>274</v>
      </c>
      <c r="AI144" t="s">
        <v>59</v>
      </c>
      <c r="AL144" t="s">
        <v>1142</v>
      </c>
      <c r="AM144" t="s">
        <v>281</v>
      </c>
      <c r="AN144" s="3">
        <v>46076.915972222225</v>
      </c>
      <c r="AO144" t="s">
        <v>275</v>
      </c>
    </row>
    <row r="145" spans="1:41" x14ac:dyDescent="0.3">
      <c r="A145" t="s">
        <v>168</v>
      </c>
      <c r="B145" t="s">
        <v>441</v>
      </c>
      <c r="C145" t="s">
        <v>43</v>
      </c>
      <c r="E145" s="1">
        <v>46076</v>
      </c>
      <c r="F145" t="s">
        <v>569</v>
      </c>
      <c r="G145" t="s">
        <v>128</v>
      </c>
      <c r="H145" s="2">
        <v>0.54166666666666663</v>
      </c>
      <c r="I145" s="2">
        <v>0.875</v>
      </c>
      <c r="J145" t="s">
        <v>185</v>
      </c>
      <c r="K145" t="s">
        <v>678</v>
      </c>
      <c r="L145" t="s">
        <v>186</v>
      </c>
      <c r="M145" t="s">
        <v>1143</v>
      </c>
      <c r="N145" t="s">
        <v>1144</v>
      </c>
      <c r="O145">
        <v>5951229</v>
      </c>
      <c r="Q145" t="s">
        <v>1145</v>
      </c>
      <c r="R145" t="s">
        <v>500</v>
      </c>
      <c r="S145" t="s">
        <v>52</v>
      </c>
      <c r="U145">
        <v>891528</v>
      </c>
      <c r="V145" s="3">
        <v>46050.959027777775</v>
      </c>
      <c r="W145" t="s">
        <v>1146</v>
      </c>
      <c r="X145" t="s">
        <v>1147</v>
      </c>
      <c r="Y145" t="str">
        <f>"0405315721"</f>
        <v>0405315721</v>
      </c>
      <c r="Z145" t="s">
        <v>1148</v>
      </c>
      <c r="AB145" t="s">
        <v>448</v>
      </c>
      <c r="AD145" t="s">
        <v>168</v>
      </c>
      <c r="AE145" t="s">
        <v>180</v>
      </c>
      <c r="AF145">
        <v>5063</v>
      </c>
      <c r="AG145" t="s">
        <v>944</v>
      </c>
      <c r="AI145" t="s">
        <v>59</v>
      </c>
      <c r="AL145" t="s">
        <v>1149</v>
      </c>
      <c r="AN145" s="3">
        <v>46076.804861111108</v>
      </c>
      <c r="AO145" t="s">
        <v>1146</v>
      </c>
    </row>
    <row r="146" spans="1:41" x14ac:dyDescent="0.3">
      <c r="A146" t="s">
        <v>168</v>
      </c>
      <c r="B146" t="s">
        <v>326</v>
      </c>
      <c r="C146" t="s">
        <v>1150</v>
      </c>
      <c r="D146" t="s">
        <v>127</v>
      </c>
      <c r="E146" s="1">
        <v>46076</v>
      </c>
      <c r="F146" t="s">
        <v>569</v>
      </c>
      <c r="G146" t="s">
        <v>128</v>
      </c>
      <c r="H146" s="2">
        <v>0.54166666666666663</v>
      </c>
      <c r="I146" s="2">
        <v>0.79166666666666663</v>
      </c>
      <c r="J146" t="s">
        <v>101</v>
      </c>
      <c r="L146" t="s">
        <v>159</v>
      </c>
      <c r="M146" t="s">
        <v>1151</v>
      </c>
      <c r="N146" t="s">
        <v>1152</v>
      </c>
      <c r="O146">
        <v>13</v>
      </c>
      <c r="Q146" t="s">
        <v>676</v>
      </c>
      <c r="R146" t="s">
        <v>176</v>
      </c>
      <c r="S146" t="s">
        <v>52</v>
      </c>
      <c r="U146">
        <v>891535</v>
      </c>
      <c r="V146" s="3">
        <v>46043.688888888886</v>
      </c>
      <c r="W146" t="s">
        <v>1153</v>
      </c>
      <c r="X146" t="s">
        <v>1154</v>
      </c>
      <c r="Y146" t="str">
        <f>"0424485060"</f>
        <v>0424485060</v>
      </c>
      <c r="Z146" t="s">
        <v>1155</v>
      </c>
      <c r="AB146" t="s">
        <v>333</v>
      </c>
      <c r="AD146" t="s">
        <v>168</v>
      </c>
      <c r="AE146" t="s">
        <v>334</v>
      </c>
      <c r="AF146">
        <v>5034</v>
      </c>
      <c r="AG146" t="s">
        <v>676</v>
      </c>
      <c r="AI146" t="s">
        <v>59</v>
      </c>
      <c r="AL146" t="s">
        <v>1121</v>
      </c>
      <c r="AN146" s="3">
        <v>46076.824999999997</v>
      </c>
      <c r="AO146" t="s">
        <v>1153</v>
      </c>
    </row>
    <row r="147" spans="1:41" x14ac:dyDescent="0.3">
      <c r="A147" t="s">
        <v>168</v>
      </c>
      <c r="B147" t="s">
        <v>1021</v>
      </c>
      <c r="C147" t="s">
        <v>216</v>
      </c>
      <c r="D147" t="s">
        <v>127</v>
      </c>
      <c r="E147" s="1">
        <v>46076</v>
      </c>
      <c r="F147" t="s">
        <v>569</v>
      </c>
      <c r="G147" t="s">
        <v>128</v>
      </c>
      <c r="H147" s="2">
        <v>0.54166666666666663</v>
      </c>
      <c r="I147" s="2">
        <v>0.875</v>
      </c>
      <c r="J147" t="s">
        <v>101</v>
      </c>
      <c r="L147" t="s">
        <v>159</v>
      </c>
      <c r="M147" t="s">
        <v>1156</v>
      </c>
      <c r="N147" t="s">
        <v>1157</v>
      </c>
      <c r="O147">
        <v>5952460</v>
      </c>
      <c r="Q147" t="s">
        <v>1158</v>
      </c>
      <c r="R147" t="s">
        <v>1026</v>
      </c>
      <c r="S147" t="s">
        <v>52</v>
      </c>
      <c r="U147">
        <v>891548</v>
      </c>
      <c r="V147" s="3">
        <v>46071.509722222225</v>
      </c>
      <c r="W147" t="s">
        <v>1159</v>
      </c>
      <c r="X147" t="s">
        <v>1160</v>
      </c>
      <c r="Y147" t="str">
        <f>"0432288420"</f>
        <v>0432288420</v>
      </c>
      <c r="Z147" t="s">
        <v>70</v>
      </c>
      <c r="AA147" s="1">
        <v>46076</v>
      </c>
      <c r="AB147" t="s">
        <v>1029</v>
      </c>
      <c r="AD147" t="s">
        <v>168</v>
      </c>
      <c r="AE147" t="s">
        <v>1030</v>
      </c>
      <c r="AF147">
        <v>5022</v>
      </c>
      <c r="AI147" t="s">
        <v>59</v>
      </c>
      <c r="AL147" t="s">
        <v>370</v>
      </c>
      <c r="AN147" s="3">
        <v>46076.874305555553</v>
      </c>
      <c r="AO147" t="s">
        <v>1159</v>
      </c>
    </row>
    <row r="148" spans="1:41" x14ac:dyDescent="0.3">
      <c r="A148" t="s">
        <v>168</v>
      </c>
      <c r="B148" t="s">
        <v>441</v>
      </c>
      <c r="C148" t="s">
        <v>202</v>
      </c>
      <c r="E148" s="1">
        <v>46076</v>
      </c>
      <c r="F148" t="s">
        <v>569</v>
      </c>
      <c r="G148" t="s">
        <v>128</v>
      </c>
      <c r="H148" s="2">
        <v>0.54166666666666663</v>
      </c>
      <c r="I148" s="2">
        <v>0.875</v>
      </c>
      <c r="J148" t="s">
        <v>46</v>
      </c>
      <c r="L148" t="s">
        <v>47</v>
      </c>
      <c r="M148" t="s">
        <v>1161</v>
      </c>
      <c r="N148" t="s">
        <v>1162</v>
      </c>
      <c r="O148">
        <v>22168</v>
      </c>
      <c r="Q148" t="s">
        <v>944</v>
      </c>
      <c r="R148" t="s">
        <v>556</v>
      </c>
      <c r="S148" t="s">
        <v>52</v>
      </c>
      <c r="U148">
        <v>891529</v>
      </c>
      <c r="V148" s="3">
        <v>46050.95</v>
      </c>
      <c r="W148" t="s">
        <v>1163</v>
      </c>
      <c r="X148" t="s">
        <v>1164</v>
      </c>
      <c r="Y148" t="str">
        <f>"0421462931"</f>
        <v>0421462931</v>
      </c>
      <c r="Z148" t="s">
        <v>70</v>
      </c>
      <c r="AB148" t="s">
        <v>448</v>
      </c>
      <c r="AD148" t="s">
        <v>168</v>
      </c>
      <c r="AE148" t="s">
        <v>180</v>
      </c>
      <c r="AF148">
        <v>5063</v>
      </c>
      <c r="AG148" t="s">
        <v>944</v>
      </c>
      <c r="AI148" t="s">
        <v>59</v>
      </c>
      <c r="AL148" t="s">
        <v>1121</v>
      </c>
      <c r="AN148" s="3">
        <v>46076.806944444441</v>
      </c>
      <c r="AO148" t="s">
        <v>1163</v>
      </c>
    </row>
    <row r="149" spans="1:41" x14ac:dyDescent="0.3">
      <c r="A149" t="s">
        <v>41</v>
      </c>
      <c r="B149" t="s">
        <v>551</v>
      </c>
      <c r="C149" t="s">
        <v>296</v>
      </c>
      <c r="D149" t="s">
        <v>246</v>
      </c>
      <c r="E149" s="1">
        <v>46076</v>
      </c>
      <c r="F149" t="s">
        <v>569</v>
      </c>
      <c r="G149" t="s">
        <v>128</v>
      </c>
      <c r="H149" s="2">
        <v>0.54166666666666663</v>
      </c>
      <c r="I149" s="2">
        <v>0.89583333333333337</v>
      </c>
      <c r="J149" t="s">
        <v>296</v>
      </c>
      <c r="K149" t="s">
        <v>553</v>
      </c>
      <c r="L149" t="s">
        <v>428</v>
      </c>
      <c r="M149" t="s">
        <v>429</v>
      </c>
      <c r="N149" t="s">
        <v>430</v>
      </c>
      <c r="O149">
        <v>5950727</v>
      </c>
      <c r="Q149" t="s">
        <v>1165</v>
      </c>
      <c r="R149" t="s">
        <v>723</v>
      </c>
      <c r="S149" t="s">
        <v>52</v>
      </c>
      <c r="U149">
        <v>891563</v>
      </c>
      <c r="V149" s="3">
        <v>46076.407638888886</v>
      </c>
      <c r="W149" t="s">
        <v>432</v>
      </c>
      <c r="X149" t="s">
        <v>433</v>
      </c>
      <c r="Y149" t="str">
        <f>"0420946792"</f>
        <v>0420946792</v>
      </c>
      <c r="Z149" t="s">
        <v>70</v>
      </c>
      <c r="AA149" s="1">
        <v>46076</v>
      </c>
      <c r="AB149" t="s">
        <v>559</v>
      </c>
      <c r="AD149" t="s">
        <v>41</v>
      </c>
      <c r="AE149" t="s">
        <v>560</v>
      </c>
      <c r="AF149">
        <v>4131</v>
      </c>
      <c r="AG149" t="s">
        <v>1166</v>
      </c>
      <c r="AI149" t="s">
        <v>59</v>
      </c>
      <c r="AL149" t="s">
        <v>1167</v>
      </c>
      <c r="AN149" s="3">
        <v>46076.931250000001</v>
      </c>
      <c r="AO149" t="s">
        <v>432</v>
      </c>
    </row>
    <row r="150" spans="1:41" x14ac:dyDescent="0.3">
      <c r="A150" t="s">
        <v>41</v>
      </c>
      <c r="B150" t="s">
        <v>1168</v>
      </c>
      <c r="D150" t="s">
        <v>246</v>
      </c>
      <c r="E150" s="1">
        <v>46076</v>
      </c>
      <c r="F150" t="s">
        <v>569</v>
      </c>
      <c r="G150" t="s">
        <v>45</v>
      </c>
      <c r="H150" s="2">
        <v>0.54166666666666663</v>
      </c>
      <c r="I150" s="2">
        <v>0.89583333333333337</v>
      </c>
      <c r="J150" t="s">
        <v>296</v>
      </c>
      <c r="L150" t="s">
        <v>1169</v>
      </c>
      <c r="M150" t="s">
        <v>1170</v>
      </c>
      <c r="N150" t="s">
        <v>1171</v>
      </c>
      <c r="O150">
        <v>5952274</v>
      </c>
      <c r="Q150" t="s">
        <v>1172</v>
      </c>
      <c r="R150" t="s">
        <v>1173</v>
      </c>
      <c r="S150" t="s">
        <v>52</v>
      </c>
      <c r="T150" t="s">
        <v>252</v>
      </c>
      <c r="U150">
        <v>892211</v>
      </c>
      <c r="V150" s="3">
        <v>46083.459722222222</v>
      </c>
      <c r="W150" t="s">
        <v>1173</v>
      </c>
      <c r="X150" t="s">
        <v>1174</v>
      </c>
      <c r="Y150" t="str">
        <f>"0432261353"</f>
        <v>0432261353</v>
      </c>
      <c r="Z150" t="s">
        <v>585</v>
      </c>
      <c r="AA150" s="1">
        <v>46083</v>
      </c>
      <c r="AB150" t="s">
        <v>1175</v>
      </c>
      <c r="AD150" t="s">
        <v>41</v>
      </c>
      <c r="AE150" t="s">
        <v>1176</v>
      </c>
      <c r="AF150">
        <v>4680</v>
      </c>
      <c r="AG150" t="s">
        <v>1177</v>
      </c>
      <c r="AI150" t="s">
        <v>59</v>
      </c>
      <c r="AJ150" t="str">
        <f>"0050076336"</f>
        <v>0050076336</v>
      </c>
      <c r="AN150" s="3">
        <v>46083.459722222222</v>
      </c>
      <c r="AO150" t="s">
        <v>1173</v>
      </c>
    </row>
    <row r="151" spans="1:41" x14ac:dyDescent="0.3">
      <c r="A151" t="s">
        <v>168</v>
      </c>
      <c r="B151" t="s">
        <v>1178</v>
      </c>
      <c r="C151" t="s">
        <v>1150</v>
      </c>
      <c r="D151" t="s">
        <v>127</v>
      </c>
      <c r="E151" s="1">
        <v>46076</v>
      </c>
      <c r="F151" t="s">
        <v>569</v>
      </c>
      <c r="G151" t="s">
        <v>128</v>
      </c>
      <c r="H151" s="2">
        <v>0.54166666666666663</v>
      </c>
      <c r="I151" s="2">
        <v>0.875</v>
      </c>
      <c r="J151" t="s">
        <v>101</v>
      </c>
      <c r="L151" t="s">
        <v>47</v>
      </c>
      <c r="M151" t="s">
        <v>1179</v>
      </c>
      <c r="N151" t="s">
        <v>1180</v>
      </c>
      <c r="O151">
        <v>20171</v>
      </c>
      <c r="Q151" t="s">
        <v>1181</v>
      </c>
      <c r="R151" t="s">
        <v>231</v>
      </c>
      <c r="S151" t="s">
        <v>52</v>
      </c>
      <c r="U151">
        <v>891532</v>
      </c>
      <c r="V151" s="3">
        <v>46073.663888888892</v>
      </c>
      <c r="W151" t="s">
        <v>1182</v>
      </c>
      <c r="X151" t="s">
        <v>1183</v>
      </c>
      <c r="Y151" t="str">
        <f>"0415176379"</f>
        <v>0415176379</v>
      </c>
      <c r="Z151" t="s">
        <v>70</v>
      </c>
      <c r="AA151" s="1">
        <v>46076</v>
      </c>
      <c r="AB151" t="s">
        <v>1184</v>
      </c>
      <c r="AD151" t="s">
        <v>168</v>
      </c>
      <c r="AE151" t="s">
        <v>1185</v>
      </c>
      <c r="AF151">
        <v>5066</v>
      </c>
      <c r="AG151" t="s">
        <v>1186</v>
      </c>
      <c r="AI151" t="s">
        <v>59</v>
      </c>
      <c r="AL151" t="s">
        <v>1187</v>
      </c>
      <c r="AN151" s="3">
        <v>46076.81527777778</v>
      </c>
      <c r="AO151" t="s">
        <v>1182</v>
      </c>
    </row>
    <row r="152" spans="1:41" x14ac:dyDescent="0.3">
      <c r="A152" t="s">
        <v>168</v>
      </c>
      <c r="B152" t="s">
        <v>326</v>
      </c>
      <c r="C152" t="s">
        <v>43</v>
      </c>
      <c r="D152" t="s">
        <v>127</v>
      </c>
      <c r="E152" s="1">
        <v>46076</v>
      </c>
      <c r="F152" t="s">
        <v>569</v>
      </c>
      <c r="G152" t="s">
        <v>128</v>
      </c>
      <c r="H152" s="2">
        <v>0.54166666666666663</v>
      </c>
      <c r="I152" s="2">
        <v>0.79166666666666663</v>
      </c>
      <c r="J152" t="s">
        <v>185</v>
      </c>
      <c r="K152" t="s">
        <v>327</v>
      </c>
      <c r="L152" t="s">
        <v>186</v>
      </c>
      <c r="M152" t="s">
        <v>835</v>
      </c>
      <c r="N152" t="s">
        <v>836</v>
      </c>
      <c r="O152">
        <v>22947</v>
      </c>
      <c r="Q152" t="s">
        <v>676</v>
      </c>
      <c r="R152" t="s">
        <v>176</v>
      </c>
      <c r="S152" t="s">
        <v>52</v>
      </c>
      <c r="U152">
        <v>891531</v>
      </c>
      <c r="V152" s="3">
        <v>46043.53125</v>
      </c>
      <c r="W152" t="s">
        <v>837</v>
      </c>
      <c r="X152" t="s">
        <v>838</v>
      </c>
      <c r="Y152" t="str">
        <f>"0415626656"</f>
        <v>0415626656</v>
      </c>
      <c r="Z152" t="s">
        <v>1155</v>
      </c>
      <c r="AB152" t="s">
        <v>333</v>
      </c>
      <c r="AD152" t="s">
        <v>168</v>
      </c>
      <c r="AE152" t="s">
        <v>334</v>
      </c>
      <c r="AF152">
        <v>5034</v>
      </c>
      <c r="AG152" t="s">
        <v>676</v>
      </c>
      <c r="AI152" t="s">
        <v>59</v>
      </c>
      <c r="AL152" t="s">
        <v>1121</v>
      </c>
      <c r="AN152" s="3">
        <v>46076.80972222222</v>
      </c>
      <c r="AO152" t="s">
        <v>837</v>
      </c>
    </row>
    <row r="153" spans="1:41" x14ac:dyDescent="0.3">
      <c r="A153" t="s">
        <v>61</v>
      </c>
      <c r="B153" t="s">
        <v>182</v>
      </c>
      <c r="C153" t="s">
        <v>100</v>
      </c>
      <c r="D153" t="s">
        <v>184</v>
      </c>
      <c r="E153" s="1">
        <v>46076</v>
      </c>
      <c r="F153" t="s">
        <v>569</v>
      </c>
      <c r="G153" t="s">
        <v>128</v>
      </c>
      <c r="H153" s="2">
        <v>0.54166666666666663</v>
      </c>
      <c r="I153" s="2">
        <v>0.89583333333333337</v>
      </c>
      <c r="J153" t="s">
        <v>100</v>
      </c>
      <c r="L153" t="s">
        <v>100</v>
      </c>
      <c r="M153" t="s">
        <v>1188</v>
      </c>
      <c r="N153" t="s">
        <v>1189</v>
      </c>
      <c r="O153">
        <v>21235</v>
      </c>
      <c r="Q153" t="s">
        <v>1190</v>
      </c>
      <c r="R153" t="s">
        <v>67</v>
      </c>
      <c r="S153" t="s">
        <v>52</v>
      </c>
      <c r="U153">
        <v>891547</v>
      </c>
      <c r="V153" s="3">
        <v>46044.34097222222</v>
      </c>
      <c r="W153" t="s">
        <v>1191</v>
      </c>
      <c r="X153" t="s">
        <v>1192</v>
      </c>
      <c r="Y153" t="str">
        <f>"0479157796"</f>
        <v>0479157796</v>
      </c>
      <c r="Z153" t="s">
        <v>1193</v>
      </c>
      <c r="AB153" t="s">
        <v>193</v>
      </c>
      <c r="AD153" t="s">
        <v>61</v>
      </c>
      <c r="AE153" t="s">
        <v>194</v>
      </c>
      <c r="AF153">
        <v>2229</v>
      </c>
      <c r="AG153" t="s">
        <v>1045</v>
      </c>
      <c r="AI153" t="s">
        <v>59</v>
      </c>
      <c r="AL153" t="s">
        <v>1088</v>
      </c>
      <c r="AN153" s="3">
        <v>46076.870833333334</v>
      </c>
      <c r="AO153" t="s">
        <v>1191</v>
      </c>
    </row>
    <row r="154" spans="1:41" x14ac:dyDescent="0.3">
      <c r="A154" t="s">
        <v>168</v>
      </c>
      <c r="B154" t="s">
        <v>266</v>
      </c>
      <c r="D154" t="s">
        <v>268</v>
      </c>
      <c r="E154" s="1">
        <v>46076</v>
      </c>
      <c r="F154" t="s">
        <v>569</v>
      </c>
      <c r="G154" t="s">
        <v>128</v>
      </c>
      <c r="H154" s="2">
        <v>0.54166666666666663</v>
      </c>
      <c r="I154" s="2">
        <v>0.89583333333333337</v>
      </c>
      <c r="J154" t="s">
        <v>296</v>
      </c>
      <c r="K154" t="s">
        <v>297</v>
      </c>
      <c r="L154" t="s">
        <v>298</v>
      </c>
      <c r="M154" t="s">
        <v>1194</v>
      </c>
      <c r="N154" t="s">
        <v>1195</v>
      </c>
      <c r="O154">
        <v>5951969</v>
      </c>
      <c r="Q154" t="s">
        <v>274</v>
      </c>
      <c r="R154" t="s">
        <v>176</v>
      </c>
      <c r="S154" t="s">
        <v>52</v>
      </c>
      <c r="U154">
        <v>891562</v>
      </c>
      <c r="V154" s="3">
        <v>45993.540277777778</v>
      </c>
      <c r="W154" t="s">
        <v>1196</v>
      </c>
      <c r="X154" t="s">
        <v>1197</v>
      </c>
      <c r="Y154" t="str">
        <f>"0431208028"</f>
        <v>0431208028</v>
      </c>
      <c r="Z154" t="s">
        <v>70</v>
      </c>
      <c r="AB154" t="s">
        <v>277</v>
      </c>
      <c r="AC154" t="s">
        <v>278</v>
      </c>
      <c r="AD154" t="s">
        <v>168</v>
      </c>
      <c r="AE154" t="s">
        <v>279</v>
      </c>
      <c r="AF154">
        <v>5092</v>
      </c>
      <c r="AG154" t="s">
        <v>274</v>
      </c>
      <c r="AI154" t="s">
        <v>59</v>
      </c>
      <c r="AL154" t="s">
        <v>1198</v>
      </c>
      <c r="AM154" t="s">
        <v>281</v>
      </c>
      <c r="AN154" s="3">
        <v>46076.917361111111</v>
      </c>
      <c r="AO154" t="s">
        <v>1196</v>
      </c>
    </row>
    <row r="155" spans="1:41" x14ac:dyDescent="0.3">
      <c r="A155" t="s">
        <v>168</v>
      </c>
      <c r="B155" t="s">
        <v>1199</v>
      </c>
      <c r="C155" t="s">
        <v>100</v>
      </c>
      <c r="D155" t="s">
        <v>127</v>
      </c>
      <c r="E155" s="1">
        <v>46076</v>
      </c>
      <c r="F155" t="s">
        <v>569</v>
      </c>
      <c r="G155" t="s">
        <v>128</v>
      </c>
      <c r="H155" s="2">
        <v>0.54166666666666663</v>
      </c>
      <c r="I155" s="2">
        <v>0.875</v>
      </c>
      <c r="J155" t="s">
        <v>100</v>
      </c>
      <c r="L155" t="s">
        <v>100</v>
      </c>
      <c r="M155" t="s">
        <v>247</v>
      </c>
      <c r="N155" t="s">
        <v>248</v>
      </c>
      <c r="O155">
        <v>20770</v>
      </c>
      <c r="Q155" t="s">
        <v>1200</v>
      </c>
      <c r="R155" t="s">
        <v>176</v>
      </c>
      <c r="S155" t="s">
        <v>52</v>
      </c>
      <c r="U155">
        <v>891537</v>
      </c>
      <c r="V155" s="3">
        <v>46070.466666666667</v>
      </c>
      <c r="W155" t="s">
        <v>251</v>
      </c>
      <c r="X155" t="s">
        <v>253</v>
      </c>
      <c r="Y155" t="str">
        <f>"0429586658"</f>
        <v>0429586658</v>
      </c>
      <c r="Z155" t="s">
        <v>1201</v>
      </c>
      <c r="AB155" t="s">
        <v>1202</v>
      </c>
      <c r="AD155" t="s">
        <v>168</v>
      </c>
      <c r="AE155" t="s">
        <v>1203</v>
      </c>
      <c r="AF155">
        <v>5152</v>
      </c>
      <c r="AG155" t="s">
        <v>1200</v>
      </c>
      <c r="AI155" t="s">
        <v>59</v>
      </c>
      <c r="AL155" t="s">
        <v>1204</v>
      </c>
      <c r="AN155" s="3">
        <v>46076.837500000001</v>
      </c>
      <c r="AO155" t="s">
        <v>251</v>
      </c>
    </row>
    <row r="156" spans="1:41" x14ac:dyDescent="0.3">
      <c r="A156" t="s">
        <v>168</v>
      </c>
      <c r="B156" t="s">
        <v>1205</v>
      </c>
      <c r="C156" t="s">
        <v>216</v>
      </c>
      <c r="D156" t="s">
        <v>127</v>
      </c>
      <c r="E156" s="1">
        <v>46076</v>
      </c>
      <c r="F156" t="s">
        <v>569</v>
      </c>
      <c r="G156" t="s">
        <v>128</v>
      </c>
      <c r="H156" s="2">
        <v>0.54236111111111107</v>
      </c>
      <c r="I156" s="2">
        <v>0.75</v>
      </c>
      <c r="J156" t="s">
        <v>101</v>
      </c>
      <c r="L156" t="s">
        <v>159</v>
      </c>
      <c r="M156" t="s">
        <v>1206</v>
      </c>
      <c r="N156" t="s">
        <v>1207</v>
      </c>
      <c r="O156">
        <v>21307</v>
      </c>
      <c r="Q156" t="s">
        <v>1208</v>
      </c>
      <c r="R156" t="s">
        <v>231</v>
      </c>
      <c r="S156" t="s">
        <v>52</v>
      </c>
      <c r="U156">
        <v>891505</v>
      </c>
      <c r="V156" s="3">
        <v>46073.570138888892</v>
      </c>
      <c r="W156" t="s">
        <v>1209</v>
      </c>
      <c r="X156" t="s">
        <v>1210</v>
      </c>
      <c r="Y156" t="str">
        <f>"0421122070"</f>
        <v>0421122070</v>
      </c>
      <c r="Z156" t="s">
        <v>55</v>
      </c>
      <c r="AA156" s="1">
        <v>46076</v>
      </c>
      <c r="AB156" t="s">
        <v>1211</v>
      </c>
      <c r="AD156" t="s">
        <v>168</v>
      </c>
      <c r="AE156" t="s">
        <v>1212</v>
      </c>
      <c r="AF156">
        <v>5045</v>
      </c>
      <c r="AG156" t="s">
        <v>1208</v>
      </c>
      <c r="AI156" t="s">
        <v>59</v>
      </c>
      <c r="AL156" t="s">
        <v>1213</v>
      </c>
      <c r="AN156" s="3">
        <v>46076.738888888889</v>
      </c>
      <c r="AO156" t="s">
        <v>1209</v>
      </c>
    </row>
    <row r="157" spans="1:41" x14ac:dyDescent="0.3">
      <c r="A157" t="s">
        <v>168</v>
      </c>
      <c r="B157" t="s">
        <v>282</v>
      </c>
      <c r="C157" t="s">
        <v>43</v>
      </c>
      <c r="D157" t="s">
        <v>283</v>
      </c>
      <c r="E157" s="1">
        <v>46076</v>
      </c>
      <c r="F157" t="s">
        <v>569</v>
      </c>
      <c r="G157" t="s">
        <v>128</v>
      </c>
      <c r="H157" s="2">
        <v>0.5625</v>
      </c>
      <c r="I157" s="2">
        <v>0.77083333333333337</v>
      </c>
      <c r="J157" t="s">
        <v>185</v>
      </c>
      <c r="K157" t="s">
        <v>284</v>
      </c>
      <c r="L157" t="s">
        <v>186</v>
      </c>
      <c r="M157" t="s">
        <v>1214</v>
      </c>
      <c r="N157" t="s">
        <v>1215</v>
      </c>
      <c r="O157">
        <v>21599</v>
      </c>
      <c r="Q157" t="s">
        <v>287</v>
      </c>
      <c r="R157" t="s">
        <v>231</v>
      </c>
      <c r="S157" t="s">
        <v>52</v>
      </c>
      <c r="U157">
        <v>891509</v>
      </c>
      <c r="V157" s="3">
        <v>46073.49722222222</v>
      </c>
      <c r="W157" t="s">
        <v>1216</v>
      </c>
      <c r="X157" t="s">
        <v>1217</v>
      </c>
      <c r="Y157" t="str">
        <f>"0408807092"</f>
        <v>0408807092</v>
      </c>
      <c r="Z157" t="s">
        <v>123</v>
      </c>
      <c r="AA157" s="1">
        <v>46076</v>
      </c>
      <c r="AB157" t="s">
        <v>291</v>
      </c>
      <c r="AC157" t="s">
        <v>292</v>
      </c>
      <c r="AD157" t="s">
        <v>168</v>
      </c>
      <c r="AE157" t="s">
        <v>293</v>
      </c>
      <c r="AF157">
        <v>5037</v>
      </c>
      <c r="AG157" t="s">
        <v>287</v>
      </c>
      <c r="AI157" t="s">
        <v>59</v>
      </c>
      <c r="AL157" t="s">
        <v>1218</v>
      </c>
      <c r="AN157" s="3">
        <v>46076.749305555553</v>
      </c>
      <c r="AO157" t="s">
        <v>1216</v>
      </c>
    </row>
    <row r="158" spans="1:41" x14ac:dyDescent="0.3">
      <c r="A158" t="s">
        <v>41</v>
      </c>
      <c r="B158" t="s">
        <v>1219</v>
      </c>
      <c r="C158" t="s">
        <v>43</v>
      </c>
      <c r="D158" t="s">
        <v>184</v>
      </c>
      <c r="E158" s="1">
        <v>46076</v>
      </c>
      <c r="F158" t="s">
        <v>569</v>
      </c>
      <c r="G158" t="s">
        <v>128</v>
      </c>
      <c r="H158" s="2">
        <v>0.5625</v>
      </c>
      <c r="I158" s="2">
        <v>0.91666666666666663</v>
      </c>
      <c r="J158" t="s">
        <v>46</v>
      </c>
      <c r="L158" t="s">
        <v>47</v>
      </c>
      <c r="M158" t="s">
        <v>1220</v>
      </c>
      <c r="N158" t="s">
        <v>1221</v>
      </c>
      <c r="O158">
        <v>5950857</v>
      </c>
      <c r="Q158" t="s">
        <v>1222</v>
      </c>
      <c r="R158" t="s">
        <v>723</v>
      </c>
      <c r="S158" t="s">
        <v>52</v>
      </c>
      <c r="U158">
        <v>891554</v>
      </c>
      <c r="V158" s="3">
        <v>46065.433333333334</v>
      </c>
      <c r="W158" t="s">
        <v>1223</v>
      </c>
      <c r="X158" t="s">
        <v>1224</v>
      </c>
      <c r="Y158" t="str">
        <f>"0431426020"</f>
        <v>0431426020</v>
      </c>
      <c r="Z158" t="s">
        <v>1225</v>
      </c>
      <c r="AB158" t="s">
        <v>1226</v>
      </c>
      <c r="AD158" t="s">
        <v>41</v>
      </c>
      <c r="AE158" t="s">
        <v>1227</v>
      </c>
      <c r="AF158">
        <v>4217</v>
      </c>
      <c r="AG158" t="s">
        <v>1222</v>
      </c>
      <c r="AI158" t="s">
        <v>59</v>
      </c>
      <c r="AN158" s="3">
        <v>46076.890277777777</v>
      </c>
      <c r="AO158" t="s">
        <v>1223</v>
      </c>
    </row>
    <row r="159" spans="1:41" x14ac:dyDescent="0.3">
      <c r="A159" t="s">
        <v>41</v>
      </c>
      <c r="B159" t="s">
        <v>1228</v>
      </c>
      <c r="D159" t="s">
        <v>246</v>
      </c>
      <c r="E159" s="1">
        <v>46076</v>
      </c>
      <c r="F159" t="s">
        <v>569</v>
      </c>
      <c r="G159" t="s">
        <v>45</v>
      </c>
      <c r="H159" s="2">
        <v>0.56319444444444444</v>
      </c>
      <c r="I159" s="2">
        <v>0.72986111111111107</v>
      </c>
      <c r="J159" t="s">
        <v>296</v>
      </c>
      <c r="L159" t="s">
        <v>1229</v>
      </c>
      <c r="M159" t="s">
        <v>1230</v>
      </c>
      <c r="N159" t="s">
        <v>1231</v>
      </c>
      <c r="O159">
        <v>5952329</v>
      </c>
      <c r="Q159" t="s">
        <v>1232</v>
      </c>
      <c r="R159" t="s">
        <v>759</v>
      </c>
      <c r="S159" t="s">
        <v>119</v>
      </c>
      <c r="T159" t="s">
        <v>760</v>
      </c>
      <c r="U159">
        <v>892492</v>
      </c>
      <c r="V159" s="3">
        <v>46084.901388888888</v>
      </c>
      <c r="W159" t="s">
        <v>1233</v>
      </c>
      <c r="X159" t="s">
        <v>1234</v>
      </c>
      <c r="Y159" t="str">
        <f>"0485533840"</f>
        <v>0485533840</v>
      </c>
      <c r="Z159" t="s">
        <v>70</v>
      </c>
      <c r="AB159" t="s">
        <v>1235</v>
      </c>
      <c r="AD159" t="s">
        <v>41</v>
      </c>
      <c r="AE159" t="s">
        <v>1236</v>
      </c>
      <c r="AF159">
        <v>4215</v>
      </c>
      <c r="AG159" t="s">
        <v>1232</v>
      </c>
      <c r="AI159" t="s">
        <v>59</v>
      </c>
      <c r="AM159" t="s">
        <v>1237</v>
      </c>
      <c r="AN159" s="3">
        <v>46084.901388888888</v>
      </c>
      <c r="AO159" t="s">
        <v>759</v>
      </c>
    </row>
    <row r="160" spans="1:41" x14ac:dyDescent="0.3">
      <c r="A160" t="s">
        <v>306</v>
      </c>
      <c r="B160" t="s">
        <v>1238</v>
      </c>
      <c r="C160" t="s">
        <v>529</v>
      </c>
      <c r="D160" t="s">
        <v>90</v>
      </c>
      <c r="E160" s="1">
        <v>46076</v>
      </c>
      <c r="F160" t="s">
        <v>569</v>
      </c>
      <c r="G160" t="s">
        <v>128</v>
      </c>
      <c r="H160" s="2">
        <v>0.58333333333333337</v>
      </c>
      <c r="I160" s="2">
        <v>0.8125</v>
      </c>
      <c r="J160" t="s">
        <v>529</v>
      </c>
      <c r="K160" t="s">
        <v>530</v>
      </c>
      <c r="L160" t="s">
        <v>531</v>
      </c>
      <c r="M160" t="s">
        <v>1239</v>
      </c>
      <c r="N160" t="s">
        <v>1240</v>
      </c>
      <c r="O160">
        <v>5952284</v>
      </c>
      <c r="Q160" t="s">
        <v>98</v>
      </c>
      <c r="R160" t="s">
        <v>500</v>
      </c>
      <c r="S160" t="s">
        <v>52</v>
      </c>
      <c r="U160">
        <v>891523</v>
      </c>
      <c r="V160" s="3">
        <v>46075.795138888891</v>
      </c>
      <c r="W160" t="s">
        <v>1241</v>
      </c>
      <c r="X160" t="s">
        <v>1242</v>
      </c>
      <c r="Y160" t="str">
        <f>"0402086188"</f>
        <v>0402086188</v>
      </c>
      <c r="Z160" t="s">
        <v>70</v>
      </c>
      <c r="AA160" s="1">
        <v>46076</v>
      </c>
      <c r="AB160" t="s">
        <v>1243</v>
      </c>
      <c r="AD160" t="s">
        <v>306</v>
      </c>
      <c r="AE160" t="s">
        <v>1244</v>
      </c>
      <c r="AF160">
        <v>3065</v>
      </c>
      <c r="AG160" t="s">
        <v>1245</v>
      </c>
      <c r="AI160" t="s">
        <v>59</v>
      </c>
      <c r="AL160" t="s">
        <v>1246</v>
      </c>
      <c r="AN160" s="3">
        <v>46076.790277777778</v>
      </c>
      <c r="AO160" t="s">
        <v>1241</v>
      </c>
    </row>
    <row r="161" spans="1:41" x14ac:dyDescent="0.3">
      <c r="A161" t="s">
        <v>168</v>
      </c>
      <c r="B161" t="s">
        <v>326</v>
      </c>
      <c r="C161" t="s">
        <v>1150</v>
      </c>
      <c r="D161" t="s">
        <v>127</v>
      </c>
      <c r="E161" s="1">
        <v>46076</v>
      </c>
      <c r="F161" t="s">
        <v>569</v>
      </c>
      <c r="G161" t="s">
        <v>128</v>
      </c>
      <c r="H161" s="2">
        <v>0.58333333333333337</v>
      </c>
      <c r="I161" s="2">
        <v>0.79166666666666663</v>
      </c>
      <c r="J161" t="s">
        <v>101</v>
      </c>
      <c r="L161" t="s">
        <v>159</v>
      </c>
      <c r="M161" t="s">
        <v>842</v>
      </c>
      <c r="N161" t="s">
        <v>1247</v>
      </c>
      <c r="O161">
        <v>5951105</v>
      </c>
      <c r="Q161" t="s">
        <v>676</v>
      </c>
      <c r="R161" t="s">
        <v>1248</v>
      </c>
      <c r="S161" t="s">
        <v>52</v>
      </c>
      <c r="U161">
        <v>891533</v>
      </c>
      <c r="V161" s="3">
        <v>46072.75</v>
      </c>
      <c r="W161" t="s">
        <v>1249</v>
      </c>
      <c r="X161" t="s">
        <v>1250</v>
      </c>
      <c r="Y161" t="str">
        <f>"0407977988"</f>
        <v>0407977988</v>
      </c>
      <c r="Z161" t="s">
        <v>70</v>
      </c>
      <c r="AA161" s="1">
        <v>46076</v>
      </c>
      <c r="AB161" t="s">
        <v>333</v>
      </c>
      <c r="AD161" t="s">
        <v>168</v>
      </c>
      <c r="AE161" t="s">
        <v>334</v>
      </c>
      <c r="AF161">
        <v>5034</v>
      </c>
      <c r="AG161" t="s">
        <v>676</v>
      </c>
      <c r="AI161" t="s">
        <v>59</v>
      </c>
      <c r="AL161" t="s">
        <v>1251</v>
      </c>
      <c r="AN161" s="3">
        <v>46076.820833333331</v>
      </c>
      <c r="AO161" t="s">
        <v>1249</v>
      </c>
    </row>
    <row r="162" spans="1:41" x14ac:dyDescent="0.3">
      <c r="A162" t="s">
        <v>168</v>
      </c>
      <c r="B162" t="s">
        <v>282</v>
      </c>
      <c r="C162" t="s">
        <v>170</v>
      </c>
      <c r="D162" t="s">
        <v>283</v>
      </c>
      <c r="E162" s="1">
        <v>46076</v>
      </c>
      <c r="F162" t="s">
        <v>569</v>
      </c>
      <c r="G162" t="s">
        <v>128</v>
      </c>
      <c r="H162" s="2">
        <v>0.58333333333333337</v>
      </c>
      <c r="I162" s="2">
        <v>0.79166666666666663</v>
      </c>
      <c r="J162" t="s">
        <v>170</v>
      </c>
      <c r="K162" t="s">
        <v>77</v>
      </c>
      <c r="L162" t="s">
        <v>204</v>
      </c>
      <c r="M162" t="s">
        <v>205</v>
      </c>
      <c r="N162" t="s">
        <v>206</v>
      </c>
      <c r="O162">
        <v>21706</v>
      </c>
      <c r="Q162" t="s">
        <v>287</v>
      </c>
      <c r="R162" t="s">
        <v>231</v>
      </c>
      <c r="S162" t="s">
        <v>52</v>
      </c>
      <c r="U162">
        <v>891516</v>
      </c>
      <c r="V162" s="3">
        <v>46073.49722222222</v>
      </c>
      <c r="W162" t="s">
        <v>209</v>
      </c>
      <c r="X162" t="s">
        <v>210</v>
      </c>
      <c r="Y162" t="str">
        <f>"0415862070"</f>
        <v>0415862070</v>
      </c>
      <c r="Z162" t="s">
        <v>55</v>
      </c>
      <c r="AA162" s="1">
        <v>46076</v>
      </c>
      <c r="AB162" t="s">
        <v>291</v>
      </c>
      <c r="AC162" t="s">
        <v>292</v>
      </c>
      <c r="AD162" t="s">
        <v>168</v>
      </c>
      <c r="AE162" t="s">
        <v>293</v>
      </c>
      <c r="AF162">
        <v>5037</v>
      </c>
      <c r="AG162" t="s">
        <v>287</v>
      </c>
      <c r="AI162" t="s">
        <v>59</v>
      </c>
      <c r="AL162" t="s">
        <v>1252</v>
      </c>
      <c r="AN162" s="3">
        <v>46076.775694444441</v>
      </c>
      <c r="AO162" t="s">
        <v>209</v>
      </c>
    </row>
    <row r="163" spans="1:41" x14ac:dyDescent="0.3">
      <c r="A163" t="s">
        <v>168</v>
      </c>
      <c r="B163" t="s">
        <v>376</v>
      </c>
      <c r="C163" t="s">
        <v>100</v>
      </c>
      <c r="D163" t="s">
        <v>127</v>
      </c>
      <c r="E163" s="1">
        <v>46076</v>
      </c>
      <c r="F163" t="s">
        <v>569</v>
      </c>
      <c r="G163" t="s">
        <v>128</v>
      </c>
      <c r="H163" s="2">
        <v>0.58333333333333337</v>
      </c>
      <c r="I163" s="2">
        <v>0.875</v>
      </c>
      <c r="J163" t="s">
        <v>100</v>
      </c>
      <c r="L163" t="s">
        <v>100</v>
      </c>
      <c r="M163" t="s">
        <v>1253</v>
      </c>
      <c r="N163" t="s">
        <v>1254</v>
      </c>
      <c r="O163">
        <v>5951043</v>
      </c>
      <c r="Q163" t="s">
        <v>1255</v>
      </c>
      <c r="R163" t="s">
        <v>380</v>
      </c>
      <c r="S163" t="s">
        <v>52</v>
      </c>
      <c r="U163">
        <v>891553</v>
      </c>
      <c r="V163" s="3">
        <v>46045.370833333334</v>
      </c>
      <c r="W163" t="s">
        <v>1256</v>
      </c>
      <c r="X163" t="s">
        <v>1257</v>
      </c>
      <c r="Y163" t="str">
        <f>"0431343551"</f>
        <v>0431343551</v>
      </c>
      <c r="Z163" t="s">
        <v>585</v>
      </c>
      <c r="AB163" t="s">
        <v>383</v>
      </c>
      <c r="AD163" t="s">
        <v>168</v>
      </c>
      <c r="AE163" t="s">
        <v>384</v>
      </c>
      <c r="AF163">
        <v>5000</v>
      </c>
      <c r="AI163" t="s">
        <v>59</v>
      </c>
      <c r="AL163" t="s">
        <v>1258</v>
      </c>
      <c r="AN163" s="3">
        <v>46076.88958333333</v>
      </c>
      <c r="AO163" t="s">
        <v>1256</v>
      </c>
    </row>
    <row r="164" spans="1:41" x14ac:dyDescent="0.3">
      <c r="A164" t="s">
        <v>306</v>
      </c>
      <c r="B164" t="s">
        <v>1238</v>
      </c>
      <c r="C164" t="s">
        <v>1259</v>
      </c>
      <c r="D164" t="s">
        <v>90</v>
      </c>
      <c r="E164" s="1">
        <v>46076</v>
      </c>
      <c r="F164" t="s">
        <v>569</v>
      </c>
      <c r="G164" t="s">
        <v>128</v>
      </c>
      <c r="H164" s="2">
        <v>0.58333333333333337</v>
      </c>
      <c r="I164" s="2">
        <v>0.91666666666666663</v>
      </c>
      <c r="J164" t="s">
        <v>296</v>
      </c>
      <c r="L164" t="s">
        <v>1260</v>
      </c>
      <c r="M164" t="s">
        <v>239</v>
      </c>
      <c r="N164" t="s">
        <v>1261</v>
      </c>
      <c r="O164">
        <v>5952100</v>
      </c>
      <c r="Q164" t="s">
        <v>1245</v>
      </c>
      <c r="R164" t="s">
        <v>314</v>
      </c>
      <c r="S164" t="s">
        <v>52</v>
      </c>
      <c r="U164">
        <v>891560</v>
      </c>
      <c r="V164" s="3">
        <v>46076.490277777775</v>
      </c>
      <c r="W164" t="s">
        <v>1262</v>
      </c>
      <c r="X164" t="s">
        <v>1263</v>
      </c>
      <c r="Y164" t="str">
        <f>"0420517034"</f>
        <v>0420517034</v>
      </c>
      <c r="Z164" t="s">
        <v>70</v>
      </c>
      <c r="AA164" s="1">
        <v>46076</v>
      </c>
      <c r="AB164" t="s">
        <v>1243</v>
      </c>
      <c r="AD164" t="s">
        <v>306</v>
      </c>
      <c r="AE164" t="s">
        <v>1244</v>
      </c>
      <c r="AF164">
        <v>3065</v>
      </c>
      <c r="AG164" t="s">
        <v>1245</v>
      </c>
      <c r="AI164" t="s">
        <v>59</v>
      </c>
      <c r="AL164" t="s">
        <v>87</v>
      </c>
      <c r="AN164" s="3">
        <v>46076.914583333331</v>
      </c>
      <c r="AO164" t="s">
        <v>1262</v>
      </c>
    </row>
    <row r="165" spans="1:41" x14ac:dyDescent="0.3">
      <c r="A165" t="s">
        <v>61</v>
      </c>
      <c r="B165" t="s">
        <v>350</v>
      </c>
      <c r="C165" t="s">
        <v>296</v>
      </c>
      <c r="D165" t="s">
        <v>63</v>
      </c>
      <c r="E165" s="1">
        <v>46076</v>
      </c>
      <c r="F165" t="s">
        <v>569</v>
      </c>
      <c r="G165" t="s">
        <v>128</v>
      </c>
      <c r="H165" s="2">
        <v>0.60416666666666663</v>
      </c>
      <c r="I165" s="2">
        <v>0.91666666666666663</v>
      </c>
      <c r="J165" t="s">
        <v>296</v>
      </c>
      <c r="L165" t="s">
        <v>298</v>
      </c>
      <c r="M165" t="s">
        <v>1264</v>
      </c>
      <c r="N165" t="s">
        <v>1265</v>
      </c>
      <c r="O165">
        <v>5952469</v>
      </c>
      <c r="Q165" t="s">
        <v>741</v>
      </c>
      <c r="R165" t="s">
        <v>500</v>
      </c>
      <c r="S165" t="s">
        <v>52</v>
      </c>
      <c r="U165">
        <v>891557</v>
      </c>
      <c r="V165" s="3">
        <v>46076.012499999997</v>
      </c>
      <c r="W165" t="s">
        <v>1266</v>
      </c>
      <c r="X165" t="s">
        <v>1267</v>
      </c>
      <c r="Y165" t="str">
        <f>"0401273390"</f>
        <v>0401273390</v>
      </c>
      <c r="Z165" t="s">
        <v>70</v>
      </c>
      <c r="AB165" t="s">
        <v>356</v>
      </c>
      <c r="AD165" t="s">
        <v>61</v>
      </c>
      <c r="AE165" t="s">
        <v>357</v>
      </c>
      <c r="AF165">
        <v>2153</v>
      </c>
      <c r="AG165" t="s">
        <v>1268</v>
      </c>
      <c r="AI165" t="s">
        <v>59</v>
      </c>
      <c r="AL165" t="s">
        <v>1269</v>
      </c>
      <c r="AN165" s="3">
        <v>46076.908333333333</v>
      </c>
      <c r="AO165" t="s">
        <v>1266</v>
      </c>
    </row>
    <row r="166" spans="1:41" x14ac:dyDescent="0.3">
      <c r="A166" t="s">
        <v>306</v>
      </c>
      <c r="B166" t="s">
        <v>1060</v>
      </c>
      <c r="C166" t="s">
        <v>100</v>
      </c>
      <c r="D166" t="s">
        <v>184</v>
      </c>
      <c r="E166" s="1">
        <v>46076</v>
      </c>
      <c r="F166" t="s">
        <v>569</v>
      </c>
      <c r="G166" t="s">
        <v>128</v>
      </c>
      <c r="H166" s="2">
        <v>0.625</v>
      </c>
      <c r="I166" s="2">
        <v>4.1666666666666664E-2</v>
      </c>
      <c r="J166" t="s">
        <v>1061</v>
      </c>
      <c r="L166" t="s">
        <v>452</v>
      </c>
      <c r="M166" t="s">
        <v>453</v>
      </c>
      <c r="N166" t="s">
        <v>454</v>
      </c>
      <c r="O166">
        <v>5950719</v>
      </c>
      <c r="Q166" t="s">
        <v>413</v>
      </c>
      <c r="R166" t="s">
        <v>476</v>
      </c>
      <c r="S166" t="s">
        <v>119</v>
      </c>
      <c r="T166" t="s">
        <v>414</v>
      </c>
      <c r="U166">
        <v>892169</v>
      </c>
      <c r="V166" s="3">
        <v>46073.36041666667</v>
      </c>
      <c r="W166" t="s">
        <v>456</v>
      </c>
      <c r="X166" t="s">
        <v>457</v>
      </c>
      <c r="Y166" t="str">
        <f>"0412918806"</f>
        <v>0412918806</v>
      </c>
      <c r="Z166" t="s">
        <v>70</v>
      </c>
      <c r="AB166" t="s">
        <v>1066</v>
      </c>
      <c r="AD166" t="s">
        <v>306</v>
      </c>
      <c r="AE166" t="s">
        <v>1067</v>
      </c>
      <c r="AF166">
        <v>3084</v>
      </c>
      <c r="AI166" t="s">
        <v>59</v>
      </c>
      <c r="AL166" t="s">
        <v>1068</v>
      </c>
      <c r="AM166" t="s">
        <v>1270</v>
      </c>
      <c r="AN166" s="3">
        <v>46073.368750000001</v>
      </c>
      <c r="AO166" t="s">
        <v>476</v>
      </c>
    </row>
    <row r="167" spans="1:41" x14ac:dyDescent="0.3">
      <c r="A167" t="s">
        <v>61</v>
      </c>
      <c r="B167" t="s">
        <v>1271</v>
      </c>
      <c r="C167" t="s">
        <v>1272</v>
      </c>
      <c r="D167" t="s">
        <v>184</v>
      </c>
      <c r="E167" s="1">
        <v>46076</v>
      </c>
      <c r="F167" t="s">
        <v>569</v>
      </c>
      <c r="G167" t="s">
        <v>128</v>
      </c>
      <c r="H167" s="2">
        <v>0.625</v>
      </c>
      <c r="I167" s="2">
        <v>0.97916666666666663</v>
      </c>
      <c r="J167" t="s">
        <v>590</v>
      </c>
      <c r="L167" t="s">
        <v>487</v>
      </c>
      <c r="M167" t="s">
        <v>1273</v>
      </c>
      <c r="N167" t="s">
        <v>1274</v>
      </c>
      <c r="O167">
        <v>5950810</v>
      </c>
      <c r="Q167" t="s">
        <v>1275</v>
      </c>
      <c r="R167" t="s">
        <v>208</v>
      </c>
      <c r="S167" t="s">
        <v>52</v>
      </c>
      <c r="U167">
        <v>891572</v>
      </c>
      <c r="V167" s="3">
        <v>46067.69027777778</v>
      </c>
      <c r="W167" t="s">
        <v>1276</v>
      </c>
      <c r="X167" t="s">
        <v>1277</v>
      </c>
      <c r="Y167" t="str">
        <f>"0405246691"</f>
        <v>0405246691</v>
      </c>
      <c r="Z167" t="s">
        <v>345</v>
      </c>
      <c r="AB167" t="s">
        <v>1278</v>
      </c>
      <c r="AD167" t="s">
        <v>61</v>
      </c>
      <c r="AE167" t="s">
        <v>1279</v>
      </c>
      <c r="AF167">
        <v>2145</v>
      </c>
      <c r="AG167" t="s">
        <v>1275</v>
      </c>
      <c r="AI167" t="s">
        <v>59</v>
      </c>
      <c r="AL167" t="s">
        <v>1088</v>
      </c>
      <c r="AN167" s="3">
        <v>46077.006249999999</v>
      </c>
      <c r="AO167" t="s">
        <v>1276</v>
      </c>
    </row>
    <row r="168" spans="1:41" x14ac:dyDescent="0.3">
      <c r="A168" t="s">
        <v>61</v>
      </c>
      <c r="B168" t="s">
        <v>1271</v>
      </c>
      <c r="C168" t="s">
        <v>1272</v>
      </c>
      <c r="D168" t="s">
        <v>184</v>
      </c>
      <c r="E168" s="1">
        <v>46076</v>
      </c>
      <c r="F168" t="s">
        <v>569</v>
      </c>
      <c r="G168" t="s">
        <v>128</v>
      </c>
      <c r="H168" s="2">
        <v>0.625</v>
      </c>
      <c r="I168" s="2">
        <v>0.97916666666666663</v>
      </c>
      <c r="J168" t="s">
        <v>486</v>
      </c>
      <c r="L168" t="s">
        <v>487</v>
      </c>
      <c r="M168" t="s">
        <v>596</v>
      </c>
      <c r="N168" t="s">
        <v>1280</v>
      </c>
      <c r="O168">
        <v>5952187</v>
      </c>
      <c r="Q168" t="s">
        <v>1190</v>
      </c>
      <c r="R168" t="s">
        <v>132</v>
      </c>
      <c r="S168" t="s">
        <v>52</v>
      </c>
      <c r="U168">
        <v>891586</v>
      </c>
      <c r="V168" s="3">
        <v>46057.565972222219</v>
      </c>
      <c r="W168" t="s">
        <v>1281</v>
      </c>
      <c r="X168" t="s">
        <v>1282</v>
      </c>
      <c r="Y168" t="str">
        <f>"0417203844"</f>
        <v>0417203844</v>
      </c>
      <c r="Z168" t="s">
        <v>1283</v>
      </c>
      <c r="AB168" t="s">
        <v>1278</v>
      </c>
      <c r="AD168" t="s">
        <v>61</v>
      </c>
      <c r="AE168" t="s">
        <v>1279</v>
      </c>
      <c r="AF168">
        <v>2145</v>
      </c>
      <c r="AG168" t="s">
        <v>1190</v>
      </c>
      <c r="AI168" t="s">
        <v>59</v>
      </c>
      <c r="AL168" t="s">
        <v>1088</v>
      </c>
      <c r="AN168" s="3">
        <v>46077.290277777778</v>
      </c>
      <c r="AO168" t="s">
        <v>1281</v>
      </c>
    </row>
    <row r="169" spans="1:41" x14ac:dyDescent="0.3">
      <c r="A169" t="s">
        <v>41</v>
      </c>
      <c r="B169" t="s">
        <v>1284</v>
      </c>
      <c r="C169" t="s">
        <v>1285</v>
      </c>
      <c r="D169" t="s">
        <v>1286</v>
      </c>
      <c r="E169" s="1">
        <v>46076</v>
      </c>
      <c r="F169" t="s">
        <v>569</v>
      </c>
      <c r="G169" t="s">
        <v>128</v>
      </c>
      <c r="H169" s="2">
        <v>0.625</v>
      </c>
      <c r="I169" s="2">
        <v>0.9375</v>
      </c>
      <c r="J169" t="s">
        <v>1287</v>
      </c>
      <c r="L169" t="s">
        <v>540</v>
      </c>
      <c r="M169" t="s">
        <v>563</v>
      </c>
      <c r="N169" t="s">
        <v>564</v>
      </c>
      <c r="O169">
        <v>402477</v>
      </c>
      <c r="Q169" t="s">
        <v>413</v>
      </c>
      <c r="R169" t="s">
        <v>51</v>
      </c>
      <c r="S169" t="s">
        <v>119</v>
      </c>
      <c r="T169" t="s">
        <v>414</v>
      </c>
      <c r="U169">
        <v>892175</v>
      </c>
      <c r="V169" s="3">
        <v>46076.520833333336</v>
      </c>
      <c r="W169" t="s">
        <v>565</v>
      </c>
      <c r="X169" t="s">
        <v>566</v>
      </c>
      <c r="Y169" t="str">
        <f>"0417873276"</f>
        <v>0417873276</v>
      </c>
      <c r="Z169" t="s">
        <v>70</v>
      </c>
      <c r="AB169" t="s">
        <v>1288</v>
      </c>
      <c r="AD169" t="s">
        <v>41</v>
      </c>
      <c r="AE169" t="s">
        <v>150</v>
      </c>
      <c r="AF169">
        <v>4000</v>
      </c>
      <c r="AI169" t="s">
        <v>59</v>
      </c>
      <c r="AL169" t="s">
        <v>1068</v>
      </c>
      <c r="AM169" t="s">
        <v>1289</v>
      </c>
      <c r="AN169" s="3">
        <v>46076.522222222222</v>
      </c>
      <c r="AO169" t="s">
        <v>51</v>
      </c>
    </row>
    <row r="170" spans="1:41" x14ac:dyDescent="0.3">
      <c r="A170" t="s">
        <v>61</v>
      </c>
      <c r="B170" t="s">
        <v>158</v>
      </c>
      <c r="C170" t="s">
        <v>43</v>
      </c>
      <c r="D170" t="s">
        <v>127</v>
      </c>
      <c r="E170" s="1">
        <v>46076</v>
      </c>
      <c r="F170" t="s">
        <v>569</v>
      </c>
      <c r="G170" t="s">
        <v>128</v>
      </c>
      <c r="H170" s="2">
        <v>0.66666666666666663</v>
      </c>
      <c r="I170" s="2">
        <v>0.99861111111111112</v>
      </c>
      <c r="J170" t="s">
        <v>185</v>
      </c>
      <c r="K170" t="s">
        <v>1290</v>
      </c>
      <c r="L170" t="s">
        <v>186</v>
      </c>
      <c r="M170" t="s">
        <v>1291</v>
      </c>
      <c r="N170" t="s">
        <v>1292</v>
      </c>
      <c r="O170">
        <v>5952161</v>
      </c>
      <c r="Q170" t="s">
        <v>162</v>
      </c>
      <c r="R170" t="s">
        <v>208</v>
      </c>
      <c r="S170" t="s">
        <v>52</v>
      </c>
      <c r="U170">
        <v>891559</v>
      </c>
      <c r="V170" s="3">
        <v>46073.68472222222</v>
      </c>
      <c r="W170" t="s">
        <v>1293</v>
      </c>
      <c r="X170" t="s">
        <v>1294</v>
      </c>
      <c r="Y170" t="str">
        <f>"0403798895"</f>
        <v>0403798895</v>
      </c>
      <c r="Z170" t="s">
        <v>70</v>
      </c>
      <c r="AA170" s="1">
        <v>46076</v>
      </c>
      <c r="AB170" t="s">
        <v>166</v>
      </c>
      <c r="AD170" t="s">
        <v>61</v>
      </c>
      <c r="AE170" t="s">
        <v>167</v>
      </c>
      <c r="AF170">
        <v>2011</v>
      </c>
      <c r="AG170" t="s">
        <v>162</v>
      </c>
      <c r="AI170" t="s">
        <v>59</v>
      </c>
      <c r="AL170" t="s">
        <v>87</v>
      </c>
      <c r="AN170" s="3">
        <v>46076.911805555559</v>
      </c>
      <c r="AO170" t="s">
        <v>1293</v>
      </c>
    </row>
    <row r="171" spans="1:41" x14ac:dyDescent="0.3">
      <c r="A171" t="s">
        <v>61</v>
      </c>
      <c r="B171" t="s">
        <v>182</v>
      </c>
      <c r="C171" t="s">
        <v>183</v>
      </c>
      <c r="D171" t="s">
        <v>184</v>
      </c>
      <c r="E171" s="1">
        <v>46076</v>
      </c>
      <c r="F171" t="s">
        <v>569</v>
      </c>
      <c r="G171" t="s">
        <v>128</v>
      </c>
      <c r="H171" s="2">
        <v>0.6875</v>
      </c>
      <c r="I171" s="2">
        <v>0.875</v>
      </c>
      <c r="J171" t="s">
        <v>185</v>
      </c>
      <c r="L171" t="s">
        <v>47</v>
      </c>
      <c r="M171" t="s">
        <v>1295</v>
      </c>
      <c r="N171" t="s">
        <v>1296</v>
      </c>
      <c r="O171">
        <v>21188</v>
      </c>
      <c r="Q171" t="s">
        <v>189</v>
      </c>
      <c r="R171" t="s">
        <v>500</v>
      </c>
      <c r="S171" t="s">
        <v>52</v>
      </c>
      <c r="U171">
        <v>891542</v>
      </c>
      <c r="V171" s="3">
        <v>46071.829861111109</v>
      </c>
      <c r="W171" t="s">
        <v>1297</v>
      </c>
      <c r="X171" t="s">
        <v>1298</v>
      </c>
      <c r="Y171" t="str">
        <f>"0412228277"</f>
        <v>0412228277</v>
      </c>
      <c r="Z171" t="s">
        <v>1299</v>
      </c>
      <c r="AB171" t="s">
        <v>193</v>
      </c>
      <c r="AD171" t="s">
        <v>61</v>
      </c>
      <c r="AE171" t="s">
        <v>194</v>
      </c>
      <c r="AF171">
        <v>2229</v>
      </c>
      <c r="AG171" t="s">
        <v>189</v>
      </c>
      <c r="AI171" t="s">
        <v>59</v>
      </c>
      <c r="AL171" t="s">
        <v>1300</v>
      </c>
      <c r="AN171" s="3">
        <v>46076.851388888892</v>
      </c>
      <c r="AO171" t="s">
        <v>1297</v>
      </c>
    </row>
    <row r="172" spans="1:41" x14ac:dyDescent="0.3">
      <c r="A172" t="s">
        <v>306</v>
      </c>
      <c r="B172" t="s">
        <v>494</v>
      </c>
      <c r="C172" t="s">
        <v>495</v>
      </c>
      <c r="D172" t="s">
        <v>63</v>
      </c>
      <c r="E172" s="1">
        <v>46076</v>
      </c>
      <c r="F172" t="s">
        <v>569</v>
      </c>
      <c r="G172" t="s">
        <v>485</v>
      </c>
      <c r="H172" s="2">
        <v>0.79166666666666663</v>
      </c>
      <c r="I172" s="2">
        <v>0.3125</v>
      </c>
      <c r="J172" t="s">
        <v>496</v>
      </c>
      <c r="L172" t="s">
        <v>172</v>
      </c>
      <c r="M172" t="s">
        <v>497</v>
      </c>
      <c r="N172" t="s">
        <v>498</v>
      </c>
      <c r="O172">
        <v>21749</v>
      </c>
      <c r="Q172" t="s">
        <v>1301</v>
      </c>
      <c r="R172" t="s">
        <v>1302</v>
      </c>
      <c r="S172" t="s">
        <v>52</v>
      </c>
      <c r="U172">
        <v>891583</v>
      </c>
      <c r="V172" s="3">
        <v>46074.705555555556</v>
      </c>
      <c r="W172" t="s">
        <v>501</v>
      </c>
      <c r="X172" t="s">
        <v>502</v>
      </c>
      <c r="Y172" t="str">
        <f>"0400876131"</f>
        <v>0400876131</v>
      </c>
      <c r="Z172" t="s">
        <v>123</v>
      </c>
      <c r="AB172" t="s">
        <v>504</v>
      </c>
      <c r="AD172" t="s">
        <v>306</v>
      </c>
      <c r="AE172" t="s">
        <v>505</v>
      </c>
      <c r="AF172">
        <v>3052</v>
      </c>
      <c r="AG172" t="s">
        <v>1303</v>
      </c>
      <c r="AI172" t="s">
        <v>59</v>
      </c>
      <c r="AL172" t="s">
        <v>1304</v>
      </c>
      <c r="AN172" s="3">
        <v>46077.275000000001</v>
      </c>
      <c r="AO172" t="s">
        <v>501</v>
      </c>
    </row>
    <row r="173" spans="1:41" x14ac:dyDescent="0.3">
      <c r="A173" t="s">
        <v>61</v>
      </c>
      <c r="B173" t="s">
        <v>507</v>
      </c>
      <c r="D173" t="s">
        <v>63</v>
      </c>
      <c r="E173" s="1">
        <v>46076</v>
      </c>
      <c r="F173" t="s">
        <v>569</v>
      </c>
      <c r="G173" t="s">
        <v>485</v>
      </c>
      <c r="H173" s="2">
        <v>0.8125</v>
      </c>
      <c r="I173" s="2">
        <v>0.29166666666666669</v>
      </c>
      <c r="J173" t="s">
        <v>464</v>
      </c>
      <c r="L173" t="s">
        <v>464</v>
      </c>
      <c r="M173" t="s">
        <v>1305</v>
      </c>
      <c r="N173" t="s">
        <v>1306</v>
      </c>
      <c r="O173">
        <v>22295</v>
      </c>
      <c r="Q173" t="s">
        <v>1307</v>
      </c>
      <c r="R173" t="s">
        <v>500</v>
      </c>
      <c r="S173" t="s">
        <v>52</v>
      </c>
      <c r="U173">
        <v>891581</v>
      </c>
      <c r="V173" s="3">
        <v>46076.745833333334</v>
      </c>
      <c r="W173" t="s">
        <v>1308</v>
      </c>
      <c r="X173" t="s">
        <v>1309</v>
      </c>
      <c r="Y173" t="str">
        <f>"0452238033"</f>
        <v>0452238033</v>
      </c>
      <c r="Z173" t="s">
        <v>70</v>
      </c>
      <c r="AA173" s="1">
        <v>46076</v>
      </c>
      <c r="AB173" t="s">
        <v>514</v>
      </c>
      <c r="AD173" t="s">
        <v>61</v>
      </c>
      <c r="AE173" t="s">
        <v>515</v>
      </c>
      <c r="AF173">
        <v>2086</v>
      </c>
      <c r="AG173" t="s">
        <v>1310</v>
      </c>
      <c r="AI173" t="s">
        <v>59</v>
      </c>
      <c r="AL173" t="s">
        <v>1311</v>
      </c>
      <c r="AN173" s="3">
        <v>46077.274305555555</v>
      </c>
      <c r="AO173" t="s">
        <v>1308</v>
      </c>
    </row>
    <row r="174" spans="1:41" x14ac:dyDescent="0.3">
      <c r="A174" t="s">
        <v>168</v>
      </c>
      <c r="B174" t="s">
        <v>1312</v>
      </c>
      <c r="C174" t="s">
        <v>1313</v>
      </c>
      <c r="D174" t="s">
        <v>268</v>
      </c>
      <c r="E174" s="1">
        <v>46076</v>
      </c>
      <c r="F174" t="s">
        <v>569</v>
      </c>
      <c r="G174" t="s">
        <v>485</v>
      </c>
      <c r="H174" s="2">
        <v>0.875</v>
      </c>
      <c r="I174" s="2">
        <v>0.3125</v>
      </c>
      <c r="J174" t="s">
        <v>1314</v>
      </c>
      <c r="K174" t="s">
        <v>849</v>
      </c>
      <c r="L174" t="s">
        <v>47</v>
      </c>
      <c r="M174" t="s">
        <v>1315</v>
      </c>
      <c r="N174" t="s">
        <v>1316</v>
      </c>
      <c r="O174">
        <v>22278</v>
      </c>
      <c r="Q174" t="s">
        <v>705</v>
      </c>
      <c r="R174" t="s">
        <v>176</v>
      </c>
      <c r="S174" t="s">
        <v>119</v>
      </c>
      <c r="T174" t="s">
        <v>414</v>
      </c>
      <c r="U174">
        <v>892167</v>
      </c>
      <c r="V174" s="3">
        <v>46059.417361111111</v>
      </c>
      <c r="W174" t="s">
        <v>1317</v>
      </c>
      <c r="X174" t="s">
        <v>1318</v>
      </c>
      <c r="Y174" t="str">
        <f>"0413259096"</f>
        <v>0413259096</v>
      </c>
      <c r="Z174" t="s">
        <v>70</v>
      </c>
      <c r="AB174" t="s">
        <v>1312</v>
      </c>
      <c r="AC174" t="s">
        <v>1319</v>
      </c>
      <c r="AD174" t="s">
        <v>168</v>
      </c>
      <c r="AE174" t="s">
        <v>1320</v>
      </c>
      <c r="AF174">
        <v>5417</v>
      </c>
      <c r="AI174" t="s">
        <v>59</v>
      </c>
      <c r="AL174" t="s">
        <v>1321</v>
      </c>
      <c r="AM174" t="s">
        <v>1322</v>
      </c>
      <c r="AN174" s="3">
        <v>46059.45208333333</v>
      </c>
      <c r="AO174" t="s">
        <v>231</v>
      </c>
    </row>
    <row r="175" spans="1:41" x14ac:dyDescent="0.3">
      <c r="A175" t="s">
        <v>306</v>
      </c>
      <c r="B175" t="s">
        <v>307</v>
      </c>
      <c r="C175" t="s">
        <v>308</v>
      </c>
      <c r="D175" t="s">
        <v>309</v>
      </c>
      <c r="E175" s="1">
        <v>46076</v>
      </c>
      <c r="F175" t="s">
        <v>569</v>
      </c>
      <c r="G175" t="s">
        <v>485</v>
      </c>
      <c r="H175" s="2">
        <v>0.875</v>
      </c>
      <c r="I175" s="2">
        <v>0.3125</v>
      </c>
      <c r="J175" t="s">
        <v>296</v>
      </c>
      <c r="L175" t="s">
        <v>310</v>
      </c>
      <c r="M175" t="s">
        <v>311</v>
      </c>
      <c r="N175" t="s">
        <v>312</v>
      </c>
      <c r="O175">
        <v>5952174</v>
      </c>
      <c r="Q175" t="s">
        <v>1323</v>
      </c>
      <c r="R175" t="s">
        <v>476</v>
      </c>
      <c r="S175" t="s">
        <v>52</v>
      </c>
      <c r="U175">
        <v>891580</v>
      </c>
      <c r="V175" s="3">
        <v>46073.388888888891</v>
      </c>
      <c r="W175" t="s">
        <v>315</v>
      </c>
      <c r="X175" t="s">
        <v>316</v>
      </c>
      <c r="Y175" t="str">
        <f>"0452621529"</f>
        <v>0452621529</v>
      </c>
      <c r="Z175" t="s">
        <v>70</v>
      </c>
      <c r="AA175" s="1">
        <v>46076</v>
      </c>
      <c r="AB175" t="s">
        <v>317</v>
      </c>
      <c r="AD175" t="s">
        <v>306</v>
      </c>
      <c r="AE175" t="s">
        <v>318</v>
      </c>
      <c r="AF175">
        <v>3162</v>
      </c>
      <c r="AG175" t="s">
        <v>1323</v>
      </c>
      <c r="AI175" t="s">
        <v>59</v>
      </c>
      <c r="AL175" t="s">
        <v>87</v>
      </c>
      <c r="AN175" s="3">
        <v>46077.263194444444</v>
      </c>
      <c r="AO175" t="s">
        <v>315</v>
      </c>
    </row>
    <row r="176" spans="1:41" x14ac:dyDescent="0.3">
      <c r="A176" t="s">
        <v>168</v>
      </c>
      <c r="B176" t="s">
        <v>266</v>
      </c>
      <c r="D176" t="s">
        <v>268</v>
      </c>
      <c r="E176" s="1">
        <v>46076</v>
      </c>
      <c r="F176" t="s">
        <v>569</v>
      </c>
      <c r="G176" t="s">
        <v>485</v>
      </c>
      <c r="H176" s="2">
        <v>0.875</v>
      </c>
      <c r="I176" s="2">
        <v>0.3125</v>
      </c>
      <c r="J176" t="s">
        <v>269</v>
      </c>
      <c r="K176" t="s">
        <v>297</v>
      </c>
      <c r="L176" t="s">
        <v>47</v>
      </c>
      <c r="M176" t="s">
        <v>517</v>
      </c>
      <c r="N176" t="s">
        <v>518</v>
      </c>
      <c r="O176">
        <v>5951368</v>
      </c>
      <c r="Q176" t="s">
        <v>274</v>
      </c>
      <c r="R176" t="s">
        <v>176</v>
      </c>
      <c r="S176" t="s">
        <v>52</v>
      </c>
      <c r="U176">
        <v>891592</v>
      </c>
      <c r="V176" s="3">
        <v>45993.455555555556</v>
      </c>
      <c r="W176" t="s">
        <v>519</v>
      </c>
      <c r="X176" t="s">
        <v>520</v>
      </c>
      <c r="Y176" t="str">
        <f>"0420208072"</f>
        <v>0420208072</v>
      </c>
      <c r="Z176" t="s">
        <v>1324</v>
      </c>
      <c r="AB176" t="s">
        <v>277</v>
      </c>
      <c r="AC176" t="s">
        <v>278</v>
      </c>
      <c r="AD176" t="s">
        <v>168</v>
      </c>
      <c r="AE176" t="s">
        <v>279</v>
      </c>
      <c r="AF176">
        <v>5092</v>
      </c>
      <c r="AG176" t="s">
        <v>274</v>
      </c>
      <c r="AI176" t="s">
        <v>59</v>
      </c>
      <c r="AL176" t="s">
        <v>1325</v>
      </c>
      <c r="AM176" t="s">
        <v>281</v>
      </c>
      <c r="AN176" s="3">
        <v>46077.326388888891</v>
      </c>
      <c r="AO176" t="s">
        <v>519</v>
      </c>
    </row>
    <row r="177" spans="1:41" x14ac:dyDescent="0.3">
      <c r="A177" t="s">
        <v>306</v>
      </c>
      <c r="B177" t="s">
        <v>386</v>
      </c>
      <c r="C177" t="s">
        <v>387</v>
      </c>
      <c r="D177" t="s">
        <v>388</v>
      </c>
      <c r="E177" s="1">
        <v>46076</v>
      </c>
      <c r="F177" t="s">
        <v>569</v>
      </c>
      <c r="G177" t="s">
        <v>485</v>
      </c>
      <c r="H177" s="2">
        <v>0.89583333333333337</v>
      </c>
      <c r="I177" s="2">
        <v>0.3125</v>
      </c>
      <c r="J177" t="s">
        <v>389</v>
      </c>
      <c r="L177" t="s">
        <v>298</v>
      </c>
      <c r="M177" t="s">
        <v>195</v>
      </c>
      <c r="N177" t="s">
        <v>390</v>
      </c>
      <c r="O177">
        <v>5951661</v>
      </c>
      <c r="P177" t="s">
        <v>249</v>
      </c>
      <c r="Q177" t="s">
        <v>391</v>
      </c>
      <c r="R177" t="s">
        <v>392</v>
      </c>
      <c r="S177" t="s">
        <v>52</v>
      </c>
      <c r="T177" t="s">
        <v>252</v>
      </c>
      <c r="U177">
        <v>892421</v>
      </c>
      <c r="V177" s="3">
        <v>46084.618750000001</v>
      </c>
      <c r="W177" t="s">
        <v>393</v>
      </c>
      <c r="X177" t="s">
        <v>394</v>
      </c>
      <c r="Y177" t="str">
        <f>"0427371732"</f>
        <v>0427371732</v>
      </c>
      <c r="Z177" t="s">
        <v>550</v>
      </c>
      <c r="AA177" s="1">
        <v>46141</v>
      </c>
      <c r="AB177" t="s">
        <v>396</v>
      </c>
      <c r="AD177" t="s">
        <v>397</v>
      </c>
      <c r="AE177" t="s">
        <v>398</v>
      </c>
      <c r="AF177">
        <v>7919</v>
      </c>
      <c r="AG177" t="s">
        <v>399</v>
      </c>
      <c r="AI177" t="s">
        <v>59</v>
      </c>
      <c r="AJ177" t="str">
        <f>"0090000067"</f>
        <v>0090000067</v>
      </c>
      <c r="AN177" s="3">
        <v>46084.618750000001</v>
      </c>
      <c r="AO177" t="s">
        <v>392</v>
      </c>
    </row>
    <row r="178" spans="1:41" x14ac:dyDescent="0.3">
      <c r="A178" t="s">
        <v>306</v>
      </c>
      <c r="B178" t="s">
        <v>528</v>
      </c>
      <c r="C178" t="s">
        <v>1326</v>
      </c>
      <c r="D178" t="s">
        <v>63</v>
      </c>
      <c r="E178" s="1">
        <v>46076</v>
      </c>
      <c r="F178" t="s">
        <v>569</v>
      </c>
      <c r="G178" t="s">
        <v>485</v>
      </c>
      <c r="H178" s="2">
        <v>0.89583333333333337</v>
      </c>
      <c r="I178" s="2">
        <v>0.3125</v>
      </c>
      <c r="J178" t="s">
        <v>269</v>
      </c>
      <c r="L178" t="s">
        <v>1327</v>
      </c>
      <c r="M178" t="s">
        <v>1328</v>
      </c>
      <c r="N178" t="s">
        <v>1329</v>
      </c>
      <c r="O178">
        <v>20185</v>
      </c>
      <c r="Q178" t="s">
        <v>1330</v>
      </c>
      <c r="R178" t="s">
        <v>1248</v>
      </c>
      <c r="S178" t="s">
        <v>52</v>
      </c>
      <c r="U178">
        <v>891588</v>
      </c>
      <c r="V178" s="3">
        <v>46075.442361111112</v>
      </c>
      <c r="W178" t="s">
        <v>1331</v>
      </c>
      <c r="X178" t="s">
        <v>1332</v>
      </c>
      <c r="Y178" t="str">
        <f>"0422616195"</f>
        <v>0422616195</v>
      </c>
      <c r="Z178" t="s">
        <v>70</v>
      </c>
      <c r="AA178" s="1">
        <v>46076</v>
      </c>
      <c r="AB178" t="s">
        <v>537</v>
      </c>
      <c r="AD178" t="s">
        <v>306</v>
      </c>
      <c r="AE178" t="s">
        <v>538</v>
      </c>
      <c r="AF178">
        <v>3152</v>
      </c>
      <c r="AG178" t="s">
        <v>1330</v>
      </c>
      <c r="AI178" t="s">
        <v>59</v>
      </c>
      <c r="AL178" t="s">
        <v>1333</v>
      </c>
      <c r="AN178" s="3">
        <v>46077.309027777781</v>
      </c>
      <c r="AO178" t="s">
        <v>1331</v>
      </c>
    </row>
    <row r="179" spans="1:41" x14ac:dyDescent="0.3">
      <c r="A179" t="s">
        <v>306</v>
      </c>
      <c r="B179" t="s">
        <v>1334</v>
      </c>
      <c r="C179" t="s">
        <v>1335</v>
      </c>
      <c r="D179" t="s">
        <v>1336</v>
      </c>
      <c r="E179" s="1">
        <v>46076</v>
      </c>
      <c r="F179" t="s">
        <v>569</v>
      </c>
      <c r="G179" t="s">
        <v>485</v>
      </c>
      <c r="H179" s="2">
        <v>0.89583333333333337</v>
      </c>
      <c r="I179" s="2">
        <v>0.3125</v>
      </c>
      <c r="J179" t="s">
        <v>296</v>
      </c>
      <c r="K179" t="s">
        <v>750</v>
      </c>
      <c r="L179" t="s">
        <v>1337</v>
      </c>
      <c r="M179" t="s">
        <v>1338</v>
      </c>
      <c r="N179" t="s">
        <v>1339</v>
      </c>
      <c r="O179">
        <v>20818</v>
      </c>
      <c r="Q179" t="s">
        <v>705</v>
      </c>
      <c r="R179" t="s">
        <v>500</v>
      </c>
      <c r="S179" t="s">
        <v>52</v>
      </c>
      <c r="U179">
        <v>891590</v>
      </c>
      <c r="V179" s="3">
        <v>46076.706250000003</v>
      </c>
      <c r="W179" t="s">
        <v>1340</v>
      </c>
      <c r="X179" t="s">
        <v>1341</v>
      </c>
      <c r="Y179" t="str">
        <f>"0449240065"</f>
        <v>0449240065</v>
      </c>
      <c r="Z179" t="s">
        <v>70</v>
      </c>
      <c r="AA179" s="1">
        <v>46076</v>
      </c>
      <c r="AB179" t="s">
        <v>1342</v>
      </c>
      <c r="AD179" t="s">
        <v>306</v>
      </c>
      <c r="AE179" t="s">
        <v>1343</v>
      </c>
      <c r="AF179">
        <v>3144</v>
      </c>
      <c r="AG179" t="s">
        <v>413</v>
      </c>
      <c r="AI179" t="s">
        <v>59</v>
      </c>
      <c r="AL179" t="s">
        <v>1344</v>
      </c>
      <c r="AN179" s="3">
        <v>46077.318055555559</v>
      </c>
      <c r="AO179" t="s">
        <v>1340</v>
      </c>
    </row>
    <row r="180" spans="1:41" x14ac:dyDescent="0.3">
      <c r="A180" t="s">
        <v>168</v>
      </c>
      <c r="B180" t="s">
        <v>376</v>
      </c>
      <c r="C180" t="s">
        <v>1345</v>
      </c>
      <c r="D180" t="s">
        <v>127</v>
      </c>
      <c r="E180" s="1">
        <v>46076</v>
      </c>
      <c r="F180" t="s">
        <v>569</v>
      </c>
      <c r="G180" t="s">
        <v>485</v>
      </c>
      <c r="H180" s="2">
        <v>0.91666666666666663</v>
      </c>
      <c r="I180" s="2">
        <v>0.29166666666666669</v>
      </c>
      <c r="J180" t="s">
        <v>296</v>
      </c>
      <c r="K180" t="s">
        <v>750</v>
      </c>
      <c r="L180" t="s">
        <v>298</v>
      </c>
      <c r="M180" t="s">
        <v>1346</v>
      </c>
      <c r="N180" t="s">
        <v>1347</v>
      </c>
      <c r="O180">
        <v>5952465</v>
      </c>
      <c r="Q180" t="s">
        <v>1348</v>
      </c>
      <c r="R180" t="s">
        <v>231</v>
      </c>
      <c r="S180" t="s">
        <v>52</v>
      </c>
      <c r="U180">
        <v>891584</v>
      </c>
      <c r="V180" s="3">
        <v>46063.421527777777</v>
      </c>
      <c r="W180" t="s">
        <v>1349</v>
      </c>
      <c r="X180" t="s">
        <v>1350</v>
      </c>
      <c r="Y180" t="str">
        <f>"0469360192"</f>
        <v>0469360192</v>
      </c>
      <c r="Z180" t="s">
        <v>673</v>
      </c>
      <c r="AB180" t="s">
        <v>383</v>
      </c>
      <c r="AD180" t="s">
        <v>168</v>
      </c>
      <c r="AE180" t="s">
        <v>384</v>
      </c>
      <c r="AF180">
        <v>5000</v>
      </c>
      <c r="AG180" t="s">
        <v>1351</v>
      </c>
      <c r="AI180" t="s">
        <v>59</v>
      </c>
      <c r="AL180" t="s">
        <v>1352</v>
      </c>
      <c r="AN180" s="3">
        <v>46077.279166666667</v>
      </c>
      <c r="AO180" t="s">
        <v>1349</v>
      </c>
    </row>
    <row r="181" spans="1:41" x14ac:dyDescent="0.3">
      <c r="A181" t="s">
        <v>306</v>
      </c>
      <c r="B181" t="s">
        <v>1353</v>
      </c>
      <c r="C181" t="s">
        <v>1354</v>
      </c>
      <c r="D181" t="s">
        <v>184</v>
      </c>
      <c r="E181" s="1">
        <v>46076</v>
      </c>
      <c r="F181" t="s">
        <v>569</v>
      </c>
      <c r="G181" t="s">
        <v>485</v>
      </c>
      <c r="H181" s="2">
        <v>0.91666666666666663</v>
      </c>
      <c r="I181" s="2">
        <v>0.3125</v>
      </c>
      <c r="J181" t="s">
        <v>1355</v>
      </c>
      <c r="K181" t="s">
        <v>530</v>
      </c>
      <c r="L181" t="s">
        <v>531</v>
      </c>
      <c r="M181" t="s">
        <v>532</v>
      </c>
      <c r="N181" t="s">
        <v>533</v>
      </c>
      <c r="O181">
        <v>20495</v>
      </c>
      <c r="Q181" t="s">
        <v>705</v>
      </c>
      <c r="R181" t="s">
        <v>500</v>
      </c>
      <c r="S181" t="s">
        <v>119</v>
      </c>
      <c r="T181" t="s">
        <v>1356</v>
      </c>
      <c r="U181">
        <v>892220</v>
      </c>
      <c r="V181" s="3">
        <v>46075.767361111109</v>
      </c>
      <c r="W181" t="s">
        <v>535</v>
      </c>
      <c r="X181" t="s">
        <v>536</v>
      </c>
      <c r="Y181" t="str">
        <f>"0447625522"</f>
        <v>0447625522</v>
      </c>
      <c r="Z181" t="s">
        <v>70</v>
      </c>
      <c r="AB181" t="s">
        <v>1357</v>
      </c>
      <c r="AD181" t="s">
        <v>306</v>
      </c>
      <c r="AE181" t="s">
        <v>1358</v>
      </c>
      <c r="AF181">
        <v>3181</v>
      </c>
      <c r="AI181" t="s">
        <v>59</v>
      </c>
      <c r="AL181" t="s">
        <v>1359</v>
      </c>
      <c r="AM181" t="s">
        <v>1360</v>
      </c>
      <c r="AN181" s="3">
        <v>46075.769444444442</v>
      </c>
      <c r="AO181" t="s">
        <v>535</v>
      </c>
    </row>
    <row r="182" spans="1:41" x14ac:dyDescent="0.3">
      <c r="A182" t="s">
        <v>41</v>
      </c>
      <c r="B182" t="s">
        <v>1284</v>
      </c>
      <c r="C182" t="s">
        <v>296</v>
      </c>
      <c r="D182" t="s">
        <v>1286</v>
      </c>
      <c r="E182" s="1">
        <v>46076</v>
      </c>
      <c r="F182" t="s">
        <v>569</v>
      </c>
      <c r="G182" t="s">
        <v>485</v>
      </c>
      <c r="H182" s="2">
        <v>0.9375</v>
      </c>
      <c r="I182" s="2">
        <v>0.27083333333333331</v>
      </c>
      <c r="J182" t="s">
        <v>1287</v>
      </c>
      <c r="L182" t="s">
        <v>540</v>
      </c>
      <c r="M182" t="s">
        <v>541</v>
      </c>
      <c r="N182" t="s">
        <v>542</v>
      </c>
      <c r="O182">
        <v>402297</v>
      </c>
      <c r="Q182" t="s">
        <v>413</v>
      </c>
      <c r="R182" t="s">
        <v>1248</v>
      </c>
      <c r="S182" t="s">
        <v>119</v>
      </c>
      <c r="T182" t="s">
        <v>414</v>
      </c>
      <c r="U182">
        <v>892166</v>
      </c>
      <c r="V182" s="3">
        <v>46076.822916666664</v>
      </c>
      <c r="W182" t="s">
        <v>543</v>
      </c>
      <c r="X182" t="s">
        <v>544</v>
      </c>
      <c r="Y182" t="str">
        <f>"0434044099"</f>
        <v>0434044099</v>
      </c>
      <c r="Z182" t="s">
        <v>70</v>
      </c>
      <c r="AB182" t="s">
        <v>1288</v>
      </c>
      <c r="AD182" t="s">
        <v>41</v>
      </c>
      <c r="AE182" t="s">
        <v>150</v>
      </c>
      <c r="AF182">
        <v>4000</v>
      </c>
      <c r="AI182" t="s">
        <v>59</v>
      </c>
      <c r="AL182" t="s">
        <v>1361</v>
      </c>
      <c r="AM182" t="s">
        <v>1362</v>
      </c>
      <c r="AN182" s="3">
        <v>46076.824305555558</v>
      </c>
      <c r="AO182" t="s">
        <v>1248</v>
      </c>
    </row>
    <row r="183" spans="1:41" x14ac:dyDescent="0.3">
      <c r="A183" t="s">
        <v>41</v>
      </c>
      <c r="B183" t="s">
        <v>632</v>
      </c>
      <c r="C183" t="s">
        <v>296</v>
      </c>
      <c r="D183" t="s">
        <v>246</v>
      </c>
      <c r="E183" s="1">
        <v>46076</v>
      </c>
      <c r="F183" t="s">
        <v>569</v>
      </c>
      <c r="G183" t="s">
        <v>485</v>
      </c>
      <c r="H183" s="2">
        <v>0.9375</v>
      </c>
      <c r="I183" s="2">
        <v>0.29166666666666669</v>
      </c>
      <c r="J183" t="s">
        <v>296</v>
      </c>
      <c r="L183" t="s">
        <v>428</v>
      </c>
      <c r="M183" t="s">
        <v>554</v>
      </c>
      <c r="N183" t="s">
        <v>555</v>
      </c>
      <c r="O183">
        <v>5950685</v>
      </c>
      <c r="Q183" t="s">
        <v>1363</v>
      </c>
      <c r="R183" t="s">
        <v>500</v>
      </c>
      <c r="S183" t="s">
        <v>52</v>
      </c>
      <c r="U183">
        <v>891594</v>
      </c>
      <c r="V183" s="3">
        <v>46075.876388888886</v>
      </c>
      <c r="W183" t="s">
        <v>557</v>
      </c>
      <c r="X183" t="s">
        <v>558</v>
      </c>
      <c r="Y183" t="str">
        <f>"0431966228"</f>
        <v>0431966228</v>
      </c>
      <c r="Z183" t="s">
        <v>70</v>
      </c>
      <c r="AA183" s="1">
        <v>46076</v>
      </c>
      <c r="AB183" t="s">
        <v>640</v>
      </c>
      <c r="AD183" t="s">
        <v>41</v>
      </c>
      <c r="AE183" t="s">
        <v>641</v>
      </c>
      <c r="AF183">
        <v>4305</v>
      </c>
      <c r="AG183" t="s">
        <v>1363</v>
      </c>
      <c r="AI183" t="s">
        <v>59</v>
      </c>
      <c r="AL183" t="s">
        <v>1364</v>
      </c>
      <c r="AN183" s="3">
        <v>46077.327777777777</v>
      </c>
      <c r="AO183" t="s">
        <v>557</v>
      </c>
    </row>
    <row r="184" spans="1:41" x14ac:dyDescent="0.3">
      <c r="A184" t="s">
        <v>41</v>
      </c>
      <c r="B184" t="s">
        <v>632</v>
      </c>
      <c r="C184" t="s">
        <v>296</v>
      </c>
      <c r="D184" t="s">
        <v>246</v>
      </c>
      <c r="E184" s="1">
        <v>46076</v>
      </c>
      <c r="F184" t="s">
        <v>569</v>
      </c>
      <c r="G184" t="s">
        <v>485</v>
      </c>
      <c r="H184" s="2">
        <v>0.9375</v>
      </c>
      <c r="I184" s="2">
        <v>0.29166666666666669</v>
      </c>
      <c r="J184" t="s">
        <v>464</v>
      </c>
      <c r="L184" t="s">
        <v>540</v>
      </c>
      <c r="M184" t="s">
        <v>1365</v>
      </c>
      <c r="N184" t="s">
        <v>1366</v>
      </c>
      <c r="O184">
        <v>5952403</v>
      </c>
      <c r="Q184" t="s">
        <v>1367</v>
      </c>
      <c r="R184" t="s">
        <v>500</v>
      </c>
      <c r="S184" t="s">
        <v>52</v>
      </c>
      <c r="U184">
        <v>891593</v>
      </c>
      <c r="V184" s="3">
        <v>46076.794444444444</v>
      </c>
      <c r="W184" t="s">
        <v>1368</v>
      </c>
      <c r="X184" t="s">
        <v>1369</v>
      </c>
      <c r="Y184" t="str">
        <f>"0426350044"</f>
        <v>0426350044</v>
      </c>
      <c r="Z184" t="s">
        <v>70</v>
      </c>
      <c r="AB184" t="s">
        <v>640</v>
      </c>
      <c r="AD184" t="s">
        <v>41</v>
      </c>
      <c r="AE184" t="s">
        <v>641</v>
      </c>
      <c r="AF184">
        <v>4305</v>
      </c>
      <c r="AG184" t="s">
        <v>1370</v>
      </c>
      <c r="AI184" t="s">
        <v>59</v>
      </c>
      <c r="AL184" t="s">
        <v>1371</v>
      </c>
      <c r="AN184" s="3">
        <v>46077.32708333333</v>
      </c>
      <c r="AO184" t="s">
        <v>1368</v>
      </c>
    </row>
    <row r="185" spans="1:41" x14ac:dyDescent="0.3">
      <c r="A185" t="s">
        <v>41</v>
      </c>
      <c r="B185" t="s">
        <v>589</v>
      </c>
      <c r="C185" t="s">
        <v>590</v>
      </c>
      <c r="D185" t="s">
        <v>246</v>
      </c>
      <c r="E185" s="1">
        <v>46076</v>
      </c>
      <c r="F185" t="s">
        <v>569</v>
      </c>
      <c r="G185" t="s">
        <v>485</v>
      </c>
      <c r="H185" s="2">
        <v>0.94791666666666663</v>
      </c>
      <c r="I185" s="2">
        <v>0.30208333333333331</v>
      </c>
      <c r="J185" t="s">
        <v>591</v>
      </c>
      <c r="L185" t="s">
        <v>592</v>
      </c>
      <c r="M185" t="s">
        <v>593</v>
      </c>
      <c r="N185" t="s">
        <v>594</v>
      </c>
      <c r="O185">
        <v>5952427</v>
      </c>
      <c r="P185" t="s">
        <v>249</v>
      </c>
      <c r="Q185" t="s">
        <v>596</v>
      </c>
      <c r="R185" t="s">
        <v>392</v>
      </c>
      <c r="S185" t="s">
        <v>52</v>
      </c>
      <c r="T185" t="s">
        <v>252</v>
      </c>
      <c r="U185">
        <v>892267</v>
      </c>
      <c r="V185" s="3">
        <v>46083.681250000001</v>
      </c>
      <c r="W185" t="s">
        <v>597</v>
      </c>
      <c r="X185" t="s">
        <v>598</v>
      </c>
      <c r="Y185" t="str">
        <f>"0432677728"</f>
        <v>0432677728</v>
      </c>
      <c r="Z185" t="s">
        <v>585</v>
      </c>
      <c r="AA185" s="1">
        <v>46082</v>
      </c>
      <c r="AB185" t="s">
        <v>599</v>
      </c>
      <c r="AC185" t="s">
        <v>600</v>
      </c>
      <c r="AD185" t="s">
        <v>41</v>
      </c>
      <c r="AE185" t="s">
        <v>600</v>
      </c>
      <c r="AF185">
        <v>4610</v>
      </c>
      <c r="AG185" t="s">
        <v>601</v>
      </c>
      <c r="AI185" t="s">
        <v>59</v>
      </c>
      <c r="AJ185" t="str">
        <f>"0050075752"</f>
        <v>0050075752</v>
      </c>
      <c r="AN185" s="3">
        <v>46083.681250000001</v>
      </c>
      <c r="AO185" t="s">
        <v>392</v>
      </c>
    </row>
    <row r="186" spans="1:41" x14ac:dyDescent="0.3">
      <c r="A186" t="s">
        <v>61</v>
      </c>
      <c r="B186" t="s">
        <v>1271</v>
      </c>
      <c r="C186" t="s">
        <v>1272</v>
      </c>
      <c r="D186" t="s">
        <v>184</v>
      </c>
      <c r="E186" s="1">
        <v>46076</v>
      </c>
      <c r="F186" t="s">
        <v>569</v>
      </c>
      <c r="G186" t="s">
        <v>485</v>
      </c>
      <c r="H186" s="2">
        <v>0.97986111111111107</v>
      </c>
      <c r="I186" s="2">
        <v>0.3125</v>
      </c>
      <c r="J186" t="s">
        <v>486</v>
      </c>
      <c r="L186" t="s">
        <v>487</v>
      </c>
      <c r="M186" t="s">
        <v>596</v>
      </c>
      <c r="N186" t="s">
        <v>1280</v>
      </c>
      <c r="O186">
        <v>5952187</v>
      </c>
      <c r="Q186" t="s">
        <v>1372</v>
      </c>
      <c r="R186" t="s">
        <v>500</v>
      </c>
      <c r="S186" t="s">
        <v>52</v>
      </c>
      <c r="U186">
        <v>891582</v>
      </c>
      <c r="V186" s="3">
        <v>46076.955555555556</v>
      </c>
      <c r="W186" t="s">
        <v>1281</v>
      </c>
      <c r="X186" t="s">
        <v>1282</v>
      </c>
      <c r="Y186" t="str">
        <f>"0417203844"</f>
        <v>0417203844</v>
      </c>
      <c r="Z186" t="s">
        <v>70</v>
      </c>
      <c r="AB186" t="s">
        <v>1278</v>
      </c>
      <c r="AD186" t="s">
        <v>61</v>
      </c>
      <c r="AE186" t="s">
        <v>1279</v>
      </c>
      <c r="AF186">
        <v>2145</v>
      </c>
      <c r="AG186" t="s">
        <v>1190</v>
      </c>
      <c r="AI186" t="s">
        <v>59</v>
      </c>
      <c r="AL186" t="s">
        <v>1373</v>
      </c>
      <c r="AN186" s="3">
        <v>46077.274305555555</v>
      </c>
      <c r="AO186" t="s">
        <v>1281</v>
      </c>
    </row>
    <row r="187" spans="1:41" x14ac:dyDescent="0.3">
      <c r="A187" t="s">
        <v>41</v>
      </c>
      <c r="B187" t="s">
        <v>568</v>
      </c>
      <c r="D187" t="s">
        <v>246</v>
      </c>
      <c r="E187" s="1">
        <v>46046</v>
      </c>
      <c r="F187" t="s">
        <v>1374</v>
      </c>
      <c r="G187" t="s">
        <v>45</v>
      </c>
      <c r="H187" s="2">
        <v>0.29166666666666669</v>
      </c>
      <c r="I187" s="2">
        <v>0.64583333333333337</v>
      </c>
      <c r="J187" t="s">
        <v>269</v>
      </c>
      <c r="L187" t="s">
        <v>172</v>
      </c>
      <c r="M187" t="s">
        <v>311</v>
      </c>
      <c r="N187" t="s">
        <v>570</v>
      </c>
      <c r="O187">
        <v>5951685</v>
      </c>
      <c r="P187" t="s">
        <v>571</v>
      </c>
      <c r="Q187" t="s">
        <v>572</v>
      </c>
      <c r="R187" t="s">
        <v>573</v>
      </c>
      <c r="S187" t="s">
        <v>52</v>
      </c>
      <c r="T187" t="s">
        <v>252</v>
      </c>
      <c r="U187">
        <v>888438</v>
      </c>
      <c r="V187" s="3">
        <v>46049.585416666669</v>
      </c>
      <c r="W187" t="s">
        <v>574</v>
      </c>
      <c r="X187" t="s">
        <v>575</v>
      </c>
      <c r="Y187" t="str">
        <f>"0407007024"</f>
        <v>0407007024</v>
      </c>
      <c r="Z187" t="s">
        <v>1375</v>
      </c>
      <c r="AA187" s="1">
        <v>46075</v>
      </c>
      <c r="AB187" t="s">
        <v>576</v>
      </c>
      <c r="AD187" t="s">
        <v>41</v>
      </c>
      <c r="AE187" t="s">
        <v>577</v>
      </c>
      <c r="AF187">
        <v>4700</v>
      </c>
      <c r="AG187" t="s">
        <v>572</v>
      </c>
      <c r="AI187" t="s">
        <v>59</v>
      </c>
      <c r="AJ187" t="str">
        <f>"0050076113"</f>
        <v>0050076113</v>
      </c>
      <c r="AN187" s="3">
        <v>46049.585416666669</v>
      </c>
      <c r="AO187" t="s">
        <v>573</v>
      </c>
    </row>
    <row r="188" spans="1:41" x14ac:dyDescent="0.3">
      <c r="A188" t="s">
        <v>61</v>
      </c>
      <c r="B188" t="s">
        <v>578</v>
      </c>
      <c r="D188" t="s">
        <v>579</v>
      </c>
      <c r="E188" s="1">
        <v>46046</v>
      </c>
      <c r="F188" t="s">
        <v>1374</v>
      </c>
      <c r="G188" t="s">
        <v>45</v>
      </c>
      <c r="H188" s="2">
        <v>0.29166666666666669</v>
      </c>
      <c r="I188" s="2">
        <v>0.29236111111111113</v>
      </c>
      <c r="J188" t="s">
        <v>269</v>
      </c>
      <c r="L188" t="s">
        <v>172</v>
      </c>
      <c r="M188" t="s">
        <v>580</v>
      </c>
      <c r="N188" t="s">
        <v>581</v>
      </c>
      <c r="O188">
        <v>5951721</v>
      </c>
      <c r="P188" t="s">
        <v>571</v>
      </c>
      <c r="Q188" t="s">
        <v>582</v>
      </c>
      <c r="R188" t="s">
        <v>573</v>
      </c>
      <c r="S188" t="s">
        <v>52</v>
      </c>
      <c r="T188" t="s">
        <v>252</v>
      </c>
      <c r="U188">
        <v>888582</v>
      </c>
      <c r="V188" s="3">
        <v>46050.645833333336</v>
      </c>
      <c r="W188" t="s">
        <v>583</v>
      </c>
      <c r="X188" t="s">
        <v>584</v>
      </c>
      <c r="Y188" t="str">
        <f>"0456677559"</f>
        <v>0456677559</v>
      </c>
      <c r="Z188" t="s">
        <v>290</v>
      </c>
      <c r="AA188" s="1">
        <v>46061</v>
      </c>
      <c r="AB188" t="s">
        <v>586</v>
      </c>
      <c r="AD188" t="s">
        <v>61</v>
      </c>
      <c r="AE188" t="s">
        <v>587</v>
      </c>
      <c r="AF188">
        <v>2320</v>
      </c>
      <c r="AG188" t="s">
        <v>588</v>
      </c>
      <c r="AI188" t="s">
        <v>59</v>
      </c>
      <c r="AJ188" t="str">
        <f>"0010193654"</f>
        <v>0010193654</v>
      </c>
      <c r="AN188" s="3">
        <v>46050.645833333336</v>
      </c>
      <c r="AO188" t="s">
        <v>573</v>
      </c>
    </row>
    <row r="189" spans="1:41" x14ac:dyDescent="0.3">
      <c r="A189" t="s">
        <v>41</v>
      </c>
      <c r="B189" t="s">
        <v>568</v>
      </c>
      <c r="C189" t="s">
        <v>602</v>
      </c>
      <c r="D189" t="s">
        <v>246</v>
      </c>
      <c r="E189" s="1">
        <v>46046</v>
      </c>
      <c r="F189" t="s">
        <v>1374</v>
      </c>
      <c r="G189" t="s">
        <v>485</v>
      </c>
      <c r="H189" s="2">
        <v>0.94791666666666663</v>
      </c>
      <c r="I189" s="2">
        <v>0.30208333333333331</v>
      </c>
      <c r="J189" t="s">
        <v>269</v>
      </c>
      <c r="L189" t="s">
        <v>47</v>
      </c>
      <c r="M189" t="s">
        <v>603</v>
      </c>
      <c r="N189" t="s">
        <v>604</v>
      </c>
      <c r="O189">
        <v>80</v>
      </c>
      <c r="P189" t="s">
        <v>571</v>
      </c>
      <c r="Q189" t="s">
        <v>572</v>
      </c>
      <c r="R189" t="s">
        <v>573</v>
      </c>
      <c r="S189" t="s">
        <v>52</v>
      </c>
      <c r="T189" t="s">
        <v>252</v>
      </c>
      <c r="U189">
        <v>888445</v>
      </c>
      <c r="V189" s="3">
        <v>46049.587500000001</v>
      </c>
      <c r="W189" t="s">
        <v>605</v>
      </c>
      <c r="X189" t="s">
        <v>606</v>
      </c>
      <c r="Y189" t="str">
        <f>"0414330986"</f>
        <v>0414330986</v>
      </c>
      <c r="Z189" t="s">
        <v>375</v>
      </c>
      <c r="AA189" s="1">
        <v>46068</v>
      </c>
      <c r="AB189" t="s">
        <v>576</v>
      </c>
      <c r="AD189" t="s">
        <v>41</v>
      </c>
      <c r="AE189" t="s">
        <v>577</v>
      </c>
      <c r="AF189">
        <v>4700</v>
      </c>
      <c r="AG189" t="s">
        <v>572</v>
      </c>
      <c r="AI189" t="s">
        <v>59</v>
      </c>
      <c r="AJ189" t="str">
        <f>"0050075176"</f>
        <v>0050075176</v>
      </c>
      <c r="AN189" s="3">
        <v>46049.587500000001</v>
      </c>
      <c r="AO189" t="s">
        <v>573</v>
      </c>
    </row>
    <row r="190" spans="1:41" x14ac:dyDescent="0.3">
      <c r="A190" t="s">
        <v>168</v>
      </c>
      <c r="B190" t="s">
        <v>441</v>
      </c>
      <c r="C190" t="s">
        <v>101</v>
      </c>
      <c r="E190" s="1">
        <v>46077</v>
      </c>
      <c r="F190" t="s">
        <v>1376</v>
      </c>
      <c r="G190" t="s">
        <v>45</v>
      </c>
      <c r="H190" s="2">
        <v>0.27083333333333331</v>
      </c>
      <c r="I190" s="2">
        <v>0.5</v>
      </c>
      <c r="J190" t="s">
        <v>101</v>
      </c>
      <c r="L190" t="s">
        <v>159</v>
      </c>
      <c r="M190" t="s">
        <v>1377</v>
      </c>
      <c r="N190" t="s">
        <v>1378</v>
      </c>
      <c r="O190">
        <v>22414</v>
      </c>
      <c r="Q190" t="s">
        <v>944</v>
      </c>
      <c r="R190" t="s">
        <v>208</v>
      </c>
      <c r="S190" t="s">
        <v>52</v>
      </c>
      <c r="U190">
        <v>891672</v>
      </c>
      <c r="V190" s="3">
        <v>46064.86041666667</v>
      </c>
      <c r="W190" t="s">
        <v>1379</v>
      </c>
      <c r="X190" t="s">
        <v>1380</v>
      </c>
      <c r="Y190" t="str">
        <f>"0425653004"</f>
        <v>0425653004</v>
      </c>
      <c r="Z190" t="s">
        <v>123</v>
      </c>
      <c r="AA190" s="1">
        <v>46077</v>
      </c>
      <c r="AB190" t="s">
        <v>448</v>
      </c>
      <c r="AD190" t="s">
        <v>168</v>
      </c>
      <c r="AE190" t="s">
        <v>180</v>
      </c>
      <c r="AF190">
        <v>5063</v>
      </c>
      <c r="AG190" t="s">
        <v>1381</v>
      </c>
      <c r="AI190" t="s">
        <v>59</v>
      </c>
      <c r="AL190" t="s">
        <v>1121</v>
      </c>
      <c r="AN190" s="3">
        <v>46077.792361111111</v>
      </c>
      <c r="AO190" t="s">
        <v>1379</v>
      </c>
    </row>
    <row r="191" spans="1:41" x14ac:dyDescent="0.3">
      <c r="A191" t="s">
        <v>61</v>
      </c>
      <c r="B191" t="s">
        <v>62</v>
      </c>
      <c r="C191" t="s">
        <v>43</v>
      </c>
      <c r="D191" t="s">
        <v>63</v>
      </c>
      <c r="E191" s="1">
        <v>46077</v>
      </c>
      <c r="F191" t="s">
        <v>1376</v>
      </c>
      <c r="G191" t="s">
        <v>45</v>
      </c>
      <c r="H191" s="2">
        <v>0.27083333333333331</v>
      </c>
      <c r="I191" s="2">
        <v>0.99861111111111112</v>
      </c>
      <c r="J191" t="s">
        <v>101</v>
      </c>
      <c r="L191" t="s">
        <v>159</v>
      </c>
      <c r="M191" t="s">
        <v>645</v>
      </c>
      <c r="N191" t="s">
        <v>646</v>
      </c>
      <c r="O191">
        <v>5950942</v>
      </c>
      <c r="Q191" t="s">
        <v>66</v>
      </c>
      <c r="R191" t="s">
        <v>67</v>
      </c>
      <c r="S191" t="s">
        <v>52</v>
      </c>
      <c r="U191">
        <v>891663</v>
      </c>
      <c r="V191" s="3">
        <v>46069.605555555558</v>
      </c>
      <c r="W191" t="s">
        <v>647</v>
      </c>
      <c r="X191" t="s">
        <v>648</v>
      </c>
      <c r="Y191" t="str">
        <f>"0411463760"</f>
        <v>0411463760</v>
      </c>
      <c r="Z191" t="s">
        <v>1382</v>
      </c>
      <c r="AB191" t="s">
        <v>71</v>
      </c>
      <c r="AD191" t="s">
        <v>61</v>
      </c>
      <c r="AE191" t="s">
        <v>72</v>
      </c>
      <c r="AF191">
        <v>2747</v>
      </c>
      <c r="AG191" t="s">
        <v>73</v>
      </c>
      <c r="AI191" t="s">
        <v>59</v>
      </c>
      <c r="AL191" t="s">
        <v>1383</v>
      </c>
      <c r="AN191" s="3">
        <v>46077.745138888888</v>
      </c>
      <c r="AO191" t="s">
        <v>647</v>
      </c>
    </row>
    <row r="192" spans="1:41" x14ac:dyDescent="0.3">
      <c r="A192" t="s">
        <v>61</v>
      </c>
      <c r="B192" t="s">
        <v>992</v>
      </c>
      <c r="C192" t="s">
        <v>993</v>
      </c>
      <c r="D192" t="s">
        <v>63</v>
      </c>
      <c r="E192" s="1">
        <v>46077</v>
      </c>
      <c r="F192" t="s">
        <v>1376</v>
      </c>
      <c r="G192" t="s">
        <v>45</v>
      </c>
      <c r="H192" s="2">
        <v>0.27083333333333331</v>
      </c>
      <c r="I192" s="2">
        <v>0.99861111111111112</v>
      </c>
      <c r="J192" t="s">
        <v>101</v>
      </c>
      <c r="L192" t="s">
        <v>159</v>
      </c>
      <c r="M192" t="s">
        <v>988</v>
      </c>
      <c r="N192" t="s">
        <v>989</v>
      </c>
      <c r="O192">
        <v>21506</v>
      </c>
      <c r="Q192" t="s">
        <v>1384</v>
      </c>
      <c r="R192" t="s">
        <v>67</v>
      </c>
      <c r="S192" t="s">
        <v>52</v>
      </c>
      <c r="U192">
        <v>891606</v>
      </c>
      <c r="V192" s="3">
        <v>46062.418055555558</v>
      </c>
      <c r="W192" t="s">
        <v>990</v>
      </c>
      <c r="X192" t="s">
        <v>991</v>
      </c>
      <c r="Y192" t="str">
        <f>"0416493278"</f>
        <v>0416493278</v>
      </c>
      <c r="Z192" t="s">
        <v>324</v>
      </c>
      <c r="AB192" t="s">
        <v>1000</v>
      </c>
      <c r="AD192" t="s">
        <v>61</v>
      </c>
      <c r="AE192" t="s">
        <v>1001</v>
      </c>
      <c r="AF192">
        <v>2560</v>
      </c>
      <c r="AG192" t="s">
        <v>78</v>
      </c>
      <c r="AI192" t="s">
        <v>59</v>
      </c>
      <c r="AL192" t="s">
        <v>1385</v>
      </c>
      <c r="AN192" s="3">
        <v>46077.556944444441</v>
      </c>
      <c r="AO192" t="s">
        <v>990</v>
      </c>
    </row>
    <row r="193" spans="1:41" x14ac:dyDescent="0.3">
      <c r="A193" t="s">
        <v>168</v>
      </c>
      <c r="B193" t="s">
        <v>376</v>
      </c>
      <c r="C193" t="s">
        <v>216</v>
      </c>
      <c r="D193" t="s">
        <v>1386</v>
      </c>
      <c r="E193" s="1">
        <v>46077</v>
      </c>
      <c r="F193" t="s">
        <v>1376</v>
      </c>
      <c r="G193" t="s">
        <v>45</v>
      </c>
      <c r="H193" s="2">
        <v>0.27083333333333331</v>
      </c>
      <c r="I193" s="2">
        <v>0.60416666666666663</v>
      </c>
      <c r="J193" t="s">
        <v>101</v>
      </c>
      <c r="L193" t="s">
        <v>159</v>
      </c>
      <c r="M193" t="s">
        <v>1387</v>
      </c>
      <c r="N193" t="s">
        <v>1388</v>
      </c>
      <c r="O193">
        <v>22824</v>
      </c>
      <c r="Q193" t="s">
        <v>1389</v>
      </c>
      <c r="R193" t="s">
        <v>1390</v>
      </c>
      <c r="S193" t="s">
        <v>52</v>
      </c>
      <c r="U193">
        <v>891620</v>
      </c>
      <c r="V193" s="3">
        <v>46050.572916666664</v>
      </c>
      <c r="W193" t="s">
        <v>1391</v>
      </c>
      <c r="X193" t="s">
        <v>1392</v>
      </c>
      <c r="Y193" t="str">
        <f>"0435935699"</f>
        <v>0435935699</v>
      </c>
      <c r="Z193" t="s">
        <v>70</v>
      </c>
      <c r="AA193" s="1">
        <v>46077</v>
      </c>
      <c r="AB193" t="s">
        <v>383</v>
      </c>
      <c r="AD193" t="s">
        <v>168</v>
      </c>
      <c r="AE193" t="s">
        <v>384</v>
      </c>
      <c r="AF193">
        <v>5000</v>
      </c>
      <c r="AI193" t="s">
        <v>59</v>
      </c>
      <c r="AL193" t="s">
        <v>1393</v>
      </c>
      <c r="AM193" t="s">
        <v>1394</v>
      </c>
      <c r="AN193" s="3">
        <v>46077.584027777775</v>
      </c>
      <c r="AO193" t="s">
        <v>1391</v>
      </c>
    </row>
    <row r="194" spans="1:41" x14ac:dyDescent="0.3">
      <c r="A194" t="s">
        <v>61</v>
      </c>
      <c r="B194" t="s">
        <v>182</v>
      </c>
      <c r="C194" t="s">
        <v>183</v>
      </c>
      <c r="D194" t="s">
        <v>184</v>
      </c>
      <c r="E194" s="1">
        <v>46077</v>
      </c>
      <c r="F194" t="s">
        <v>1376</v>
      </c>
      <c r="G194" t="s">
        <v>45</v>
      </c>
      <c r="H194" s="2">
        <v>0.27083333333333331</v>
      </c>
      <c r="I194" s="2">
        <v>0.47916666666666669</v>
      </c>
      <c r="J194" t="s">
        <v>185</v>
      </c>
      <c r="L194" t="s">
        <v>186</v>
      </c>
      <c r="M194" t="s">
        <v>1395</v>
      </c>
      <c r="N194" t="s">
        <v>1396</v>
      </c>
      <c r="O194">
        <v>758</v>
      </c>
      <c r="Q194" t="s">
        <v>189</v>
      </c>
      <c r="R194" t="s">
        <v>500</v>
      </c>
      <c r="S194" t="s">
        <v>52</v>
      </c>
      <c r="U194">
        <v>891599</v>
      </c>
      <c r="V194" s="3">
        <v>46071.82708333333</v>
      </c>
      <c r="W194" t="s">
        <v>1397</v>
      </c>
      <c r="X194" t="s">
        <v>1398</v>
      </c>
      <c r="Y194" t="str">
        <f>"0402403886"</f>
        <v>0402403886</v>
      </c>
      <c r="Z194" t="s">
        <v>1399</v>
      </c>
      <c r="AB194" t="s">
        <v>193</v>
      </c>
      <c r="AD194" t="s">
        <v>61</v>
      </c>
      <c r="AE194" t="s">
        <v>194</v>
      </c>
      <c r="AF194">
        <v>2229</v>
      </c>
      <c r="AG194" t="s">
        <v>189</v>
      </c>
      <c r="AI194" t="s">
        <v>59</v>
      </c>
      <c r="AL194" t="s">
        <v>1400</v>
      </c>
      <c r="AN194" s="3">
        <v>46077.488888888889</v>
      </c>
      <c r="AO194" t="s">
        <v>1397</v>
      </c>
    </row>
    <row r="195" spans="1:41" x14ac:dyDescent="0.3">
      <c r="A195" t="s">
        <v>41</v>
      </c>
      <c r="B195" t="s">
        <v>632</v>
      </c>
      <c r="C195" t="s">
        <v>296</v>
      </c>
      <c r="D195" t="s">
        <v>246</v>
      </c>
      <c r="E195" s="1">
        <v>46077</v>
      </c>
      <c r="F195" t="s">
        <v>1376</v>
      </c>
      <c r="G195" t="s">
        <v>45</v>
      </c>
      <c r="H195" s="2">
        <v>0.27083333333333331</v>
      </c>
      <c r="I195" s="2">
        <v>0.625</v>
      </c>
      <c r="J195" t="s">
        <v>296</v>
      </c>
      <c r="L195" t="s">
        <v>298</v>
      </c>
      <c r="M195" t="s">
        <v>1401</v>
      </c>
      <c r="N195" t="s">
        <v>1402</v>
      </c>
      <c r="O195">
        <v>5952070</v>
      </c>
      <c r="Q195" t="s">
        <v>1403</v>
      </c>
      <c r="R195" t="s">
        <v>723</v>
      </c>
      <c r="S195" t="s">
        <v>52</v>
      </c>
      <c r="U195">
        <v>891640</v>
      </c>
      <c r="V195" s="3">
        <v>46070.465277777781</v>
      </c>
      <c r="W195" t="s">
        <v>1404</v>
      </c>
      <c r="X195" t="s">
        <v>1405</v>
      </c>
      <c r="Y195" t="str">
        <f>"0474506417"</f>
        <v>0474506417</v>
      </c>
      <c r="Z195" t="s">
        <v>1406</v>
      </c>
      <c r="AB195" t="s">
        <v>640</v>
      </c>
      <c r="AD195" t="s">
        <v>41</v>
      </c>
      <c r="AE195" t="s">
        <v>641</v>
      </c>
      <c r="AF195">
        <v>4305</v>
      </c>
      <c r="AG195" t="s">
        <v>1370</v>
      </c>
      <c r="AI195" t="s">
        <v>59</v>
      </c>
      <c r="AL195" t="s">
        <v>1407</v>
      </c>
      <c r="AN195" s="3">
        <v>46077.663194444445</v>
      </c>
      <c r="AO195" t="s">
        <v>1404</v>
      </c>
    </row>
    <row r="196" spans="1:41" x14ac:dyDescent="0.3">
      <c r="A196" t="s">
        <v>61</v>
      </c>
      <c r="B196" t="s">
        <v>1408</v>
      </c>
      <c r="C196" t="s">
        <v>43</v>
      </c>
      <c r="D196" t="s">
        <v>719</v>
      </c>
      <c r="E196" s="1">
        <v>46077</v>
      </c>
      <c r="F196" t="s">
        <v>1376</v>
      </c>
      <c r="G196" t="s">
        <v>45</v>
      </c>
      <c r="H196" s="2">
        <v>0.27083333333333331</v>
      </c>
      <c r="I196" s="2">
        <v>0.72916666666666663</v>
      </c>
      <c r="J196" t="s">
        <v>101</v>
      </c>
      <c r="L196" t="s">
        <v>159</v>
      </c>
      <c r="M196" t="s">
        <v>1409</v>
      </c>
      <c r="N196" t="s">
        <v>1410</v>
      </c>
      <c r="O196">
        <v>5952321</v>
      </c>
      <c r="Q196" t="s">
        <v>1411</v>
      </c>
      <c r="R196" t="s">
        <v>67</v>
      </c>
      <c r="S196" t="s">
        <v>52</v>
      </c>
      <c r="U196">
        <v>891600</v>
      </c>
      <c r="V196" s="3">
        <v>46062.65625</v>
      </c>
      <c r="W196" t="s">
        <v>1412</v>
      </c>
      <c r="X196" t="s">
        <v>1413</v>
      </c>
      <c r="Y196" t="str">
        <f>"0420269827"</f>
        <v>0420269827</v>
      </c>
      <c r="Z196" t="s">
        <v>503</v>
      </c>
      <c r="AB196" t="s">
        <v>1414</v>
      </c>
      <c r="AD196" t="s">
        <v>61</v>
      </c>
      <c r="AE196" t="s">
        <v>72</v>
      </c>
      <c r="AF196">
        <v>2747</v>
      </c>
      <c r="AG196" t="s">
        <v>1415</v>
      </c>
      <c r="AI196" t="s">
        <v>59</v>
      </c>
      <c r="AL196" t="s">
        <v>1416</v>
      </c>
      <c r="AN196" s="3">
        <v>46077.513888888891</v>
      </c>
      <c r="AO196" t="s">
        <v>1412</v>
      </c>
    </row>
    <row r="197" spans="1:41" x14ac:dyDescent="0.3">
      <c r="A197" t="s">
        <v>168</v>
      </c>
      <c r="B197" t="s">
        <v>215</v>
      </c>
      <c r="C197" t="s">
        <v>43</v>
      </c>
      <c r="D197" t="s">
        <v>127</v>
      </c>
      <c r="E197" s="1">
        <v>46077</v>
      </c>
      <c r="F197" t="s">
        <v>1376</v>
      </c>
      <c r="G197" t="s">
        <v>45</v>
      </c>
      <c r="H197" s="2">
        <v>0.27083333333333331</v>
      </c>
      <c r="I197" s="2">
        <v>0.58333333333333337</v>
      </c>
      <c r="J197" t="s">
        <v>258</v>
      </c>
      <c r="K197" t="s">
        <v>259</v>
      </c>
      <c r="L197" t="s">
        <v>186</v>
      </c>
      <c r="M197" t="s">
        <v>798</v>
      </c>
      <c r="N197" t="s">
        <v>799</v>
      </c>
      <c r="O197">
        <v>20875</v>
      </c>
      <c r="Q197" t="s">
        <v>219</v>
      </c>
      <c r="R197" t="s">
        <v>556</v>
      </c>
      <c r="S197" t="s">
        <v>52</v>
      </c>
      <c r="U197">
        <v>891630</v>
      </c>
      <c r="V197" s="3">
        <v>46057.072916666664</v>
      </c>
      <c r="W197" t="s">
        <v>800</v>
      </c>
      <c r="X197" t="s">
        <v>801</v>
      </c>
      <c r="Y197" t="str">
        <f>"0417001267"</f>
        <v>0417001267</v>
      </c>
      <c r="Z197" t="s">
        <v>70</v>
      </c>
      <c r="AA197" s="1">
        <v>46077</v>
      </c>
      <c r="AB197" t="s">
        <v>222</v>
      </c>
      <c r="AD197" t="s">
        <v>168</v>
      </c>
      <c r="AE197" t="s">
        <v>223</v>
      </c>
      <c r="AF197">
        <v>5069</v>
      </c>
      <c r="AG197" t="s">
        <v>219</v>
      </c>
      <c r="AI197" t="s">
        <v>59</v>
      </c>
      <c r="AL197" t="s">
        <v>1417</v>
      </c>
      <c r="AN197" s="3">
        <v>46077.615277777775</v>
      </c>
      <c r="AO197" t="s">
        <v>800</v>
      </c>
    </row>
    <row r="198" spans="1:41" x14ac:dyDescent="0.3">
      <c r="A198" t="s">
        <v>168</v>
      </c>
      <c r="B198" t="s">
        <v>215</v>
      </c>
      <c r="C198" t="s">
        <v>43</v>
      </c>
      <c r="D198" t="s">
        <v>127</v>
      </c>
      <c r="E198" s="1">
        <v>46077</v>
      </c>
      <c r="F198" t="s">
        <v>1376</v>
      </c>
      <c r="G198" t="s">
        <v>45</v>
      </c>
      <c r="H198" s="2">
        <v>0.27083333333333331</v>
      </c>
      <c r="I198" s="2">
        <v>0.58333333333333337</v>
      </c>
      <c r="J198" t="s">
        <v>1011</v>
      </c>
      <c r="K198" t="s">
        <v>1012</v>
      </c>
      <c r="L198" t="s">
        <v>186</v>
      </c>
      <c r="M198" t="s">
        <v>651</v>
      </c>
      <c r="N198" t="s">
        <v>412</v>
      </c>
      <c r="O198">
        <v>21855</v>
      </c>
      <c r="Q198" t="s">
        <v>219</v>
      </c>
      <c r="R198" t="s">
        <v>556</v>
      </c>
      <c r="S198" t="s">
        <v>52</v>
      </c>
      <c r="U198">
        <v>891637</v>
      </c>
      <c r="V198" s="3">
        <v>46057.072916666664</v>
      </c>
      <c r="W198" t="s">
        <v>652</v>
      </c>
      <c r="X198" t="s">
        <v>653</v>
      </c>
      <c r="Y198" t="str">
        <f>"0407317111"</f>
        <v>0407317111</v>
      </c>
      <c r="Z198" t="s">
        <v>70</v>
      </c>
      <c r="AA198" s="1">
        <v>46077</v>
      </c>
      <c r="AB198" t="s">
        <v>222</v>
      </c>
      <c r="AD198" t="s">
        <v>168</v>
      </c>
      <c r="AE198" t="s">
        <v>223</v>
      </c>
      <c r="AF198">
        <v>5069</v>
      </c>
      <c r="AG198" t="s">
        <v>219</v>
      </c>
      <c r="AI198" t="s">
        <v>59</v>
      </c>
      <c r="AL198" t="s">
        <v>1417</v>
      </c>
      <c r="AN198" s="3">
        <v>46077.654861111114</v>
      </c>
      <c r="AO198" t="s">
        <v>652</v>
      </c>
    </row>
    <row r="199" spans="1:41" x14ac:dyDescent="0.3">
      <c r="A199" t="s">
        <v>168</v>
      </c>
      <c r="B199" t="s">
        <v>1199</v>
      </c>
      <c r="C199" t="s">
        <v>216</v>
      </c>
      <c r="D199" t="s">
        <v>127</v>
      </c>
      <c r="E199" s="1">
        <v>46077</v>
      </c>
      <c r="F199" t="s">
        <v>1376</v>
      </c>
      <c r="G199" t="s">
        <v>45</v>
      </c>
      <c r="H199" s="2">
        <v>0.29166666666666669</v>
      </c>
      <c r="I199" s="2">
        <v>0.54166666666666663</v>
      </c>
      <c r="J199" t="s">
        <v>101</v>
      </c>
      <c r="L199" t="s">
        <v>159</v>
      </c>
      <c r="M199" t="s">
        <v>1418</v>
      </c>
      <c r="N199" t="s">
        <v>1419</v>
      </c>
      <c r="O199">
        <v>52</v>
      </c>
      <c r="Q199" t="s">
        <v>1200</v>
      </c>
      <c r="R199" t="s">
        <v>231</v>
      </c>
      <c r="S199" t="s">
        <v>52</v>
      </c>
      <c r="U199">
        <v>891598</v>
      </c>
      <c r="V199" s="3">
        <v>46073.645833333336</v>
      </c>
      <c r="W199" t="s">
        <v>1420</v>
      </c>
      <c r="X199" t="s">
        <v>1421</v>
      </c>
      <c r="Y199" t="str">
        <f>"0417838903"</f>
        <v>0417838903</v>
      </c>
      <c r="Z199" t="s">
        <v>585</v>
      </c>
      <c r="AB199" t="s">
        <v>1202</v>
      </c>
      <c r="AD199" t="s">
        <v>168</v>
      </c>
      <c r="AE199" t="s">
        <v>1203</v>
      </c>
      <c r="AF199">
        <v>5152</v>
      </c>
      <c r="AG199" t="s">
        <v>1200</v>
      </c>
      <c r="AI199" t="s">
        <v>59</v>
      </c>
      <c r="AL199" t="s">
        <v>1204</v>
      </c>
      <c r="AN199" s="3">
        <v>46077.476388888892</v>
      </c>
      <c r="AO199" t="s">
        <v>1420</v>
      </c>
    </row>
    <row r="200" spans="1:41" x14ac:dyDescent="0.3">
      <c r="A200" t="s">
        <v>61</v>
      </c>
      <c r="B200" t="s">
        <v>126</v>
      </c>
      <c r="C200" t="s">
        <v>43</v>
      </c>
      <c r="D200" t="s">
        <v>127</v>
      </c>
      <c r="E200" s="1">
        <v>46077</v>
      </c>
      <c r="F200" t="s">
        <v>1376</v>
      </c>
      <c r="G200" t="s">
        <v>45</v>
      </c>
      <c r="H200" s="2">
        <v>0.29166666666666669</v>
      </c>
      <c r="I200" s="2">
        <v>0.99861111111111112</v>
      </c>
      <c r="J200" t="s">
        <v>46</v>
      </c>
      <c r="L200" t="s">
        <v>47</v>
      </c>
      <c r="M200" t="s">
        <v>129</v>
      </c>
      <c r="N200" t="s">
        <v>130</v>
      </c>
      <c r="O200">
        <v>21231</v>
      </c>
      <c r="Q200" t="s">
        <v>131</v>
      </c>
      <c r="R200" t="s">
        <v>132</v>
      </c>
      <c r="S200" t="s">
        <v>52</v>
      </c>
      <c r="U200">
        <v>891648</v>
      </c>
      <c r="V200" s="3">
        <v>46042.632638888892</v>
      </c>
      <c r="W200" t="s">
        <v>133</v>
      </c>
      <c r="X200" t="s">
        <v>134</v>
      </c>
      <c r="Y200" t="str">
        <f>"0425328222"</f>
        <v>0425328222</v>
      </c>
      <c r="Z200" t="s">
        <v>1422</v>
      </c>
      <c r="AB200" t="s">
        <v>136</v>
      </c>
      <c r="AD200" t="s">
        <v>61</v>
      </c>
      <c r="AE200" t="s">
        <v>137</v>
      </c>
      <c r="AF200">
        <v>2032</v>
      </c>
      <c r="AG200" t="s">
        <v>131</v>
      </c>
      <c r="AI200" t="s">
        <v>59</v>
      </c>
      <c r="AL200" t="s">
        <v>1423</v>
      </c>
      <c r="AN200" s="3">
        <v>46077.679861111108</v>
      </c>
      <c r="AO200" t="s">
        <v>133</v>
      </c>
    </row>
    <row r="201" spans="1:41" x14ac:dyDescent="0.3">
      <c r="A201" t="s">
        <v>168</v>
      </c>
      <c r="B201" t="s">
        <v>225</v>
      </c>
      <c r="C201" t="s">
        <v>796</v>
      </c>
      <c r="D201" t="s">
        <v>227</v>
      </c>
      <c r="E201" s="1">
        <v>46077</v>
      </c>
      <c r="F201" t="s">
        <v>1376</v>
      </c>
      <c r="G201" t="s">
        <v>45</v>
      </c>
      <c r="H201" s="2">
        <v>0.29166666666666669</v>
      </c>
      <c r="I201" s="2">
        <v>0.54166666666666663</v>
      </c>
      <c r="J201" t="s">
        <v>185</v>
      </c>
      <c r="K201" t="s">
        <v>327</v>
      </c>
      <c r="L201" t="s">
        <v>186</v>
      </c>
      <c r="M201" t="s">
        <v>1424</v>
      </c>
      <c r="N201" t="s">
        <v>1425</v>
      </c>
      <c r="O201">
        <v>21509</v>
      </c>
      <c r="Q201" t="s">
        <v>1426</v>
      </c>
      <c r="R201" t="s">
        <v>231</v>
      </c>
      <c r="S201" t="s">
        <v>52</v>
      </c>
      <c r="U201">
        <v>891608</v>
      </c>
      <c r="V201" s="3">
        <v>46042.371527777781</v>
      </c>
      <c r="W201" t="s">
        <v>1427</v>
      </c>
      <c r="X201" t="s">
        <v>1428</v>
      </c>
      <c r="Y201" t="str">
        <f>"0407831863"</f>
        <v>0407831863</v>
      </c>
      <c r="Z201" t="s">
        <v>980</v>
      </c>
      <c r="AB201" t="s">
        <v>235</v>
      </c>
      <c r="AD201" t="s">
        <v>168</v>
      </c>
      <c r="AE201" t="s">
        <v>236</v>
      </c>
      <c r="AF201">
        <v>5087</v>
      </c>
      <c r="AG201" t="s">
        <v>230</v>
      </c>
      <c r="AI201" t="s">
        <v>59</v>
      </c>
      <c r="AL201" t="s">
        <v>1429</v>
      </c>
      <c r="AN201" s="3">
        <v>46077.561805555553</v>
      </c>
      <c r="AO201" t="s">
        <v>1427</v>
      </c>
    </row>
    <row r="202" spans="1:41" x14ac:dyDescent="0.3">
      <c r="A202" t="s">
        <v>168</v>
      </c>
      <c r="B202" t="s">
        <v>441</v>
      </c>
      <c r="C202" t="s">
        <v>101</v>
      </c>
      <c r="E202" s="1">
        <v>46077</v>
      </c>
      <c r="F202" t="s">
        <v>1376</v>
      </c>
      <c r="G202" t="s">
        <v>45</v>
      </c>
      <c r="H202" s="2">
        <v>0.29166666666666669</v>
      </c>
      <c r="I202" s="2">
        <v>0.625</v>
      </c>
      <c r="J202" t="s">
        <v>101</v>
      </c>
      <c r="L202" t="s">
        <v>159</v>
      </c>
      <c r="M202" t="s">
        <v>1430</v>
      </c>
      <c r="N202" t="s">
        <v>1431</v>
      </c>
      <c r="O202">
        <v>5951468</v>
      </c>
      <c r="Q202" t="s">
        <v>944</v>
      </c>
      <c r="R202" t="s">
        <v>556</v>
      </c>
      <c r="S202" t="s">
        <v>52</v>
      </c>
      <c r="U202">
        <v>891632</v>
      </c>
      <c r="V202" s="3">
        <v>46050.948611111111</v>
      </c>
      <c r="W202" t="s">
        <v>1432</v>
      </c>
      <c r="X202" t="s">
        <v>1433</v>
      </c>
      <c r="Y202" t="str">
        <f>"0476999212"</f>
        <v>0476999212</v>
      </c>
      <c r="Z202" t="s">
        <v>70</v>
      </c>
      <c r="AA202" s="1">
        <v>46077</v>
      </c>
      <c r="AB202" t="s">
        <v>448</v>
      </c>
      <c r="AD202" t="s">
        <v>168</v>
      </c>
      <c r="AE202" t="s">
        <v>180</v>
      </c>
      <c r="AF202">
        <v>5063</v>
      </c>
      <c r="AG202" t="s">
        <v>944</v>
      </c>
      <c r="AI202" t="s">
        <v>59</v>
      </c>
      <c r="AL202" t="s">
        <v>1434</v>
      </c>
      <c r="AN202" s="3">
        <v>46077.620833333334</v>
      </c>
      <c r="AO202" t="s">
        <v>1432</v>
      </c>
    </row>
    <row r="203" spans="1:41" x14ac:dyDescent="0.3">
      <c r="A203" t="s">
        <v>306</v>
      </c>
      <c r="B203" t="s">
        <v>1435</v>
      </c>
      <c r="C203" t="s">
        <v>43</v>
      </c>
      <c r="D203" t="s">
        <v>1436</v>
      </c>
      <c r="E203" s="1">
        <v>46077</v>
      </c>
      <c r="F203" t="s">
        <v>1376</v>
      </c>
      <c r="G203" t="s">
        <v>128</v>
      </c>
      <c r="H203" s="2">
        <v>0.29166666666666669</v>
      </c>
      <c r="I203" s="2">
        <v>0.75</v>
      </c>
      <c r="J203" t="s">
        <v>701</v>
      </c>
      <c r="L203" t="s">
        <v>702</v>
      </c>
      <c r="M203" t="s">
        <v>703</v>
      </c>
      <c r="N203" t="s">
        <v>704</v>
      </c>
      <c r="O203">
        <v>20947</v>
      </c>
      <c r="Q203" t="s">
        <v>705</v>
      </c>
      <c r="R203" t="s">
        <v>1248</v>
      </c>
      <c r="S203" t="s">
        <v>52</v>
      </c>
      <c r="T203" t="s">
        <v>1437</v>
      </c>
      <c r="U203">
        <v>891604</v>
      </c>
      <c r="V203" s="3">
        <v>46074.37222222222</v>
      </c>
      <c r="W203" t="s">
        <v>706</v>
      </c>
      <c r="X203" t="s">
        <v>707</v>
      </c>
      <c r="Y203" t="str">
        <f>"0437759431"</f>
        <v>0437759431</v>
      </c>
      <c r="Z203" t="s">
        <v>70</v>
      </c>
      <c r="AB203" t="s">
        <v>1438</v>
      </c>
      <c r="AD203" t="s">
        <v>306</v>
      </c>
      <c r="AE203" t="s">
        <v>1439</v>
      </c>
      <c r="AF203">
        <v>3128</v>
      </c>
      <c r="AG203" t="s">
        <v>413</v>
      </c>
      <c r="AI203" t="s">
        <v>59</v>
      </c>
      <c r="AL203" t="s">
        <v>1440</v>
      </c>
      <c r="AN203" s="3">
        <v>46082.477777777778</v>
      </c>
      <c r="AO203" t="s">
        <v>759</v>
      </c>
    </row>
    <row r="204" spans="1:41" x14ac:dyDescent="0.3">
      <c r="A204" t="s">
        <v>61</v>
      </c>
      <c r="B204" t="s">
        <v>1441</v>
      </c>
      <c r="C204" t="s">
        <v>43</v>
      </c>
      <c r="D204" t="s">
        <v>127</v>
      </c>
      <c r="E204" s="1">
        <v>46077</v>
      </c>
      <c r="F204" t="s">
        <v>1376</v>
      </c>
      <c r="G204" t="s">
        <v>45</v>
      </c>
      <c r="H204" s="2">
        <v>0.29166666666666669</v>
      </c>
      <c r="I204" s="2">
        <v>0.625</v>
      </c>
      <c r="J204" t="s">
        <v>185</v>
      </c>
      <c r="K204" t="s">
        <v>1442</v>
      </c>
      <c r="L204" t="s">
        <v>186</v>
      </c>
      <c r="M204" t="s">
        <v>777</v>
      </c>
      <c r="N204" t="s">
        <v>778</v>
      </c>
      <c r="O204">
        <v>5952331</v>
      </c>
      <c r="P204">
        <v>474512</v>
      </c>
      <c r="Q204" t="s">
        <v>1443</v>
      </c>
      <c r="R204" t="s">
        <v>67</v>
      </c>
      <c r="S204" t="s">
        <v>52</v>
      </c>
      <c r="U204">
        <v>891628</v>
      </c>
      <c r="V204" s="3">
        <v>46042.453472222223</v>
      </c>
      <c r="W204" t="s">
        <v>780</v>
      </c>
      <c r="X204" t="s">
        <v>781</v>
      </c>
      <c r="Y204" t="str">
        <f>"0478730906"</f>
        <v>0478730906</v>
      </c>
      <c r="Z204" t="s">
        <v>503</v>
      </c>
      <c r="AB204" t="s">
        <v>1444</v>
      </c>
      <c r="AD204" t="s">
        <v>61</v>
      </c>
      <c r="AE204" t="s">
        <v>1445</v>
      </c>
      <c r="AF204">
        <v>2100</v>
      </c>
      <c r="AG204" t="s">
        <v>1443</v>
      </c>
      <c r="AI204" t="s">
        <v>59</v>
      </c>
      <c r="AL204" t="s">
        <v>1446</v>
      </c>
      <c r="AN204" s="3">
        <v>46077.611111111109</v>
      </c>
      <c r="AO204" t="s">
        <v>780</v>
      </c>
    </row>
    <row r="205" spans="1:41" x14ac:dyDescent="0.3">
      <c r="A205" t="s">
        <v>168</v>
      </c>
      <c r="B205" t="s">
        <v>336</v>
      </c>
      <c r="C205" t="s">
        <v>1447</v>
      </c>
      <c r="D205" t="s">
        <v>268</v>
      </c>
      <c r="E205" s="1">
        <v>46077</v>
      </c>
      <c r="F205" t="s">
        <v>1376</v>
      </c>
      <c r="G205" t="s">
        <v>45</v>
      </c>
      <c r="H205" s="2">
        <v>0.29166666666666669</v>
      </c>
      <c r="I205" s="2">
        <v>0.64583333333333337</v>
      </c>
      <c r="J205" t="s">
        <v>296</v>
      </c>
      <c r="K205" t="s">
        <v>270</v>
      </c>
      <c r="L205" t="s">
        <v>172</v>
      </c>
      <c r="M205" t="s">
        <v>1206</v>
      </c>
      <c r="N205" t="s">
        <v>1448</v>
      </c>
      <c r="O205">
        <v>22926</v>
      </c>
      <c r="Q205" t="s">
        <v>342</v>
      </c>
      <c r="R205" t="s">
        <v>176</v>
      </c>
      <c r="S205" t="s">
        <v>52</v>
      </c>
      <c r="U205">
        <v>891646</v>
      </c>
      <c r="V205" s="3">
        <v>46063.561805555553</v>
      </c>
      <c r="W205" t="s">
        <v>1449</v>
      </c>
      <c r="X205" t="s">
        <v>1450</v>
      </c>
      <c r="Y205" t="str">
        <f>"0424371761"</f>
        <v>0424371761</v>
      </c>
      <c r="Z205" t="s">
        <v>1399</v>
      </c>
      <c r="AB205" t="s">
        <v>346</v>
      </c>
      <c r="AD205" t="s">
        <v>168</v>
      </c>
      <c r="AE205" t="s">
        <v>347</v>
      </c>
      <c r="AF205">
        <v>5042</v>
      </c>
      <c r="AG205" t="s">
        <v>342</v>
      </c>
      <c r="AI205" t="s">
        <v>59</v>
      </c>
      <c r="AL205" t="s">
        <v>1451</v>
      </c>
      <c r="AM205" t="s">
        <v>349</v>
      </c>
      <c r="AN205" s="3">
        <v>46077.670138888891</v>
      </c>
      <c r="AO205" t="s">
        <v>1449</v>
      </c>
    </row>
    <row r="206" spans="1:41" x14ac:dyDescent="0.3">
      <c r="A206" t="s">
        <v>41</v>
      </c>
      <c r="B206" t="s">
        <v>1452</v>
      </c>
      <c r="D206" t="s">
        <v>246</v>
      </c>
      <c r="E206" s="1">
        <v>46077</v>
      </c>
      <c r="F206" t="s">
        <v>1376</v>
      </c>
      <c r="G206" t="s">
        <v>45</v>
      </c>
      <c r="H206" s="2">
        <v>0.29166666666666669</v>
      </c>
      <c r="I206" s="2">
        <v>0.64583333333333337</v>
      </c>
      <c r="J206" t="s">
        <v>296</v>
      </c>
      <c r="L206" t="s">
        <v>1453</v>
      </c>
      <c r="M206" t="s">
        <v>1454</v>
      </c>
      <c r="N206" t="s">
        <v>1455</v>
      </c>
      <c r="O206">
        <v>5951941</v>
      </c>
      <c r="Q206" t="s">
        <v>1456</v>
      </c>
      <c r="R206" t="s">
        <v>1457</v>
      </c>
      <c r="S206" t="s">
        <v>52</v>
      </c>
      <c r="T206" t="s">
        <v>252</v>
      </c>
      <c r="U206">
        <v>892389</v>
      </c>
      <c r="V206" s="3">
        <v>46084.470138888886</v>
      </c>
      <c r="W206" t="s">
        <v>1457</v>
      </c>
      <c r="X206" t="s">
        <v>1458</v>
      </c>
      <c r="Y206" t="str">
        <f>"0413847722"</f>
        <v>0413847722</v>
      </c>
      <c r="Z206" t="s">
        <v>1201</v>
      </c>
      <c r="AA206" s="1">
        <v>46097</v>
      </c>
      <c r="AB206" t="s">
        <v>1459</v>
      </c>
      <c r="AD206" t="s">
        <v>41</v>
      </c>
      <c r="AE206" t="s">
        <v>1460</v>
      </c>
      <c r="AF206">
        <v>4740</v>
      </c>
      <c r="AG206" t="s">
        <v>1461</v>
      </c>
      <c r="AI206" t="s">
        <v>59</v>
      </c>
      <c r="AJ206" t="str">
        <f>"0050076628"</f>
        <v>0050076628</v>
      </c>
      <c r="AN206" s="3">
        <v>46084.470138888886</v>
      </c>
      <c r="AO206" t="s">
        <v>1457</v>
      </c>
    </row>
    <row r="207" spans="1:41" x14ac:dyDescent="0.3">
      <c r="A207" t="s">
        <v>61</v>
      </c>
      <c r="B207" t="s">
        <v>1462</v>
      </c>
      <c r="C207" t="s">
        <v>484</v>
      </c>
      <c r="D207" t="s">
        <v>90</v>
      </c>
      <c r="E207" s="1">
        <v>46077</v>
      </c>
      <c r="F207" t="s">
        <v>1376</v>
      </c>
      <c r="G207" t="s">
        <v>128</v>
      </c>
      <c r="H207" s="2">
        <v>0.29166666666666669</v>
      </c>
      <c r="I207" s="2">
        <v>0.8125</v>
      </c>
      <c r="J207" t="s">
        <v>486</v>
      </c>
      <c r="L207" t="s">
        <v>487</v>
      </c>
      <c r="M207" t="s">
        <v>1463</v>
      </c>
      <c r="N207" t="s">
        <v>1464</v>
      </c>
      <c r="O207">
        <v>22756</v>
      </c>
      <c r="Q207" t="s">
        <v>1465</v>
      </c>
      <c r="R207" t="s">
        <v>1248</v>
      </c>
      <c r="S207" t="s">
        <v>52</v>
      </c>
      <c r="T207" t="s">
        <v>1437</v>
      </c>
      <c r="U207">
        <v>891802</v>
      </c>
      <c r="V207" s="3">
        <v>46076.892361111109</v>
      </c>
      <c r="W207" t="s">
        <v>1466</v>
      </c>
      <c r="X207" t="s">
        <v>1467</v>
      </c>
      <c r="Y207" t="str">
        <f>"0416856891"</f>
        <v>0416856891</v>
      </c>
      <c r="Z207" t="s">
        <v>70</v>
      </c>
      <c r="AA207" s="1">
        <v>46077</v>
      </c>
      <c r="AB207" t="s">
        <v>1468</v>
      </c>
      <c r="AD207" t="s">
        <v>61</v>
      </c>
      <c r="AE207" t="s">
        <v>1469</v>
      </c>
      <c r="AF207">
        <v>2060</v>
      </c>
      <c r="AG207" t="s">
        <v>1465</v>
      </c>
      <c r="AI207" t="s">
        <v>59</v>
      </c>
      <c r="AL207" t="s">
        <v>1470</v>
      </c>
      <c r="AN207" s="3">
        <v>46082.484027777777</v>
      </c>
      <c r="AO207" t="s">
        <v>759</v>
      </c>
    </row>
    <row r="208" spans="1:41" x14ac:dyDescent="0.3">
      <c r="A208" t="s">
        <v>41</v>
      </c>
      <c r="B208" t="s">
        <v>965</v>
      </c>
      <c r="C208" t="s">
        <v>43</v>
      </c>
      <c r="D208" t="s">
        <v>966</v>
      </c>
      <c r="E208" s="1">
        <v>46077</v>
      </c>
      <c r="F208" t="s">
        <v>1376</v>
      </c>
      <c r="G208" t="s">
        <v>45</v>
      </c>
      <c r="H208" s="2">
        <v>0.29166666666666669</v>
      </c>
      <c r="I208" s="2">
        <v>0.64583333333333337</v>
      </c>
      <c r="J208" t="s">
        <v>101</v>
      </c>
      <c r="L208" t="s">
        <v>967</v>
      </c>
      <c r="M208" t="s">
        <v>968</v>
      </c>
      <c r="N208" t="s">
        <v>969</v>
      </c>
      <c r="O208">
        <v>5952467</v>
      </c>
      <c r="Q208" t="s">
        <v>1471</v>
      </c>
      <c r="R208" t="s">
        <v>1472</v>
      </c>
      <c r="S208" t="s">
        <v>52</v>
      </c>
      <c r="U208">
        <v>891667</v>
      </c>
      <c r="V208" s="3">
        <v>46063.439583333333</v>
      </c>
      <c r="W208" t="s">
        <v>970</v>
      </c>
      <c r="X208" t="s">
        <v>971</v>
      </c>
      <c r="Y208" t="str">
        <f>"0433979184"</f>
        <v>0433979184</v>
      </c>
      <c r="Z208" t="s">
        <v>673</v>
      </c>
      <c r="AB208" t="s">
        <v>972</v>
      </c>
      <c r="AD208" t="s">
        <v>41</v>
      </c>
      <c r="AE208" t="s">
        <v>973</v>
      </c>
      <c r="AF208">
        <v>4068</v>
      </c>
      <c r="AG208" t="s">
        <v>1471</v>
      </c>
      <c r="AI208" t="s">
        <v>59</v>
      </c>
      <c r="AL208" t="s">
        <v>1473</v>
      </c>
      <c r="AN208" s="3">
        <v>46077.771527777775</v>
      </c>
      <c r="AO208" t="s">
        <v>970</v>
      </c>
    </row>
    <row r="209" spans="1:41" x14ac:dyDescent="0.3">
      <c r="A209" t="s">
        <v>61</v>
      </c>
      <c r="B209" t="s">
        <v>62</v>
      </c>
      <c r="C209" t="s">
        <v>43</v>
      </c>
      <c r="D209" t="s">
        <v>63</v>
      </c>
      <c r="E209" s="1">
        <v>46077</v>
      </c>
      <c r="F209" t="s">
        <v>1376</v>
      </c>
      <c r="G209" t="s">
        <v>45</v>
      </c>
      <c r="H209" s="2">
        <v>0.29166666666666669</v>
      </c>
      <c r="I209" s="2">
        <v>0.99861111111111112</v>
      </c>
      <c r="J209" t="s">
        <v>185</v>
      </c>
      <c r="L209" t="s">
        <v>186</v>
      </c>
      <c r="M209" t="s">
        <v>1474</v>
      </c>
      <c r="N209" t="s">
        <v>1475</v>
      </c>
      <c r="O209">
        <v>22552</v>
      </c>
      <c r="Q209" t="s">
        <v>66</v>
      </c>
      <c r="R209" t="s">
        <v>67</v>
      </c>
      <c r="S209" t="s">
        <v>52</v>
      </c>
      <c r="U209">
        <v>891652</v>
      </c>
      <c r="V209" s="3">
        <v>46069.605555555558</v>
      </c>
      <c r="W209" t="s">
        <v>1476</v>
      </c>
      <c r="X209" t="s">
        <v>1477</v>
      </c>
      <c r="Y209" t="str">
        <f>"0421669341"</f>
        <v>0421669341</v>
      </c>
      <c r="Z209" t="s">
        <v>1478</v>
      </c>
      <c r="AB209" t="s">
        <v>71</v>
      </c>
      <c r="AD209" t="s">
        <v>61</v>
      </c>
      <c r="AE209" t="s">
        <v>72</v>
      </c>
      <c r="AF209">
        <v>2747</v>
      </c>
      <c r="AG209" t="s">
        <v>73</v>
      </c>
      <c r="AI209" t="s">
        <v>59</v>
      </c>
      <c r="AL209" t="s">
        <v>1479</v>
      </c>
      <c r="AN209" s="3">
        <v>46077.703472222223</v>
      </c>
      <c r="AO209" t="s">
        <v>1476</v>
      </c>
    </row>
    <row r="210" spans="1:41" x14ac:dyDescent="0.3">
      <c r="A210" t="s">
        <v>61</v>
      </c>
      <c r="B210" t="s">
        <v>158</v>
      </c>
      <c r="C210" t="s">
        <v>43</v>
      </c>
      <c r="D210" t="s">
        <v>127</v>
      </c>
      <c r="E210" s="1">
        <v>46077</v>
      </c>
      <c r="F210" t="s">
        <v>1376</v>
      </c>
      <c r="G210" t="s">
        <v>45</v>
      </c>
      <c r="H210" s="2">
        <v>0.29166666666666669</v>
      </c>
      <c r="I210" s="2">
        <v>0.99861111111111112</v>
      </c>
      <c r="J210" t="s">
        <v>101</v>
      </c>
      <c r="L210" t="s">
        <v>159</v>
      </c>
      <c r="M210" t="s">
        <v>1126</v>
      </c>
      <c r="N210" t="s">
        <v>1127</v>
      </c>
      <c r="O210">
        <v>21552</v>
      </c>
      <c r="Q210" t="s">
        <v>1128</v>
      </c>
      <c r="R210" t="s">
        <v>132</v>
      </c>
      <c r="S210" t="s">
        <v>52</v>
      </c>
      <c r="U210">
        <v>891634</v>
      </c>
      <c r="V210" s="3">
        <v>46059.500694444447</v>
      </c>
      <c r="W210" t="s">
        <v>1129</v>
      </c>
      <c r="X210" t="s">
        <v>1130</v>
      </c>
      <c r="Y210" t="str">
        <f>"0401723179"</f>
        <v>0401723179</v>
      </c>
      <c r="Z210" t="s">
        <v>55</v>
      </c>
      <c r="AA210" s="1">
        <v>46077</v>
      </c>
      <c r="AB210" t="s">
        <v>166</v>
      </c>
      <c r="AD210" t="s">
        <v>61</v>
      </c>
      <c r="AE210" t="s">
        <v>167</v>
      </c>
      <c r="AF210">
        <v>2011</v>
      </c>
      <c r="AG210" t="s">
        <v>738</v>
      </c>
      <c r="AI210" t="s">
        <v>59</v>
      </c>
      <c r="AL210" t="s">
        <v>1423</v>
      </c>
      <c r="AN210" s="3">
        <v>46077.63958333333</v>
      </c>
      <c r="AO210" t="s">
        <v>1129</v>
      </c>
    </row>
    <row r="211" spans="1:41" x14ac:dyDescent="0.3">
      <c r="A211" t="s">
        <v>41</v>
      </c>
      <c r="B211" t="s">
        <v>1480</v>
      </c>
      <c r="C211" t="s">
        <v>1481</v>
      </c>
      <c r="E211" s="1">
        <v>46077</v>
      </c>
      <c r="F211" t="s">
        <v>1376</v>
      </c>
      <c r="G211" t="s">
        <v>45</v>
      </c>
      <c r="H211" s="2">
        <v>0.29166666666666669</v>
      </c>
      <c r="I211" s="2">
        <v>0.625</v>
      </c>
      <c r="J211" t="s">
        <v>1482</v>
      </c>
      <c r="L211" t="s">
        <v>1482</v>
      </c>
      <c r="M211" t="s">
        <v>1483</v>
      </c>
      <c r="N211" t="s">
        <v>1484</v>
      </c>
      <c r="O211">
        <v>402353</v>
      </c>
      <c r="Q211" t="s">
        <v>1485</v>
      </c>
      <c r="R211" t="s">
        <v>1472</v>
      </c>
      <c r="S211" t="s">
        <v>119</v>
      </c>
      <c r="T211" t="s">
        <v>120</v>
      </c>
      <c r="U211">
        <v>892162</v>
      </c>
      <c r="V211" s="3">
        <v>46044.65</v>
      </c>
      <c r="W211" t="s">
        <v>1486</v>
      </c>
      <c r="X211" t="s">
        <v>1487</v>
      </c>
      <c r="Y211" t="str">
        <f>"0407640486"</f>
        <v>0407640486</v>
      </c>
      <c r="Z211" t="s">
        <v>1324</v>
      </c>
      <c r="AB211" t="s">
        <v>1488</v>
      </c>
      <c r="AD211" t="s">
        <v>41</v>
      </c>
      <c r="AE211" t="s">
        <v>1489</v>
      </c>
      <c r="AF211">
        <v>4059</v>
      </c>
      <c r="AG211" t="s">
        <v>1485</v>
      </c>
      <c r="AI211" t="s">
        <v>59</v>
      </c>
      <c r="AN211" s="3">
        <v>46044.65</v>
      </c>
      <c r="AO211" t="s">
        <v>1472</v>
      </c>
    </row>
    <row r="212" spans="1:41" x14ac:dyDescent="0.3">
      <c r="A212" t="s">
        <v>61</v>
      </c>
      <c r="B212" t="s">
        <v>1271</v>
      </c>
      <c r="C212" t="s">
        <v>1272</v>
      </c>
      <c r="D212" t="s">
        <v>184</v>
      </c>
      <c r="E212" s="1">
        <v>46077</v>
      </c>
      <c r="F212" t="s">
        <v>1376</v>
      </c>
      <c r="G212" t="s">
        <v>128</v>
      </c>
      <c r="H212" s="2">
        <v>0.29166666666666669</v>
      </c>
      <c r="I212" s="2">
        <v>0.8125</v>
      </c>
      <c r="J212" t="s">
        <v>486</v>
      </c>
      <c r="L212" t="s">
        <v>487</v>
      </c>
      <c r="M212" t="s">
        <v>1490</v>
      </c>
      <c r="N212" t="s">
        <v>1491</v>
      </c>
      <c r="O212">
        <v>21218</v>
      </c>
      <c r="Q212" t="s">
        <v>1492</v>
      </c>
      <c r="R212" t="s">
        <v>67</v>
      </c>
      <c r="S212" t="s">
        <v>52</v>
      </c>
      <c r="T212" t="s">
        <v>1437</v>
      </c>
      <c r="U212">
        <v>891668</v>
      </c>
      <c r="V212" s="3">
        <v>46069.498611111114</v>
      </c>
      <c r="W212" t="s">
        <v>1493</v>
      </c>
      <c r="X212" t="s">
        <v>1494</v>
      </c>
      <c r="Y212" t="str">
        <f>"0401746606"</f>
        <v>0401746606</v>
      </c>
      <c r="Z212" t="s">
        <v>157</v>
      </c>
      <c r="AB212" t="s">
        <v>1278</v>
      </c>
      <c r="AD212" t="s">
        <v>61</v>
      </c>
      <c r="AE212" t="s">
        <v>1279</v>
      </c>
      <c r="AF212">
        <v>2145</v>
      </c>
      <c r="AG212" t="s">
        <v>1190</v>
      </c>
      <c r="AI212" t="s">
        <v>59</v>
      </c>
      <c r="AL212" t="s">
        <v>1495</v>
      </c>
      <c r="AN212" s="3">
        <v>46082.48333333333</v>
      </c>
      <c r="AO212" t="s">
        <v>759</v>
      </c>
    </row>
    <row r="213" spans="1:41" x14ac:dyDescent="0.3">
      <c r="A213" t="s">
        <v>168</v>
      </c>
      <c r="B213" t="s">
        <v>689</v>
      </c>
      <c r="C213" t="s">
        <v>1496</v>
      </c>
      <c r="D213" t="s">
        <v>268</v>
      </c>
      <c r="E213" s="1">
        <v>46077</v>
      </c>
      <c r="F213" t="s">
        <v>1376</v>
      </c>
      <c r="G213" t="s">
        <v>45</v>
      </c>
      <c r="H213" s="2">
        <v>0.29166666666666669</v>
      </c>
      <c r="I213" s="2">
        <v>0.64583333333333337</v>
      </c>
      <c r="J213" t="s">
        <v>46</v>
      </c>
      <c r="L213" t="s">
        <v>47</v>
      </c>
      <c r="M213" t="s">
        <v>1497</v>
      </c>
      <c r="N213" t="s">
        <v>465</v>
      </c>
      <c r="O213">
        <v>5950806</v>
      </c>
      <c r="P213" t="s">
        <v>249</v>
      </c>
      <c r="Q213" t="s">
        <v>692</v>
      </c>
      <c r="R213" t="s">
        <v>1498</v>
      </c>
      <c r="S213" t="s">
        <v>52</v>
      </c>
      <c r="T213" t="s">
        <v>252</v>
      </c>
      <c r="U213">
        <v>892227</v>
      </c>
      <c r="V213" s="3">
        <v>46083.493750000001</v>
      </c>
      <c r="W213" t="s">
        <v>1498</v>
      </c>
      <c r="X213" t="s">
        <v>1499</v>
      </c>
      <c r="Y213" t="str">
        <f>"0425332962"</f>
        <v>0425332962</v>
      </c>
      <c r="Z213" t="s">
        <v>254</v>
      </c>
      <c r="AA213" s="1">
        <v>46117</v>
      </c>
      <c r="AB213" t="s">
        <v>695</v>
      </c>
      <c r="AD213" t="s">
        <v>168</v>
      </c>
      <c r="AE213" t="s">
        <v>696</v>
      </c>
      <c r="AF213">
        <v>5606</v>
      </c>
      <c r="AG213" t="s">
        <v>1500</v>
      </c>
      <c r="AI213" t="s">
        <v>59</v>
      </c>
      <c r="AJ213" t="str">
        <f>"0020188039"</f>
        <v>0020188039</v>
      </c>
      <c r="AN213" s="3">
        <v>46083.493750000001</v>
      </c>
      <c r="AO213" t="s">
        <v>1498</v>
      </c>
    </row>
    <row r="214" spans="1:41" x14ac:dyDescent="0.3">
      <c r="A214" t="s">
        <v>168</v>
      </c>
      <c r="B214" t="s">
        <v>441</v>
      </c>
      <c r="C214" t="s">
        <v>202</v>
      </c>
      <c r="E214" s="1">
        <v>46077</v>
      </c>
      <c r="F214" t="s">
        <v>1376</v>
      </c>
      <c r="G214" t="s">
        <v>45</v>
      </c>
      <c r="H214" s="2">
        <v>0.29166666666666669</v>
      </c>
      <c r="I214" s="2">
        <v>0.70833333333333337</v>
      </c>
      <c r="J214" t="s">
        <v>46</v>
      </c>
      <c r="L214" t="s">
        <v>743</v>
      </c>
      <c r="M214" t="s">
        <v>744</v>
      </c>
      <c r="N214" t="s">
        <v>745</v>
      </c>
      <c r="O214">
        <v>5951894</v>
      </c>
      <c r="Q214" t="s">
        <v>944</v>
      </c>
      <c r="R214" t="s">
        <v>556</v>
      </c>
      <c r="S214" t="s">
        <v>52</v>
      </c>
      <c r="U214">
        <v>891627</v>
      </c>
      <c r="V214" s="3">
        <v>46050.95208333333</v>
      </c>
      <c r="W214" t="s">
        <v>746</v>
      </c>
      <c r="X214" t="s">
        <v>747</v>
      </c>
      <c r="Y214" t="str">
        <f>"0420536678"</f>
        <v>0420536678</v>
      </c>
      <c r="Z214" t="s">
        <v>70</v>
      </c>
      <c r="AB214" t="s">
        <v>448</v>
      </c>
      <c r="AD214" t="s">
        <v>168</v>
      </c>
      <c r="AE214" t="s">
        <v>180</v>
      </c>
      <c r="AF214">
        <v>5063</v>
      </c>
      <c r="AG214" t="s">
        <v>944</v>
      </c>
      <c r="AI214" t="s">
        <v>59</v>
      </c>
      <c r="AL214" t="s">
        <v>1501</v>
      </c>
      <c r="AN214" s="3">
        <v>46077.602083333331</v>
      </c>
      <c r="AO214" t="s">
        <v>746</v>
      </c>
    </row>
    <row r="215" spans="1:41" x14ac:dyDescent="0.3">
      <c r="A215" t="s">
        <v>61</v>
      </c>
      <c r="B215" t="s">
        <v>158</v>
      </c>
      <c r="C215" t="s">
        <v>43</v>
      </c>
      <c r="D215" t="s">
        <v>127</v>
      </c>
      <c r="E215" s="1">
        <v>46077</v>
      </c>
      <c r="F215" t="s">
        <v>1376</v>
      </c>
      <c r="G215" t="s">
        <v>45</v>
      </c>
      <c r="H215" s="2">
        <v>0.29166666666666669</v>
      </c>
      <c r="I215" s="2">
        <v>0.99861111111111112</v>
      </c>
      <c r="J215" t="s">
        <v>101</v>
      </c>
      <c r="L215" t="s">
        <v>159</v>
      </c>
      <c r="M215" t="s">
        <v>1502</v>
      </c>
      <c r="N215" t="s">
        <v>1503</v>
      </c>
      <c r="O215">
        <v>21662</v>
      </c>
      <c r="Q215" t="s">
        <v>162</v>
      </c>
      <c r="R215" t="s">
        <v>67</v>
      </c>
      <c r="S215" t="s">
        <v>52</v>
      </c>
      <c r="U215">
        <v>891601</v>
      </c>
      <c r="V215" s="3">
        <v>46076.381249999999</v>
      </c>
      <c r="W215" t="s">
        <v>1504</v>
      </c>
      <c r="X215" t="s">
        <v>1505</v>
      </c>
      <c r="Y215" t="str">
        <f>"0424896869"</f>
        <v>0424896869</v>
      </c>
      <c r="Z215" t="s">
        <v>70</v>
      </c>
      <c r="AA215" s="1">
        <v>46077</v>
      </c>
      <c r="AB215" t="s">
        <v>166</v>
      </c>
      <c r="AD215" t="s">
        <v>61</v>
      </c>
      <c r="AE215" t="s">
        <v>167</v>
      </c>
      <c r="AF215">
        <v>2011</v>
      </c>
      <c r="AG215" t="s">
        <v>738</v>
      </c>
      <c r="AI215" t="s">
        <v>59</v>
      </c>
      <c r="AL215" t="s">
        <v>1506</v>
      </c>
      <c r="AN215" s="3">
        <v>46077.51458333333</v>
      </c>
      <c r="AO215" t="s">
        <v>1504</v>
      </c>
    </row>
    <row r="216" spans="1:41" x14ac:dyDescent="0.3">
      <c r="A216" t="s">
        <v>75</v>
      </c>
      <c r="B216" t="s">
        <v>804</v>
      </c>
      <c r="C216" t="s">
        <v>43</v>
      </c>
      <c r="D216" t="s">
        <v>700</v>
      </c>
      <c r="E216" s="1">
        <v>46077</v>
      </c>
      <c r="F216" t="s">
        <v>1376</v>
      </c>
      <c r="G216" t="s">
        <v>45</v>
      </c>
      <c r="H216" s="2">
        <v>0.3125</v>
      </c>
      <c r="I216" s="2">
        <v>0.5625</v>
      </c>
      <c r="J216" t="s">
        <v>185</v>
      </c>
      <c r="K216" t="s">
        <v>1507</v>
      </c>
      <c r="L216" t="s">
        <v>186</v>
      </c>
      <c r="M216" t="s">
        <v>1508</v>
      </c>
      <c r="N216" t="s">
        <v>1509</v>
      </c>
      <c r="O216">
        <v>5952290</v>
      </c>
      <c r="Q216" t="s">
        <v>808</v>
      </c>
      <c r="R216" t="s">
        <v>926</v>
      </c>
      <c r="S216" t="s">
        <v>52</v>
      </c>
      <c r="U216">
        <v>891653</v>
      </c>
      <c r="V216" s="3">
        <v>46070.527777777781</v>
      </c>
      <c r="W216" t="s">
        <v>1510</v>
      </c>
      <c r="X216" t="s">
        <v>1511</v>
      </c>
      <c r="Y216" t="str">
        <f>"0423085417"</f>
        <v>0423085417</v>
      </c>
      <c r="Z216" t="s">
        <v>70</v>
      </c>
      <c r="AA216" s="1">
        <v>46077</v>
      </c>
      <c r="AB216" t="s">
        <v>811</v>
      </c>
      <c r="AC216" t="s">
        <v>812</v>
      </c>
      <c r="AD216" t="s">
        <v>75</v>
      </c>
      <c r="AE216" t="s">
        <v>813</v>
      </c>
      <c r="AF216">
        <v>6050</v>
      </c>
      <c r="AG216" t="s">
        <v>808</v>
      </c>
      <c r="AI216" t="s">
        <v>59</v>
      </c>
      <c r="AL216" t="s">
        <v>87</v>
      </c>
      <c r="AN216" s="3">
        <v>46077.70416666667</v>
      </c>
      <c r="AO216" t="s">
        <v>1510</v>
      </c>
    </row>
    <row r="217" spans="1:41" x14ac:dyDescent="0.3">
      <c r="A217" t="s">
        <v>306</v>
      </c>
      <c r="B217" t="s">
        <v>820</v>
      </c>
      <c r="C217" t="s">
        <v>100</v>
      </c>
      <c r="D217" t="s">
        <v>127</v>
      </c>
      <c r="E217" s="1">
        <v>46077</v>
      </c>
      <c r="F217" t="s">
        <v>1376</v>
      </c>
      <c r="G217" t="s">
        <v>45</v>
      </c>
      <c r="H217" s="2">
        <v>0.3125</v>
      </c>
      <c r="I217" s="2">
        <v>0.66666666666666663</v>
      </c>
      <c r="J217" t="s">
        <v>451</v>
      </c>
      <c r="L217" t="s">
        <v>452</v>
      </c>
      <c r="M217" t="s">
        <v>821</v>
      </c>
      <c r="N217" t="s">
        <v>822</v>
      </c>
      <c r="O217">
        <v>20712</v>
      </c>
      <c r="Q217" t="s">
        <v>823</v>
      </c>
      <c r="R217" t="s">
        <v>476</v>
      </c>
      <c r="S217" t="s">
        <v>52</v>
      </c>
      <c r="U217">
        <v>891649</v>
      </c>
      <c r="V217" s="3">
        <v>46070.484027777777</v>
      </c>
      <c r="W217" t="s">
        <v>824</v>
      </c>
      <c r="X217" t="s">
        <v>825</v>
      </c>
      <c r="Y217" t="str">
        <f>"0439419256"</f>
        <v>0439419256</v>
      </c>
      <c r="Z217" t="s">
        <v>70</v>
      </c>
      <c r="AA217" s="1">
        <v>46077</v>
      </c>
      <c r="AB217" t="s">
        <v>826</v>
      </c>
      <c r="AD217" t="s">
        <v>306</v>
      </c>
      <c r="AE217" t="s">
        <v>827</v>
      </c>
      <c r="AF217">
        <v>3181</v>
      </c>
      <c r="AG217" t="s">
        <v>823</v>
      </c>
      <c r="AI217" t="s">
        <v>59</v>
      </c>
      <c r="AL217" t="s">
        <v>87</v>
      </c>
      <c r="AN217" s="3">
        <v>46077.684027777781</v>
      </c>
      <c r="AO217" t="s">
        <v>824</v>
      </c>
    </row>
    <row r="218" spans="1:41" x14ac:dyDescent="0.3">
      <c r="A218" t="s">
        <v>306</v>
      </c>
      <c r="B218" t="s">
        <v>1512</v>
      </c>
      <c r="C218" t="s">
        <v>43</v>
      </c>
      <c r="D218" t="s">
        <v>1513</v>
      </c>
      <c r="E218" s="1">
        <v>46077</v>
      </c>
      <c r="F218" t="s">
        <v>1376</v>
      </c>
      <c r="G218" t="s">
        <v>128</v>
      </c>
      <c r="H218" s="2">
        <v>0.3125</v>
      </c>
      <c r="I218" s="2">
        <v>0.75</v>
      </c>
      <c r="J218" t="s">
        <v>185</v>
      </c>
      <c r="L218" t="s">
        <v>186</v>
      </c>
      <c r="M218" t="s">
        <v>1514</v>
      </c>
      <c r="N218" t="s">
        <v>1515</v>
      </c>
      <c r="O218">
        <v>5950709</v>
      </c>
      <c r="Q218" t="s">
        <v>1516</v>
      </c>
      <c r="R218" t="s">
        <v>500</v>
      </c>
      <c r="S218" t="s">
        <v>52</v>
      </c>
      <c r="T218" t="s">
        <v>1437</v>
      </c>
      <c r="U218">
        <v>891647</v>
      </c>
      <c r="V218" s="3">
        <v>46076.918749999997</v>
      </c>
      <c r="W218" t="s">
        <v>1517</v>
      </c>
      <c r="X218" t="s">
        <v>1518</v>
      </c>
      <c r="Y218" t="str">
        <f>"0413600083"</f>
        <v>0413600083</v>
      </c>
      <c r="Z218" t="s">
        <v>70</v>
      </c>
      <c r="AA218" s="1">
        <v>46077</v>
      </c>
      <c r="AB218" t="s">
        <v>1519</v>
      </c>
      <c r="AD218" t="s">
        <v>306</v>
      </c>
      <c r="AE218" t="s">
        <v>1520</v>
      </c>
      <c r="AF218">
        <v>3002</v>
      </c>
      <c r="AG218" t="s">
        <v>1521</v>
      </c>
      <c r="AI218" t="s">
        <v>59</v>
      </c>
      <c r="AL218" t="s">
        <v>1522</v>
      </c>
      <c r="AN218" s="3">
        <v>46082.477777777778</v>
      </c>
      <c r="AO218" t="s">
        <v>759</v>
      </c>
    </row>
    <row r="219" spans="1:41" x14ac:dyDescent="0.3">
      <c r="A219" t="s">
        <v>75</v>
      </c>
      <c r="B219" t="s">
        <v>1104</v>
      </c>
      <c r="C219" t="s">
        <v>43</v>
      </c>
      <c r="D219" t="s">
        <v>700</v>
      </c>
      <c r="E219" s="1">
        <v>46077</v>
      </c>
      <c r="F219" t="s">
        <v>1376</v>
      </c>
      <c r="G219" t="s">
        <v>45</v>
      </c>
      <c r="H219" s="2">
        <v>0.3125</v>
      </c>
      <c r="I219" s="2">
        <v>0.5625</v>
      </c>
      <c r="J219" t="s">
        <v>101</v>
      </c>
      <c r="L219" t="s">
        <v>159</v>
      </c>
      <c r="M219" t="s">
        <v>187</v>
      </c>
      <c r="N219" t="s">
        <v>1105</v>
      </c>
      <c r="O219">
        <v>21727</v>
      </c>
      <c r="Q219" t="s">
        <v>1106</v>
      </c>
      <c r="R219" t="s">
        <v>926</v>
      </c>
      <c r="S219" t="s">
        <v>52</v>
      </c>
      <c r="U219">
        <v>891660</v>
      </c>
      <c r="V219" s="3">
        <v>46070.500694444447</v>
      </c>
      <c r="W219" t="s">
        <v>1107</v>
      </c>
      <c r="X219" t="s">
        <v>1108</v>
      </c>
      <c r="Y219" t="str">
        <f>"0407897784"</f>
        <v>0407897784</v>
      </c>
      <c r="Z219" t="s">
        <v>70</v>
      </c>
      <c r="AA219" s="1">
        <v>46077</v>
      </c>
      <c r="AB219" t="s">
        <v>920</v>
      </c>
      <c r="AC219" t="s">
        <v>1109</v>
      </c>
      <c r="AD219" t="s">
        <v>75</v>
      </c>
      <c r="AE219" t="s">
        <v>1110</v>
      </c>
      <c r="AF219">
        <v>6014</v>
      </c>
      <c r="AG219" t="s">
        <v>1106</v>
      </c>
      <c r="AI219" t="s">
        <v>59</v>
      </c>
      <c r="AL219" t="s">
        <v>87</v>
      </c>
      <c r="AN219" s="3">
        <v>46077.742361111108</v>
      </c>
      <c r="AO219" t="s">
        <v>1107</v>
      </c>
    </row>
    <row r="220" spans="1:41" x14ac:dyDescent="0.3">
      <c r="A220" t="s">
        <v>306</v>
      </c>
      <c r="B220" t="s">
        <v>528</v>
      </c>
      <c r="C220" t="s">
        <v>1523</v>
      </c>
      <c r="D220" t="s">
        <v>63</v>
      </c>
      <c r="E220" s="1">
        <v>46077</v>
      </c>
      <c r="F220" t="s">
        <v>1376</v>
      </c>
      <c r="G220" t="s">
        <v>45</v>
      </c>
      <c r="H220" s="2">
        <v>0.3125</v>
      </c>
      <c r="I220" s="2">
        <v>0.58333333333333337</v>
      </c>
      <c r="J220" t="s">
        <v>1524</v>
      </c>
      <c r="L220" t="s">
        <v>1524</v>
      </c>
      <c r="M220" t="s">
        <v>1525</v>
      </c>
      <c r="N220" t="s">
        <v>1526</v>
      </c>
      <c r="O220">
        <v>5951852</v>
      </c>
      <c r="Q220" t="s">
        <v>499</v>
      </c>
      <c r="R220" t="s">
        <v>500</v>
      </c>
      <c r="S220" t="s">
        <v>52</v>
      </c>
      <c r="U220">
        <v>891621</v>
      </c>
      <c r="V220" s="3">
        <v>46076.820138888892</v>
      </c>
      <c r="W220" t="s">
        <v>1527</v>
      </c>
      <c r="X220" t="s">
        <v>1528</v>
      </c>
      <c r="Y220" t="str">
        <f>"0413379513"</f>
        <v>0413379513</v>
      </c>
      <c r="Z220" t="s">
        <v>70</v>
      </c>
      <c r="AA220" s="1">
        <v>46077</v>
      </c>
      <c r="AB220" t="s">
        <v>537</v>
      </c>
      <c r="AD220" t="s">
        <v>306</v>
      </c>
      <c r="AE220" t="s">
        <v>538</v>
      </c>
      <c r="AF220">
        <v>3152</v>
      </c>
      <c r="AG220" t="s">
        <v>499</v>
      </c>
      <c r="AI220" t="s">
        <v>59</v>
      </c>
      <c r="AL220" t="s">
        <v>87</v>
      </c>
      <c r="AN220" s="3">
        <v>46077.584722222222</v>
      </c>
      <c r="AO220" t="s">
        <v>1527</v>
      </c>
    </row>
    <row r="221" spans="1:41" x14ac:dyDescent="0.3">
      <c r="A221" t="s">
        <v>75</v>
      </c>
      <c r="B221" t="s">
        <v>804</v>
      </c>
      <c r="C221" t="s">
        <v>43</v>
      </c>
      <c r="D221" t="s">
        <v>700</v>
      </c>
      <c r="E221" s="1">
        <v>46077</v>
      </c>
      <c r="F221" t="s">
        <v>1376</v>
      </c>
      <c r="G221" t="s">
        <v>45</v>
      </c>
      <c r="H221" s="2">
        <v>0.3125</v>
      </c>
      <c r="I221" s="2">
        <v>0.5625</v>
      </c>
      <c r="J221" t="s">
        <v>185</v>
      </c>
      <c r="L221" t="s">
        <v>186</v>
      </c>
      <c r="M221" t="s">
        <v>1070</v>
      </c>
      <c r="N221" t="s">
        <v>1071</v>
      </c>
      <c r="O221">
        <v>5951604</v>
      </c>
      <c r="Q221" t="s">
        <v>808</v>
      </c>
      <c r="R221" t="s">
        <v>926</v>
      </c>
      <c r="S221" t="s">
        <v>52</v>
      </c>
      <c r="U221">
        <v>891686</v>
      </c>
      <c r="V221" s="3">
        <v>46070.527083333334</v>
      </c>
      <c r="W221" t="s">
        <v>1072</v>
      </c>
      <c r="X221" t="s">
        <v>1073</v>
      </c>
      <c r="Y221" t="str">
        <f>"0410139992"</f>
        <v>0410139992</v>
      </c>
      <c r="Z221" t="s">
        <v>70</v>
      </c>
      <c r="AA221" s="1">
        <v>46077</v>
      </c>
      <c r="AB221" t="s">
        <v>811</v>
      </c>
      <c r="AC221" t="s">
        <v>812</v>
      </c>
      <c r="AD221" t="s">
        <v>75</v>
      </c>
      <c r="AE221" t="s">
        <v>813</v>
      </c>
      <c r="AF221">
        <v>6050</v>
      </c>
      <c r="AG221" t="s">
        <v>808</v>
      </c>
      <c r="AI221" t="s">
        <v>59</v>
      </c>
      <c r="AL221" t="s">
        <v>1529</v>
      </c>
      <c r="AN221" s="3">
        <v>46077.869444444441</v>
      </c>
      <c r="AO221" t="s">
        <v>1072</v>
      </c>
    </row>
    <row r="222" spans="1:41" x14ac:dyDescent="0.3">
      <c r="A222" t="s">
        <v>168</v>
      </c>
      <c r="B222" t="s">
        <v>376</v>
      </c>
      <c r="C222" t="s">
        <v>43</v>
      </c>
      <c r="D222" t="s">
        <v>127</v>
      </c>
      <c r="E222" s="1">
        <v>46077</v>
      </c>
      <c r="F222" t="s">
        <v>1376</v>
      </c>
      <c r="G222" t="s">
        <v>45</v>
      </c>
      <c r="H222" s="2">
        <v>0.3125</v>
      </c>
      <c r="I222" s="2">
        <v>0.52083333333333337</v>
      </c>
      <c r="J222" t="s">
        <v>185</v>
      </c>
      <c r="L222" t="s">
        <v>186</v>
      </c>
      <c r="M222" t="s">
        <v>1530</v>
      </c>
      <c r="N222" t="s">
        <v>1531</v>
      </c>
      <c r="O222">
        <v>5952013</v>
      </c>
      <c r="Q222" t="s">
        <v>670</v>
      </c>
      <c r="R222" t="s">
        <v>231</v>
      </c>
      <c r="S222" t="s">
        <v>52</v>
      </c>
      <c r="U222">
        <v>891602</v>
      </c>
      <c r="V222" s="3">
        <v>46055.395833333336</v>
      </c>
      <c r="W222" t="s">
        <v>1532</v>
      </c>
      <c r="X222" t="s">
        <v>1533</v>
      </c>
      <c r="Y222" t="str">
        <f>"0412621412"</f>
        <v>0412621412</v>
      </c>
      <c r="Z222" t="s">
        <v>395</v>
      </c>
      <c r="AB222" t="s">
        <v>383</v>
      </c>
      <c r="AD222" t="s">
        <v>168</v>
      </c>
      <c r="AE222" t="s">
        <v>384</v>
      </c>
      <c r="AF222">
        <v>5000</v>
      </c>
      <c r="AG222" t="s">
        <v>674</v>
      </c>
      <c r="AI222" t="s">
        <v>59</v>
      </c>
      <c r="AL222" t="s">
        <v>1534</v>
      </c>
      <c r="AN222" s="3">
        <v>46077.540277777778</v>
      </c>
      <c r="AO222" t="s">
        <v>1532</v>
      </c>
    </row>
    <row r="223" spans="1:41" x14ac:dyDescent="0.3">
      <c r="A223" t="s">
        <v>41</v>
      </c>
      <c r="B223" t="s">
        <v>426</v>
      </c>
      <c r="C223" t="s">
        <v>43</v>
      </c>
      <c r="D223" t="s">
        <v>246</v>
      </c>
      <c r="E223" s="1">
        <v>46077</v>
      </c>
      <c r="F223" t="s">
        <v>1376</v>
      </c>
      <c r="G223" t="s">
        <v>45</v>
      </c>
      <c r="H223" s="2">
        <v>0.32291666666666669</v>
      </c>
      <c r="I223" s="2">
        <v>0.71875</v>
      </c>
      <c r="J223" t="s">
        <v>185</v>
      </c>
      <c r="K223" t="s">
        <v>427</v>
      </c>
      <c r="L223" t="s">
        <v>815</v>
      </c>
      <c r="M223" t="s">
        <v>816</v>
      </c>
      <c r="N223" t="s">
        <v>817</v>
      </c>
      <c r="O223">
        <v>22501</v>
      </c>
      <c r="Q223" t="s">
        <v>249</v>
      </c>
      <c r="R223" t="s">
        <v>51</v>
      </c>
      <c r="S223" t="s">
        <v>52</v>
      </c>
      <c r="U223">
        <v>891666</v>
      </c>
      <c r="V223" s="3">
        <v>46076.363194444442</v>
      </c>
      <c r="W223" t="s">
        <v>818</v>
      </c>
      <c r="X223" t="s">
        <v>819</v>
      </c>
      <c r="Y223" t="str">
        <f>"0432588228"</f>
        <v>0432588228</v>
      </c>
      <c r="Z223" t="s">
        <v>748</v>
      </c>
      <c r="AB223" t="s">
        <v>434</v>
      </c>
      <c r="AD223" t="s">
        <v>41</v>
      </c>
      <c r="AE223" t="s">
        <v>435</v>
      </c>
      <c r="AF223">
        <v>4163</v>
      </c>
      <c r="AG223" t="s">
        <v>249</v>
      </c>
      <c r="AI223" t="s">
        <v>59</v>
      </c>
      <c r="AL223" t="s">
        <v>1535</v>
      </c>
      <c r="AN223" s="3">
        <v>46077.763194444444</v>
      </c>
      <c r="AO223" t="s">
        <v>818</v>
      </c>
    </row>
    <row r="224" spans="1:41" x14ac:dyDescent="0.3">
      <c r="A224" t="s">
        <v>41</v>
      </c>
      <c r="B224" t="s">
        <v>138</v>
      </c>
      <c r="C224" t="s">
        <v>139</v>
      </c>
      <c r="D224" t="s">
        <v>127</v>
      </c>
      <c r="E224" s="1">
        <v>46077</v>
      </c>
      <c r="F224" t="s">
        <v>1376</v>
      </c>
      <c r="G224" t="s">
        <v>45</v>
      </c>
      <c r="H224" s="2">
        <v>0.33333333333333331</v>
      </c>
      <c r="I224" s="2">
        <v>0.58333333333333337</v>
      </c>
      <c r="J224" t="s">
        <v>140</v>
      </c>
      <c r="L224" t="s">
        <v>141</v>
      </c>
      <c r="M224" t="s">
        <v>142</v>
      </c>
      <c r="N224" t="s">
        <v>143</v>
      </c>
      <c r="O224">
        <v>22649</v>
      </c>
      <c r="Q224" t="s">
        <v>1536</v>
      </c>
      <c r="R224" t="s">
        <v>51</v>
      </c>
      <c r="S224" t="s">
        <v>52</v>
      </c>
      <c r="U224">
        <v>891631</v>
      </c>
      <c r="V224" s="3">
        <v>46071.465277777781</v>
      </c>
      <c r="W224" t="s">
        <v>146</v>
      </c>
      <c r="X224" t="s">
        <v>147</v>
      </c>
      <c r="Y224" t="str">
        <f>"0407039143"</f>
        <v>0407039143</v>
      </c>
      <c r="Z224" t="s">
        <v>70</v>
      </c>
      <c r="AA224" s="1">
        <v>46077</v>
      </c>
      <c r="AB224" t="s">
        <v>148</v>
      </c>
      <c r="AC224" t="s">
        <v>149</v>
      </c>
      <c r="AD224" t="s">
        <v>41</v>
      </c>
      <c r="AE224" t="s">
        <v>150</v>
      </c>
      <c r="AF224">
        <v>4000</v>
      </c>
      <c r="AG224" t="s">
        <v>1537</v>
      </c>
      <c r="AI224" t="s">
        <v>59</v>
      </c>
      <c r="AL224" t="s">
        <v>1538</v>
      </c>
      <c r="AN224" s="3">
        <v>46077.617361111108</v>
      </c>
      <c r="AO224" t="s">
        <v>146</v>
      </c>
    </row>
    <row r="225" spans="1:41" x14ac:dyDescent="0.3">
      <c r="A225" t="s">
        <v>168</v>
      </c>
      <c r="B225" t="s">
        <v>607</v>
      </c>
      <c r="C225" t="s">
        <v>267</v>
      </c>
      <c r="D225" t="s">
        <v>268</v>
      </c>
      <c r="E225" s="1">
        <v>46077</v>
      </c>
      <c r="F225" t="s">
        <v>1376</v>
      </c>
      <c r="G225" t="s">
        <v>45</v>
      </c>
      <c r="H225" s="2">
        <v>0.33333333333333331</v>
      </c>
      <c r="I225" s="2">
        <v>0.6875</v>
      </c>
      <c r="J225" t="s">
        <v>269</v>
      </c>
      <c r="K225" t="s">
        <v>608</v>
      </c>
      <c r="L225" t="s">
        <v>609</v>
      </c>
      <c r="M225" t="s">
        <v>610</v>
      </c>
      <c r="N225" t="s">
        <v>611</v>
      </c>
      <c r="O225">
        <v>5952121</v>
      </c>
      <c r="P225" t="s">
        <v>249</v>
      </c>
      <c r="Q225" t="s">
        <v>612</v>
      </c>
      <c r="R225" t="s">
        <v>613</v>
      </c>
      <c r="S225" t="s">
        <v>52</v>
      </c>
      <c r="T225" t="s">
        <v>252</v>
      </c>
      <c r="U225">
        <v>892250</v>
      </c>
      <c r="V225" s="3">
        <v>46083.564583333333</v>
      </c>
      <c r="W225" t="s">
        <v>613</v>
      </c>
      <c r="X225" t="s">
        <v>614</v>
      </c>
      <c r="Y225" t="str">
        <f>"0412297150"</f>
        <v>0412297150</v>
      </c>
      <c r="Z225" t="s">
        <v>55</v>
      </c>
      <c r="AA225" s="1">
        <v>46097</v>
      </c>
      <c r="AB225" t="s">
        <v>615</v>
      </c>
      <c r="AC225" t="s">
        <v>616</v>
      </c>
      <c r="AD225" t="s">
        <v>168</v>
      </c>
      <c r="AE225" t="s">
        <v>617</v>
      </c>
      <c r="AF225">
        <v>5290</v>
      </c>
      <c r="AG225" t="s">
        <v>1539</v>
      </c>
      <c r="AI225" t="s">
        <v>59</v>
      </c>
      <c r="AJ225" t="str">
        <f>"0020171780"</f>
        <v>0020171780</v>
      </c>
      <c r="AN225" s="3">
        <v>46083.564583333333</v>
      </c>
      <c r="AO225" t="s">
        <v>613</v>
      </c>
    </row>
    <row r="226" spans="1:41" x14ac:dyDescent="0.3">
      <c r="A226" t="s">
        <v>61</v>
      </c>
      <c r="B226" t="s">
        <v>126</v>
      </c>
      <c r="C226" t="s">
        <v>43</v>
      </c>
      <c r="D226" t="s">
        <v>127</v>
      </c>
      <c r="E226" s="1">
        <v>46077</v>
      </c>
      <c r="F226" t="s">
        <v>1376</v>
      </c>
      <c r="G226" t="s">
        <v>45</v>
      </c>
      <c r="H226" s="2">
        <v>0.33333333333333331</v>
      </c>
      <c r="I226" s="2">
        <v>0.99861111111111112</v>
      </c>
      <c r="J226" t="s">
        <v>100</v>
      </c>
      <c r="L226" t="s">
        <v>100</v>
      </c>
      <c r="M226" t="s">
        <v>153</v>
      </c>
      <c r="N226" t="s">
        <v>154</v>
      </c>
      <c r="O226">
        <v>21936</v>
      </c>
      <c r="Q226" t="s">
        <v>131</v>
      </c>
      <c r="R226" t="s">
        <v>132</v>
      </c>
      <c r="S226" t="s">
        <v>52</v>
      </c>
      <c r="U226">
        <v>891603</v>
      </c>
      <c r="V226" s="3">
        <v>46042.632638888892</v>
      </c>
      <c r="W226" t="s">
        <v>155</v>
      </c>
      <c r="X226" t="s">
        <v>156</v>
      </c>
      <c r="Y226" t="str">
        <f>"0425175454"</f>
        <v>0425175454</v>
      </c>
      <c r="Z226" t="s">
        <v>1540</v>
      </c>
      <c r="AB226" t="s">
        <v>136</v>
      </c>
      <c r="AD226" t="s">
        <v>61</v>
      </c>
      <c r="AE226" t="s">
        <v>137</v>
      </c>
      <c r="AF226">
        <v>2032</v>
      </c>
      <c r="AG226" t="s">
        <v>131</v>
      </c>
      <c r="AI226" t="s">
        <v>59</v>
      </c>
      <c r="AL226" t="s">
        <v>1423</v>
      </c>
      <c r="AN226" s="3">
        <v>46077.542361111111</v>
      </c>
      <c r="AO226" t="s">
        <v>155</v>
      </c>
    </row>
    <row r="227" spans="1:41" x14ac:dyDescent="0.3">
      <c r="A227" t="s">
        <v>168</v>
      </c>
      <c r="B227" t="s">
        <v>201</v>
      </c>
      <c r="C227" t="s">
        <v>170</v>
      </c>
      <c r="D227" t="s">
        <v>127</v>
      </c>
      <c r="E227" s="1">
        <v>46077</v>
      </c>
      <c r="F227" t="s">
        <v>1376</v>
      </c>
      <c r="G227" t="s">
        <v>45</v>
      </c>
      <c r="H227" s="2">
        <v>0.33333333333333331</v>
      </c>
      <c r="I227" s="2">
        <v>0.6875</v>
      </c>
      <c r="J227" t="s">
        <v>170</v>
      </c>
      <c r="K227" t="s">
        <v>203</v>
      </c>
      <c r="M227" t="s">
        <v>1541</v>
      </c>
      <c r="N227" t="s">
        <v>1542</v>
      </c>
      <c r="O227">
        <v>5952200</v>
      </c>
      <c r="Q227" t="s">
        <v>213</v>
      </c>
      <c r="R227" t="s">
        <v>176</v>
      </c>
      <c r="S227" t="s">
        <v>52</v>
      </c>
      <c r="U227">
        <v>891645</v>
      </c>
      <c r="V227" s="3">
        <v>46072.600694444445</v>
      </c>
      <c r="W227" t="s">
        <v>1543</v>
      </c>
      <c r="X227" t="s">
        <v>1544</v>
      </c>
      <c r="Y227" t="str">
        <f>"0450971472"</f>
        <v>0450971472</v>
      </c>
      <c r="Z227" t="s">
        <v>70</v>
      </c>
      <c r="AA227" s="1">
        <v>46077</v>
      </c>
      <c r="AB227" t="s">
        <v>211</v>
      </c>
      <c r="AD227" t="s">
        <v>168</v>
      </c>
      <c r="AE227" t="s">
        <v>212</v>
      </c>
      <c r="AF227">
        <v>5067</v>
      </c>
      <c r="AG227" t="s">
        <v>213</v>
      </c>
      <c r="AI227" t="s">
        <v>59</v>
      </c>
      <c r="AL227" t="s">
        <v>1545</v>
      </c>
      <c r="AN227" s="3">
        <v>46077.668749999997</v>
      </c>
      <c r="AO227" t="s">
        <v>1543</v>
      </c>
    </row>
    <row r="228" spans="1:41" x14ac:dyDescent="0.3">
      <c r="A228" t="s">
        <v>41</v>
      </c>
      <c r="B228" t="s">
        <v>1546</v>
      </c>
      <c r="C228" t="s">
        <v>1547</v>
      </c>
      <c r="D228" t="s">
        <v>127</v>
      </c>
      <c r="E228" s="1">
        <v>46077</v>
      </c>
      <c r="F228" t="s">
        <v>1376</v>
      </c>
      <c r="G228" t="s">
        <v>45</v>
      </c>
      <c r="H228" s="2">
        <v>0.34375</v>
      </c>
      <c r="I228" s="2">
        <v>0.70833333333333337</v>
      </c>
      <c r="J228" t="s">
        <v>464</v>
      </c>
      <c r="L228" t="s">
        <v>464</v>
      </c>
      <c r="M228" t="s">
        <v>465</v>
      </c>
      <c r="N228" t="s">
        <v>466</v>
      </c>
      <c r="O228">
        <v>401722</v>
      </c>
      <c r="Q228" t="s">
        <v>1548</v>
      </c>
      <c r="R228" t="s">
        <v>51</v>
      </c>
      <c r="S228" t="s">
        <v>52</v>
      </c>
      <c r="U228">
        <v>891656</v>
      </c>
      <c r="V228" s="3">
        <v>46069.481944444444</v>
      </c>
      <c r="W228" t="s">
        <v>468</v>
      </c>
      <c r="X228" t="s">
        <v>469</v>
      </c>
      <c r="Y228" t="str">
        <f>"0423030872"</f>
        <v>0423030872</v>
      </c>
      <c r="Z228" t="s">
        <v>395</v>
      </c>
      <c r="AB228" t="s">
        <v>1549</v>
      </c>
      <c r="AC228" t="s">
        <v>1550</v>
      </c>
      <c r="AD228" t="s">
        <v>41</v>
      </c>
      <c r="AE228" t="s">
        <v>150</v>
      </c>
      <c r="AF228">
        <v>4000</v>
      </c>
      <c r="AG228" t="s">
        <v>1548</v>
      </c>
      <c r="AI228" t="s">
        <v>59</v>
      </c>
      <c r="AL228" t="s">
        <v>1551</v>
      </c>
      <c r="AN228" s="3">
        <v>46077.72152777778</v>
      </c>
      <c r="AO228" t="s">
        <v>468</v>
      </c>
    </row>
    <row r="229" spans="1:41" x14ac:dyDescent="0.3">
      <c r="A229" t="s">
        <v>168</v>
      </c>
      <c r="B229" t="s">
        <v>847</v>
      </c>
      <c r="C229" t="s">
        <v>848</v>
      </c>
      <c r="D229" t="s">
        <v>268</v>
      </c>
      <c r="E229" s="1">
        <v>46077</v>
      </c>
      <c r="F229" t="s">
        <v>1376</v>
      </c>
      <c r="G229" t="s">
        <v>45</v>
      </c>
      <c r="H229" s="2">
        <v>0.35416666666666669</v>
      </c>
      <c r="I229" s="2">
        <v>0.70833333333333337</v>
      </c>
      <c r="J229" t="s">
        <v>101</v>
      </c>
      <c r="K229" t="s">
        <v>849</v>
      </c>
      <c r="L229" t="s">
        <v>159</v>
      </c>
      <c r="M229" t="s">
        <v>1552</v>
      </c>
      <c r="N229" t="s">
        <v>1553</v>
      </c>
      <c r="O229">
        <v>5951790</v>
      </c>
      <c r="Q229" t="s">
        <v>857</v>
      </c>
      <c r="R229" t="s">
        <v>231</v>
      </c>
      <c r="S229" t="s">
        <v>52</v>
      </c>
      <c r="U229">
        <v>891655</v>
      </c>
      <c r="V229" s="3">
        <v>46035.581250000003</v>
      </c>
      <c r="W229" t="s">
        <v>1554</v>
      </c>
      <c r="X229" t="s">
        <v>1555</v>
      </c>
      <c r="Y229" t="str">
        <f>"0402115073"</f>
        <v>0402115073</v>
      </c>
      <c r="Z229" t="s">
        <v>1399</v>
      </c>
      <c r="AB229" t="s">
        <v>847</v>
      </c>
      <c r="AC229" t="s">
        <v>855</v>
      </c>
      <c r="AD229" t="s">
        <v>168</v>
      </c>
      <c r="AE229" t="s">
        <v>856</v>
      </c>
      <c r="AF229">
        <v>5112</v>
      </c>
      <c r="AG229" t="s">
        <v>857</v>
      </c>
      <c r="AI229" t="s">
        <v>59</v>
      </c>
      <c r="AL229" t="s">
        <v>1556</v>
      </c>
      <c r="AN229" s="3">
        <v>46077.711805555555</v>
      </c>
      <c r="AO229" t="s">
        <v>1554</v>
      </c>
    </row>
    <row r="230" spans="1:41" x14ac:dyDescent="0.3">
      <c r="A230" t="s">
        <v>41</v>
      </c>
      <c r="B230" t="s">
        <v>1557</v>
      </c>
      <c r="C230" t="s">
        <v>183</v>
      </c>
      <c r="D230" t="s">
        <v>63</v>
      </c>
      <c r="E230" s="1">
        <v>46077</v>
      </c>
      <c r="F230" t="s">
        <v>1376</v>
      </c>
      <c r="G230" t="s">
        <v>45</v>
      </c>
      <c r="H230" s="2">
        <v>0.35416666666666669</v>
      </c>
      <c r="I230" s="2">
        <v>0.60416666666666663</v>
      </c>
      <c r="J230" t="s">
        <v>185</v>
      </c>
      <c r="L230" t="s">
        <v>186</v>
      </c>
      <c r="M230" t="s">
        <v>1558</v>
      </c>
      <c r="N230" t="s">
        <v>1055</v>
      </c>
      <c r="O230">
        <v>5952442</v>
      </c>
      <c r="Q230" t="s">
        <v>1559</v>
      </c>
      <c r="R230" t="s">
        <v>1248</v>
      </c>
      <c r="S230" t="s">
        <v>52</v>
      </c>
      <c r="U230">
        <v>891635</v>
      </c>
      <c r="V230" s="3">
        <v>46072.90347222222</v>
      </c>
      <c r="W230" t="s">
        <v>1560</v>
      </c>
      <c r="X230" t="s">
        <v>1561</v>
      </c>
      <c r="Y230" t="str">
        <f>"0459639482"</f>
        <v>0459639482</v>
      </c>
      <c r="Z230" t="s">
        <v>70</v>
      </c>
      <c r="AB230" t="s">
        <v>1562</v>
      </c>
      <c r="AD230" t="s">
        <v>41</v>
      </c>
      <c r="AE230" t="s">
        <v>1563</v>
      </c>
      <c r="AF230">
        <v>4109</v>
      </c>
      <c r="AG230" t="s">
        <v>1564</v>
      </c>
      <c r="AI230" t="s">
        <v>59</v>
      </c>
      <c r="AL230" t="s">
        <v>1565</v>
      </c>
      <c r="AN230" s="3">
        <v>46077.645138888889</v>
      </c>
      <c r="AO230" t="s">
        <v>1560</v>
      </c>
    </row>
    <row r="231" spans="1:41" x14ac:dyDescent="0.3">
      <c r="A231" t="s">
        <v>61</v>
      </c>
      <c r="B231" t="s">
        <v>655</v>
      </c>
      <c r="C231" t="s">
        <v>43</v>
      </c>
      <c r="D231" t="s">
        <v>656</v>
      </c>
      <c r="E231" s="1">
        <v>46077</v>
      </c>
      <c r="F231" t="s">
        <v>1376</v>
      </c>
      <c r="G231" t="s">
        <v>45</v>
      </c>
      <c r="H231" s="2">
        <v>0.35416666666666669</v>
      </c>
      <c r="I231" s="2">
        <v>0.70833333333333337</v>
      </c>
      <c r="J231" t="s">
        <v>100</v>
      </c>
      <c r="L231" t="s">
        <v>100</v>
      </c>
      <c r="M231" t="s">
        <v>1566</v>
      </c>
      <c r="N231" t="s">
        <v>1567</v>
      </c>
      <c r="O231">
        <v>20900</v>
      </c>
      <c r="Q231" t="s">
        <v>1568</v>
      </c>
      <c r="R231" t="s">
        <v>132</v>
      </c>
      <c r="S231" t="s">
        <v>52</v>
      </c>
      <c r="U231">
        <v>891650</v>
      </c>
      <c r="V231" s="3">
        <v>46057.488194444442</v>
      </c>
      <c r="W231" t="s">
        <v>1569</v>
      </c>
      <c r="X231" t="s">
        <v>1570</v>
      </c>
      <c r="Y231" t="str">
        <f>"0411393136"</f>
        <v>0411393136</v>
      </c>
      <c r="Z231" t="s">
        <v>70</v>
      </c>
      <c r="AA231" s="1">
        <v>46077</v>
      </c>
      <c r="AB231" t="s">
        <v>662</v>
      </c>
      <c r="AC231" t="s">
        <v>663</v>
      </c>
      <c r="AD231" t="s">
        <v>61</v>
      </c>
      <c r="AE231" t="s">
        <v>664</v>
      </c>
      <c r="AF231">
        <v>2067</v>
      </c>
      <c r="AG231" t="s">
        <v>1571</v>
      </c>
      <c r="AI231" t="s">
        <v>59</v>
      </c>
      <c r="AL231" t="s">
        <v>1423</v>
      </c>
      <c r="AN231" s="3">
        <v>46077.699305555558</v>
      </c>
      <c r="AO231" t="s">
        <v>1569</v>
      </c>
    </row>
    <row r="232" spans="1:41" x14ac:dyDescent="0.3">
      <c r="A232" t="s">
        <v>168</v>
      </c>
      <c r="B232" t="s">
        <v>441</v>
      </c>
      <c r="C232" t="s">
        <v>202</v>
      </c>
      <c r="E232" s="1">
        <v>46077</v>
      </c>
      <c r="F232" t="s">
        <v>1376</v>
      </c>
      <c r="G232" t="s">
        <v>45</v>
      </c>
      <c r="H232" s="2">
        <v>0.35416666666666669</v>
      </c>
      <c r="I232" s="2">
        <v>0.6875</v>
      </c>
      <c r="J232" t="s">
        <v>46</v>
      </c>
      <c r="L232" t="s">
        <v>47</v>
      </c>
      <c r="M232" t="s">
        <v>1572</v>
      </c>
      <c r="N232" t="s">
        <v>1573</v>
      </c>
      <c r="O232">
        <v>5951937</v>
      </c>
      <c r="Q232" t="s">
        <v>944</v>
      </c>
      <c r="R232" t="s">
        <v>556</v>
      </c>
      <c r="S232" t="s">
        <v>52</v>
      </c>
      <c r="U232">
        <v>891654</v>
      </c>
      <c r="V232" s="3">
        <v>46050.95208333333</v>
      </c>
      <c r="W232" t="s">
        <v>1574</v>
      </c>
      <c r="X232" t="s">
        <v>1575</v>
      </c>
      <c r="Y232" t="str">
        <f>"0458034418"</f>
        <v>0458034418</v>
      </c>
      <c r="Z232" t="s">
        <v>70</v>
      </c>
      <c r="AB232" t="s">
        <v>448</v>
      </c>
      <c r="AD232" t="s">
        <v>168</v>
      </c>
      <c r="AE232" t="s">
        <v>180</v>
      </c>
      <c r="AF232">
        <v>5063</v>
      </c>
      <c r="AG232" t="s">
        <v>944</v>
      </c>
      <c r="AI232" t="s">
        <v>59</v>
      </c>
      <c r="AL232" t="s">
        <v>1121</v>
      </c>
      <c r="AN232" s="3">
        <v>46077.709722222222</v>
      </c>
      <c r="AO232" t="s">
        <v>1574</v>
      </c>
    </row>
    <row r="233" spans="1:41" x14ac:dyDescent="0.3">
      <c r="A233" t="s">
        <v>61</v>
      </c>
      <c r="B233" t="s">
        <v>1079</v>
      </c>
      <c r="C233" t="s">
        <v>43</v>
      </c>
      <c r="D233" t="s">
        <v>63</v>
      </c>
      <c r="E233" s="1">
        <v>46077</v>
      </c>
      <c r="F233" t="s">
        <v>1376</v>
      </c>
      <c r="G233" t="s">
        <v>45</v>
      </c>
      <c r="H233" s="2">
        <v>0.35416666666666669</v>
      </c>
      <c r="I233" s="2">
        <v>0.70833333333333337</v>
      </c>
      <c r="J233" t="s">
        <v>46</v>
      </c>
      <c r="L233" t="s">
        <v>47</v>
      </c>
      <c r="M233" t="s">
        <v>91</v>
      </c>
      <c r="N233" t="s">
        <v>92</v>
      </c>
      <c r="O233">
        <v>5950650</v>
      </c>
      <c r="Q233" t="s">
        <v>1576</v>
      </c>
      <c r="R233" t="s">
        <v>500</v>
      </c>
      <c r="S233" t="s">
        <v>52</v>
      </c>
      <c r="U233">
        <v>891729</v>
      </c>
      <c r="V233" s="3">
        <v>46076.738194444442</v>
      </c>
      <c r="W233" t="s">
        <v>94</v>
      </c>
      <c r="X233" t="s">
        <v>95</v>
      </c>
      <c r="Y233" t="str">
        <f>"0493332534"</f>
        <v>0493332534</v>
      </c>
      <c r="Z233" t="s">
        <v>70</v>
      </c>
      <c r="AA233" s="1">
        <v>46077</v>
      </c>
      <c r="AB233" t="s">
        <v>1085</v>
      </c>
      <c r="AD233" t="s">
        <v>61</v>
      </c>
      <c r="AE233" t="s">
        <v>1086</v>
      </c>
      <c r="AF233">
        <v>2031</v>
      </c>
      <c r="AG233" t="s">
        <v>1576</v>
      </c>
      <c r="AI233" t="s">
        <v>59</v>
      </c>
      <c r="AL233" t="s">
        <v>1577</v>
      </c>
      <c r="AN233" s="3">
        <v>46078.463194444441</v>
      </c>
      <c r="AO233" t="s">
        <v>94</v>
      </c>
    </row>
    <row r="234" spans="1:41" x14ac:dyDescent="0.3">
      <c r="A234" t="s">
        <v>874</v>
      </c>
      <c r="B234" t="s">
        <v>875</v>
      </c>
      <c r="D234" t="s">
        <v>388</v>
      </c>
      <c r="E234" s="1">
        <v>46077</v>
      </c>
      <c r="F234" t="s">
        <v>1376</v>
      </c>
      <c r="G234" t="s">
        <v>45</v>
      </c>
      <c r="H234" s="2">
        <v>0.35416666666666669</v>
      </c>
      <c r="I234" s="2">
        <v>0.70833333333333337</v>
      </c>
      <c r="J234" t="s">
        <v>876</v>
      </c>
      <c r="L234" t="s">
        <v>877</v>
      </c>
      <c r="M234" t="s">
        <v>878</v>
      </c>
      <c r="N234" t="s">
        <v>879</v>
      </c>
      <c r="O234">
        <v>5951689</v>
      </c>
      <c r="P234" t="s">
        <v>249</v>
      </c>
      <c r="Q234" t="s">
        <v>880</v>
      </c>
      <c r="R234" t="s">
        <v>392</v>
      </c>
      <c r="S234" t="s">
        <v>52</v>
      </c>
      <c r="T234" t="s">
        <v>252</v>
      </c>
      <c r="U234">
        <v>892244</v>
      </c>
      <c r="V234" s="3">
        <v>46083.556944444441</v>
      </c>
      <c r="W234" t="s">
        <v>881</v>
      </c>
      <c r="X234" t="s">
        <v>882</v>
      </c>
      <c r="Y234" t="str">
        <f>"0474765680"</f>
        <v>0474765680</v>
      </c>
      <c r="Z234" t="s">
        <v>254</v>
      </c>
      <c r="AA234" s="1">
        <v>46110</v>
      </c>
      <c r="AB234" t="s">
        <v>883</v>
      </c>
      <c r="AD234" t="s">
        <v>397</v>
      </c>
      <c r="AE234" t="s">
        <v>884</v>
      </c>
      <c r="AG234" t="s">
        <v>880</v>
      </c>
      <c r="AI234" t="s">
        <v>59</v>
      </c>
      <c r="AJ234" t="str">
        <f>"0090000061"</f>
        <v>0090000061</v>
      </c>
      <c r="AN234" s="3">
        <v>46083.556944444441</v>
      </c>
      <c r="AO234" t="s">
        <v>392</v>
      </c>
    </row>
    <row r="235" spans="1:41" x14ac:dyDescent="0.3">
      <c r="A235" t="s">
        <v>41</v>
      </c>
      <c r="B235" t="s">
        <v>965</v>
      </c>
      <c r="C235" t="s">
        <v>43</v>
      </c>
      <c r="D235" t="s">
        <v>966</v>
      </c>
      <c r="E235" s="1">
        <v>46077</v>
      </c>
      <c r="F235" t="s">
        <v>1376</v>
      </c>
      <c r="G235" t="s">
        <v>128</v>
      </c>
      <c r="H235" s="2">
        <v>0.375</v>
      </c>
      <c r="I235" s="2">
        <v>0.77083333333333337</v>
      </c>
      <c r="J235" t="s">
        <v>46</v>
      </c>
      <c r="L235" t="s">
        <v>298</v>
      </c>
      <c r="M235" t="s">
        <v>1578</v>
      </c>
      <c r="N235" t="s">
        <v>1579</v>
      </c>
      <c r="O235">
        <v>5952061</v>
      </c>
      <c r="Q235" t="s">
        <v>1580</v>
      </c>
      <c r="R235" t="s">
        <v>51</v>
      </c>
      <c r="S235" t="s">
        <v>52</v>
      </c>
      <c r="T235" t="s">
        <v>1437</v>
      </c>
      <c r="U235">
        <v>891676</v>
      </c>
      <c r="V235" s="3">
        <v>46071.365972222222</v>
      </c>
      <c r="W235" t="s">
        <v>1581</v>
      </c>
      <c r="X235" t="s">
        <v>1582</v>
      </c>
      <c r="Y235" t="str">
        <f>"0401803081"</f>
        <v>0401803081</v>
      </c>
      <c r="Z235" t="s">
        <v>1324</v>
      </c>
      <c r="AB235" t="s">
        <v>972</v>
      </c>
      <c r="AD235" t="s">
        <v>41</v>
      </c>
      <c r="AE235" t="s">
        <v>973</v>
      </c>
      <c r="AF235">
        <v>4068</v>
      </c>
      <c r="AG235" t="s">
        <v>1583</v>
      </c>
      <c r="AI235" t="s">
        <v>59</v>
      </c>
      <c r="AL235" t="s">
        <v>1584</v>
      </c>
      <c r="AN235" s="3">
        <v>46082.480555555558</v>
      </c>
      <c r="AO235" t="s">
        <v>759</v>
      </c>
    </row>
    <row r="236" spans="1:41" x14ac:dyDescent="0.3">
      <c r="A236" t="s">
        <v>168</v>
      </c>
      <c r="B236" t="s">
        <v>689</v>
      </c>
      <c r="C236" t="s">
        <v>43</v>
      </c>
      <c r="D236" t="s">
        <v>268</v>
      </c>
      <c r="E236" s="1">
        <v>46077</v>
      </c>
      <c r="F236" t="s">
        <v>1376</v>
      </c>
      <c r="G236" t="s">
        <v>45</v>
      </c>
      <c r="H236" s="2">
        <v>0.375</v>
      </c>
      <c r="I236" s="2">
        <v>0.72916666666666663</v>
      </c>
      <c r="J236" t="s">
        <v>101</v>
      </c>
      <c r="L236" t="s">
        <v>159</v>
      </c>
      <c r="M236" t="s">
        <v>690</v>
      </c>
      <c r="N236" t="s">
        <v>691</v>
      </c>
      <c r="O236">
        <v>5950774</v>
      </c>
      <c r="P236" t="s">
        <v>249</v>
      </c>
      <c r="Q236" t="s">
        <v>692</v>
      </c>
      <c r="R236" t="s">
        <v>693</v>
      </c>
      <c r="S236" t="s">
        <v>52</v>
      </c>
      <c r="T236" t="s">
        <v>252</v>
      </c>
      <c r="U236">
        <v>892205</v>
      </c>
      <c r="V236" s="3">
        <v>46083.38958333333</v>
      </c>
      <c r="W236" t="s">
        <v>693</v>
      </c>
      <c r="X236" t="s">
        <v>694</v>
      </c>
      <c r="Y236" t="str">
        <f>"0404019300"</f>
        <v>0404019300</v>
      </c>
      <c r="Z236" t="s">
        <v>254</v>
      </c>
      <c r="AA236" s="1">
        <v>46117</v>
      </c>
      <c r="AB236" t="s">
        <v>695</v>
      </c>
      <c r="AD236" t="s">
        <v>168</v>
      </c>
      <c r="AE236" t="s">
        <v>696</v>
      </c>
      <c r="AF236">
        <v>5606</v>
      </c>
      <c r="AG236" t="s">
        <v>1585</v>
      </c>
      <c r="AI236" t="s">
        <v>59</v>
      </c>
      <c r="AJ236" t="str">
        <f>"0020188040"</f>
        <v>0020188040</v>
      </c>
      <c r="AN236" s="3">
        <v>46083.38958333333</v>
      </c>
      <c r="AO236" t="s">
        <v>693</v>
      </c>
    </row>
    <row r="237" spans="1:41" x14ac:dyDescent="0.3">
      <c r="A237" t="s">
        <v>168</v>
      </c>
      <c r="B237" t="s">
        <v>1586</v>
      </c>
      <c r="C237" t="s">
        <v>1587</v>
      </c>
      <c r="D237" t="s">
        <v>268</v>
      </c>
      <c r="E237" s="1">
        <v>46077</v>
      </c>
      <c r="F237" t="s">
        <v>1376</v>
      </c>
      <c r="G237" t="s">
        <v>45</v>
      </c>
      <c r="H237" s="2">
        <v>0.375</v>
      </c>
      <c r="I237" s="2">
        <v>0.70833333333333337</v>
      </c>
      <c r="J237" t="s">
        <v>46</v>
      </c>
      <c r="K237" t="s">
        <v>270</v>
      </c>
      <c r="L237" t="s">
        <v>159</v>
      </c>
      <c r="M237" t="s">
        <v>1588</v>
      </c>
      <c r="N237" t="s">
        <v>1589</v>
      </c>
      <c r="O237">
        <v>22701</v>
      </c>
      <c r="Q237" t="s">
        <v>1590</v>
      </c>
      <c r="R237" t="s">
        <v>176</v>
      </c>
      <c r="S237" t="s">
        <v>52</v>
      </c>
      <c r="U237">
        <v>891658</v>
      </c>
      <c r="V237" s="3">
        <v>46069.450694444444</v>
      </c>
      <c r="W237" t="s">
        <v>1591</v>
      </c>
      <c r="X237" t="s">
        <v>1592</v>
      </c>
      <c r="Y237" t="str">
        <f>"0401619357"</f>
        <v>0401619357</v>
      </c>
      <c r="Z237" t="s">
        <v>70</v>
      </c>
      <c r="AA237" s="1">
        <v>46077</v>
      </c>
      <c r="AB237" t="s">
        <v>1593</v>
      </c>
      <c r="AC237" t="s">
        <v>1594</v>
      </c>
      <c r="AD237" t="s">
        <v>168</v>
      </c>
      <c r="AE237" t="s">
        <v>1595</v>
      </c>
      <c r="AF237">
        <v>5011</v>
      </c>
      <c r="AG237" t="s">
        <v>1590</v>
      </c>
      <c r="AI237" t="s">
        <v>59</v>
      </c>
      <c r="AL237" t="s">
        <v>1121</v>
      </c>
      <c r="AN237" s="3">
        <v>46077.722222222219</v>
      </c>
      <c r="AO237" t="s">
        <v>1591</v>
      </c>
    </row>
    <row r="238" spans="1:41" x14ac:dyDescent="0.3">
      <c r="A238" t="s">
        <v>168</v>
      </c>
      <c r="B238" t="s">
        <v>225</v>
      </c>
      <c r="C238" t="s">
        <v>202</v>
      </c>
      <c r="D238" t="s">
        <v>227</v>
      </c>
      <c r="E238" s="1">
        <v>46077</v>
      </c>
      <c r="F238" t="s">
        <v>1376</v>
      </c>
      <c r="G238" t="s">
        <v>45</v>
      </c>
      <c r="H238" s="2">
        <v>0.375</v>
      </c>
      <c r="I238" s="2">
        <v>0.70833333333333337</v>
      </c>
      <c r="J238" t="s">
        <v>46</v>
      </c>
      <c r="L238" t="s">
        <v>204</v>
      </c>
      <c r="M238" t="s">
        <v>205</v>
      </c>
      <c r="N238" t="s">
        <v>206</v>
      </c>
      <c r="O238">
        <v>21706</v>
      </c>
      <c r="Q238" t="s">
        <v>230</v>
      </c>
      <c r="R238" t="s">
        <v>314</v>
      </c>
      <c r="S238" t="s">
        <v>52</v>
      </c>
      <c r="U238">
        <v>891619</v>
      </c>
      <c r="V238" s="3">
        <v>46077.271527777775</v>
      </c>
      <c r="W238" t="s">
        <v>209</v>
      </c>
      <c r="X238" t="s">
        <v>210</v>
      </c>
      <c r="Y238" t="str">
        <f>"0415862070"</f>
        <v>0415862070</v>
      </c>
      <c r="Z238" t="s">
        <v>70</v>
      </c>
      <c r="AA238" s="1">
        <v>46077</v>
      </c>
      <c r="AB238" t="s">
        <v>235</v>
      </c>
      <c r="AD238" t="s">
        <v>168</v>
      </c>
      <c r="AE238" t="s">
        <v>236</v>
      </c>
      <c r="AF238">
        <v>5087</v>
      </c>
      <c r="AG238" t="s">
        <v>230</v>
      </c>
      <c r="AI238" t="s">
        <v>59</v>
      </c>
      <c r="AL238" t="s">
        <v>1596</v>
      </c>
      <c r="AN238" s="3">
        <v>46077.580555555556</v>
      </c>
      <c r="AO238" t="s">
        <v>209</v>
      </c>
    </row>
    <row r="239" spans="1:41" x14ac:dyDescent="0.3">
      <c r="A239" t="s">
        <v>168</v>
      </c>
      <c r="B239" t="s">
        <v>441</v>
      </c>
      <c r="C239" t="s">
        <v>202</v>
      </c>
      <c r="E239" s="1">
        <v>46077</v>
      </c>
      <c r="F239" t="s">
        <v>1376</v>
      </c>
      <c r="G239" t="s">
        <v>45</v>
      </c>
      <c r="H239" s="2">
        <v>0.375</v>
      </c>
      <c r="I239" s="2">
        <v>0.66666666666666663</v>
      </c>
      <c r="J239" t="s">
        <v>46</v>
      </c>
      <c r="L239" t="s">
        <v>47</v>
      </c>
      <c r="M239" t="s">
        <v>1597</v>
      </c>
      <c r="N239" t="s">
        <v>1598</v>
      </c>
      <c r="O239">
        <v>5951372</v>
      </c>
      <c r="Q239" t="s">
        <v>944</v>
      </c>
      <c r="R239" t="s">
        <v>556</v>
      </c>
      <c r="S239" t="s">
        <v>52</v>
      </c>
      <c r="U239">
        <v>891636</v>
      </c>
      <c r="V239" s="3">
        <v>46050.950694444444</v>
      </c>
      <c r="W239" t="s">
        <v>1599</v>
      </c>
      <c r="X239" t="s">
        <v>1600</v>
      </c>
      <c r="Y239" t="str">
        <f>"0499117889"</f>
        <v>0499117889</v>
      </c>
      <c r="Z239" t="s">
        <v>70</v>
      </c>
      <c r="AA239" s="1">
        <v>46077</v>
      </c>
      <c r="AB239" t="s">
        <v>448</v>
      </c>
      <c r="AD239" t="s">
        <v>168</v>
      </c>
      <c r="AE239" t="s">
        <v>180</v>
      </c>
      <c r="AF239">
        <v>5063</v>
      </c>
      <c r="AG239" t="s">
        <v>944</v>
      </c>
      <c r="AI239" t="s">
        <v>59</v>
      </c>
      <c r="AL239" t="s">
        <v>1601</v>
      </c>
      <c r="AN239" s="3">
        <v>46077.654166666667</v>
      </c>
      <c r="AO239" t="s">
        <v>1599</v>
      </c>
    </row>
    <row r="240" spans="1:41" x14ac:dyDescent="0.3">
      <c r="A240" t="s">
        <v>61</v>
      </c>
      <c r="B240" t="s">
        <v>655</v>
      </c>
      <c r="C240" t="s">
        <v>43</v>
      </c>
      <c r="D240" t="s">
        <v>656</v>
      </c>
      <c r="E240" s="1">
        <v>46077</v>
      </c>
      <c r="F240" t="s">
        <v>1376</v>
      </c>
      <c r="G240" t="s">
        <v>45</v>
      </c>
      <c r="H240" s="2">
        <v>0.41666666666666669</v>
      </c>
      <c r="I240" s="2">
        <v>0.99861111111111112</v>
      </c>
      <c r="J240" t="s">
        <v>185</v>
      </c>
      <c r="K240" t="s">
        <v>327</v>
      </c>
      <c r="L240" t="s">
        <v>47</v>
      </c>
      <c r="M240" t="s">
        <v>657</v>
      </c>
      <c r="N240" t="s">
        <v>658</v>
      </c>
      <c r="O240">
        <v>22959</v>
      </c>
      <c r="Q240" t="s">
        <v>665</v>
      </c>
      <c r="R240" t="s">
        <v>556</v>
      </c>
      <c r="S240" t="s">
        <v>52</v>
      </c>
      <c r="U240">
        <v>891661</v>
      </c>
      <c r="V240" s="3">
        <v>46064.987500000003</v>
      </c>
      <c r="W240" t="s">
        <v>660</v>
      </c>
      <c r="X240" t="s">
        <v>661</v>
      </c>
      <c r="Y240" t="str">
        <f>"0451533427"</f>
        <v>0451533427</v>
      </c>
      <c r="Z240" t="s">
        <v>70</v>
      </c>
      <c r="AB240" t="s">
        <v>662</v>
      </c>
      <c r="AC240" t="s">
        <v>663</v>
      </c>
      <c r="AD240" t="s">
        <v>61</v>
      </c>
      <c r="AE240" t="s">
        <v>664</v>
      </c>
      <c r="AF240">
        <v>2067</v>
      </c>
      <c r="AG240" t="s">
        <v>665</v>
      </c>
      <c r="AI240" t="s">
        <v>59</v>
      </c>
      <c r="AL240" t="s">
        <v>1602</v>
      </c>
      <c r="AN240" s="3">
        <v>46077.744444444441</v>
      </c>
      <c r="AO240" t="s">
        <v>660</v>
      </c>
    </row>
    <row r="241" spans="1:41" x14ac:dyDescent="0.3">
      <c r="A241" t="s">
        <v>61</v>
      </c>
      <c r="B241" t="s">
        <v>62</v>
      </c>
      <c r="C241" t="s">
        <v>100</v>
      </c>
      <c r="D241" t="s">
        <v>63</v>
      </c>
      <c r="E241" s="1">
        <v>46077</v>
      </c>
      <c r="F241" t="s">
        <v>1376</v>
      </c>
      <c r="G241" t="s">
        <v>45</v>
      </c>
      <c r="H241" s="2">
        <v>0.41666666666666669</v>
      </c>
      <c r="I241" s="2">
        <v>0.77083333333333337</v>
      </c>
      <c r="J241" t="s">
        <v>100</v>
      </c>
      <c r="L241" t="s">
        <v>100</v>
      </c>
      <c r="M241" t="s">
        <v>101</v>
      </c>
      <c r="N241" t="s">
        <v>102</v>
      </c>
      <c r="O241">
        <v>27</v>
      </c>
      <c r="Q241" t="s">
        <v>1051</v>
      </c>
      <c r="R241" t="s">
        <v>132</v>
      </c>
      <c r="S241" t="s">
        <v>52</v>
      </c>
      <c r="U241">
        <v>891665</v>
      </c>
      <c r="V241" s="3">
        <v>46052.632638888892</v>
      </c>
      <c r="W241" t="s">
        <v>104</v>
      </c>
      <c r="X241" t="s">
        <v>105</v>
      </c>
      <c r="Y241" t="str">
        <f>"0403748369"</f>
        <v>0403748369</v>
      </c>
      <c r="Z241" t="s">
        <v>627</v>
      </c>
      <c r="AB241" t="s">
        <v>71</v>
      </c>
      <c r="AD241" t="s">
        <v>61</v>
      </c>
      <c r="AE241" t="s">
        <v>72</v>
      </c>
      <c r="AF241">
        <v>2747</v>
      </c>
      <c r="AG241" t="s">
        <v>1051</v>
      </c>
      <c r="AI241" t="s">
        <v>59</v>
      </c>
      <c r="AL241" t="s">
        <v>1423</v>
      </c>
      <c r="AN241" s="3">
        <v>46077.761805555558</v>
      </c>
      <c r="AO241" t="s">
        <v>104</v>
      </c>
    </row>
    <row r="242" spans="1:41" x14ac:dyDescent="0.3">
      <c r="A242" t="s">
        <v>168</v>
      </c>
      <c r="B242" t="s">
        <v>376</v>
      </c>
      <c r="C242" t="s">
        <v>202</v>
      </c>
      <c r="D242" t="s">
        <v>127</v>
      </c>
      <c r="E242" s="1">
        <v>46077</v>
      </c>
      <c r="F242" t="s">
        <v>1376</v>
      </c>
      <c r="G242" t="s">
        <v>45</v>
      </c>
      <c r="H242" s="2">
        <v>0.41666666666666669</v>
      </c>
      <c r="I242" s="2">
        <v>0.70833333333333337</v>
      </c>
      <c r="J242" t="s">
        <v>46</v>
      </c>
      <c r="L242" t="s">
        <v>47</v>
      </c>
      <c r="M242" t="s">
        <v>1603</v>
      </c>
      <c r="N242" t="s">
        <v>1604</v>
      </c>
      <c r="O242">
        <v>5952018</v>
      </c>
      <c r="Q242" t="s">
        <v>1605</v>
      </c>
      <c r="R242" t="s">
        <v>231</v>
      </c>
      <c r="S242" t="s">
        <v>52</v>
      </c>
      <c r="U242">
        <v>891629</v>
      </c>
      <c r="V242" s="3">
        <v>46077.34097222222</v>
      </c>
      <c r="W242" t="s">
        <v>1606</v>
      </c>
      <c r="X242" t="s">
        <v>1607</v>
      </c>
      <c r="Y242" t="str">
        <f>"0415208433"</f>
        <v>0415208433</v>
      </c>
      <c r="Z242" t="s">
        <v>70</v>
      </c>
      <c r="AA242" s="1">
        <v>46077</v>
      </c>
      <c r="AB242" t="s">
        <v>383</v>
      </c>
      <c r="AD242" t="s">
        <v>168</v>
      </c>
      <c r="AE242" t="s">
        <v>384</v>
      </c>
      <c r="AF242">
        <v>5000</v>
      </c>
      <c r="AG242" t="s">
        <v>1605</v>
      </c>
      <c r="AI242" t="s">
        <v>59</v>
      </c>
      <c r="AL242" t="s">
        <v>1608</v>
      </c>
      <c r="AN242" s="3">
        <v>46077.613194444442</v>
      </c>
      <c r="AO242" t="s">
        <v>1606</v>
      </c>
    </row>
    <row r="243" spans="1:41" x14ac:dyDescent="0.3">
      <c r="A243" t="s">
        <v>61</v>
      </c>
      <c r="B243" t="s">
        <v>62</v>
      </c>
      <c r="C243" t="s">
        <v>43</v>
      </c>
      <c r="D243" t="s">
        <v>63</v>
      </c>
      <c r="E243" s="1">
        <v>46077</v>
      </c>
      <c r="F243" t="s">
        <v>1376</v>
      </c>
      <c r="G243" t="s">
        <v>45</v>
      </c>
      <c r="H243" s="2">
        <v>0.41666666666666669</v>
      </c>
      <c r="I243" s="2">
        <v>0.625</v>
      </c>
      <c r="J243" t="s">
        <v>46</v>
      </c>
      <c r="L243" t="s">
        <v>47</v>
      </c>
      <c r="M243" t="s">
        <v>64</v>
      </c>
      <c r="N243" t="s">
        <v>65</v>
      </c>
      <c r="O243">
        <v>22580</v>
      </c>
      <c r="Q243" t="s">
        <v>66</v>
      </c>
      <c r="R243" t="s">
        <v>67</v>
      </c>
      <c r="S243" t="s">
        <v>52</v>
      </c>
      <c r="U243">
        <v>891633</v>
      </c>
      <c r="V243" s="3">
        <v>46069.605555555558</v>
      </c>
      <c r="W243" t="s">
        <v>68</v>
      </c>
      <c r="X243" t="s">
        <v>69</v>
      </c>
      <c r="Y243" t="str">
        <f>"0414449015"</f>
        <v>0414449015</v>
      </c>
      <c r="Z243" t="s">
        <v>1609</v>
      </c>
      <c r="AB243" t="s">
        <v>71</v>
      </c>
      <c r="AD243" t="s">
        <v>61</v>
      </c>
      <c r="AE243" t="s">
        <v>72</v>
      </c>
      <c r="AF243">
        <v>2747</v>
      </c>
      <c r="AG243" t="s">
        <v>73</v>
      </c>
      <c r="AI243" t="s">
        <v>59</v>
      </c>
      <c r="AL243" t="s">
        <v>1610</v>
      </c>
      <c r="AN243" s="3">
        <v>46077.62222222222</v>
      </c>
      <c r="AO243" t="s">
        <v>68</v>
      </c>
    </row>
    <row r="244" spans="1:41" x14ac:dyDescent="0.3">
      <c r="A244" t="s">
        <v>168</v>
      </c>
      <c r="B244" t="s">
        <v>441</v>
      </c>
      <c r="C244" t="s">
        <v>43</v>
      </c>
      <c r="E244" s="1">
        <v>46077</v>
      </c>
      <c r="F244" t="s">
        <v>1376</v>
      </c>
      <c r="G244" t="s">
        <v>128</v>
      </c>
      <c r="H244" s="2">
        <v>0.41666666666666669</v>
      </c>
      <c r="I244" s="2">
        <v>0.75</v>
      </c>
      <c r="J244" t="s">
        <v>258</v>
      </c>
      <c r="K244" t="s">
        <v>259</v>
      </c>
      <c r="L244" t="s">
        <v>784</v>
      </c>
      <c r="M244" t="s">
        <v>1611</v>
      </c>
      <c r="N244" t="s">
        <v>1612</v>
      </c>
      <c r="O244">
        <v>22896</v>
      </c>
      <c r="Q244" t="s">
        <v>944</v>
      </c>
      <c r="R244" t="s">
        <v>556</v>
      </c>
      <c r="S244" t="s">
        <v>52</v>
      </c>
      <c r="T244" t="s">
        <v>1437</v>
      </c>
      <c r="U244">
        <v>891664</v>
      </c>
      <c r="V244" s="3">
        <v>46051.09097222222</v>
      </c>
      <c r="W244" t="s">
        <v>1613</v>
      </c>
      <c r="X244" t="s">
        <v>1614</v>
      </c>
      <c r="Y244" t="str">
        <f>"0417823460"</f>
        <v>0417823460</v>
      </c>
      <c r="Z244" t="s">
        <v>70</v>
      </c>
      <c r="AA244" s="1">
        <v>46077</v>
      </c>
      <c r="AB244" t="s">
        <v>448</v>
      </c>
      <c r="AD244" t="s">
        <v>168</v>
      </c>
      <c r="AE244" t="s">
        <v>180</v>
      </c>
      <c r="AF244">
        <v>5063</v>
      </c>
      <c r="AG244" t="s">
        <v>944</v>
      </c>
      <c r="AI244" t="s">
        <v>59</v>
      </c>
      <c r="AL244" t="s">
        <v>1615</v>
      </c>
      <c r="AN244" s="3">
        <v>46082.478472222225</v>
      </c>
      <c r="AO244" t="s">
        <v>759</v>
      </c>
    </row>
    <row r="245" spans="1:41" x14ac:dyDescent="0.3">
      <c r="A245" t="s">
        <v>75</v>
      </c>
      <c r="B245" t="s">
        <v>76</v>
      </c>
      <c r="C245" t="s">
        <v>43</v>
      </c>
      <c r="D245" t="s">
        <v>63</v>
      </c>
      <c r="E245" s="1">
        <v>46077</v>
      </c>
      <c r="F245" t="s">
        <v>1376</v>
      </c>
      <c r="G245" t="s">
        <v>128</v>
      </c>
      <c r="H245" s="2">
        <v>0.47916666666666669</v>
      </c>
      <c r="I245" s="2">
        <v>0.89583333333333337</v>
      </c>
      <c r="J245" t="s">
        <v>46</v>
      </c>
      <c r="K245" t="s">
        <v>77</v>
      </c>
      <c r="L245" t="s">
        <v>47</v>
      </c>
      <c r="M245" t="s">
        <v>954</v>
      </c>
      <c r="N245" t="s">
        <v>955</v>
      </c>
      <c r="O245">
        <v>5952037</v>
      </c>
      <c r="Q245" t="s">
        <v>1059</v>
      </c>
      <c r="R245" t="s">
        <v>500</v>
      </c>
      <c r="S245" t="s">
        <v>52</v>
      </c>
      <c r="T245" t="s">
        <v>1437</v>
      </c>
      <c r="U245">
        <v>891710</v>
      </c>
      <c r="V245" s="3">
        <v>46076.765972222223</v>
      </c>
      <c r="W245" t="s">
        <v>957</v>
      </c>
      <c r="X245" t="s">
        <v>958</v>
      </c>
      <c r="Y245" t="str">
        <f>"0452457162"</f>
        <v>0452457162</v>
      </c>
      <c r="Z245" t="s">
        <v>70</v>
      </c>
      <c r="AA245" s="1">
        <v>46077</v>
      </c>
      <c r="AB245" t="s">
        <v>85</v>
      </c>
      <c r="AD245" t="s">
        <v>75</v>
      </c>
      <c r="AE245" t="s">
        <v>86</v>
      </c>
      <c r="AF245">
        <v>6000</v>
      </c>
      <c r="AG245" t="s">
        <v>1059</v>
      </c>
      <c r="AI245" t="s">
        <v>59</v>
      </c>
      <c r="AL245" t="s">
        <v>1616</v>
      </c>
      <c r="AN245" s="3">
        <v>46082.484027777777</v>
      </c>
      <c r="AO245" t="s">
        <v>759</v>
      </c>
    </row>
    <row r="246" spans="1:41" x14ac:dyDescent="0.3">
      <c r="A246" t="s">
        <v>874</v>
      </c>
      <c r="B246" t="s">
        <v>386</v>
      </c>
      <c r="C246" t="s">
        <v>387</v>
      </c>
      <c r="D246" t="s">
        <v>388</v>
      </c>
      <c r="E246" s="1">
        <v>46054</v>
      </c>
      <c r="F246" t="s">
        <v>1617</v>
      </c>
      <c r="G246" t="s">
        <v>45</v>
      </c>
      <c r="H246" s="2">
        <v>0.25</v>
      </c>
      <c r="I246" s="2">
        <v>0.25069444444444444</v>
      </c>
      <c r="J246" t="s">
        <v>389</v>
      </c>
      <c r="K246" t="s">
        <v>1618</v>
      </c>
      <c r="L246" t="s">
        <v>298</v>
      </c>
      <c r="M246" t="s">
        <v>195</v>
      </c>
      <c r="N246" t="s">
        <v>390</v>
      </c>
      <c r="O246">
        <v>5951661</v>
      </c>
      <c r="P246" t="s">
        <v>249</v>
      </c>
      <c r="Q246" t="s">
        <v>399</v>
      </c>
      <c r="R246" t="s">
        <v>392</v>
      </c>
      <c r="S246" t="s">
        <v>119</v>
      </c>
      <c r="T246" t="s">
        <v>1619</v>
      </c>
      <c r="U246">
        <v>889217</v>
      </c>
      <c r="V246" s="3">
        <v>46056.597222222219</v>
      </c>
      <c r="W246" t="s">
        <v>393</v>
      </c>
      <c r="X246" t="s">
        <v>394</v>
      </c>
      <c r="Y246" t="str">
        <f>"0427371732"</f>
        <v>0427371732</v>
      </c>
      <c r="Z246" t="s">
        <v>70</v>
      </c>
      <c r="AA246" s="1">
        <v>46054</v>
      </c>
      <c r="AB246" t="s">
        <v>396</v>
      </c>
      <c r="AD246" t="s">
        <v>397</v>
      </c>
      <c r="AE246" t="s">
        <v>398</v>
      </c>
      <c r="AF246">
        <v>7919</v>
      </c>
      <c r="AG246" t="s">
        <v>391</v>
      </c>
      <c r="AI246" t="s">
        <v>59</v>
      </c>
      <c r="AL246" t="s">
        <v>1620</v>
      </c>
      <c r="AN246" s="3">
        <v>46056.600694444445</v>
      </c>
      <c r="AO246" t="s">
        <v>392</v>
      </c>
    </row>
    <row r="247" spans="1:41" x14ac:dyDescent="0.3">
      <c r="A247" t="s">
        <v>306</v>
      </c>
      <c r="B247" t="s">
        <v>386</v>
      </c>
      <c r="C247" t="s">
        <v>387</v>
      </c>
      <c r="D247" t="s">
        <v>388</v>
      </c>
      <c r="E247" s="1">
        <v>46054</v>
      </c>
      <c r="F247" t="s">
        <v>1617</v>
      </c>
      <c r="G247" t="s">
        <v>45</v>
      </c>
      <c r="H247" s="2">
        <v>0.25138888888888888</v>
      </c>
      <c r="I247" s="2">
        <v>0.25208333333333333</v>
      </c>
      <c r="J247" t="s">
        <v>389</v>
      </c>
      <c r="K247" t="s">
        <v>1618</v>
      </c>
      <c r="L247" t="s">
        <v>298</v>
      </c>
      <c r="M247" t="s">
        <v>195</v>
      </c>
      <c r="N247" t="s">
        <v>390</v>
      </c>
      <c r="O247">
        <v>5951661</v>
      </c>
      <c r="P247" t="s">
        <v>249</v>
      </c>
      <c r="Q247" t="s">
        <v>399</v>
      </c>
      <c r="R247" t="s">
        <v>392</v>
      </c>
      <c r="S247" t="s">
        <v>119</v>
      </c>
      <c r="T247" t="s">
        <v>414</v>
      </c>
      <c r="U247">
        <v>889218</v>
      </c>
      <c r="V247" s="3">
        <v>46056.600694444445</v>
      </c>
      <c r="W247" t="s">
        <v>393</v>
      </c>
      <c r="X247" t="s">
        <v>394</v>
      </c>
      <c r="Y247" t="str">
        <f>"0427371732"</f>
        <v>0427371732</v>
      </c>
      <c r="Z247" t="s">
        <v>70</v>
      </c>
      <c r="AA247" s="1">
        <v>46054</v>
      </c>
      <c r="AB247" t="s">
        <v>396</v>
      </c>
      <c r="AD247" t="s">
        <v>397</v>
      </c>
      <c r="AE247" t="s">
        <v>398</v>
      </c>
      <c r="AF247">
        <v>7919</v>
      </c>
      <c r="AG247" t="s">
        <v>391</v>
      </c>
      <c r="AI247" t="s">
        <v>59</v>
      </c>
      <c r="AN247" s="3">
        <v>46056.602083333331</v>
      </c>
      <c r="AO247" t="s">
        <v>392</v>
      </c>
    </row>
    <row r="248" spans="1:41" x14ac:dyDescent="0.3">
      <c r="A248" t="s">
        <v>75</v>
      </c>
      <c r="B248" t="s">
        <v>895</v>
      </c>
      <c r="C248" t="s">
        <v>1621</v>
      </c>
      <c r="D248" t="s">
        <v>184</v>
      </c>
      <c r="E248" s="1">
        <v>46054</v>
      </c>
      <c r="F248" t="s">
        <v>1617</v>
      </c>
      <c r="G248" t="s">
        <v>45</v>
      </c>
      <c r="H248" s="2">
        <v>0.29166666666666669</v>
      </c>
      <c r="I248" s="2">
        <v>0.625</v>
      </c>
      <c r="J248" t="s">
        <v>296</v>
      </c>
      <c r="L248" t="s">
        <v>1453</v>
      </c>
      <c r="M248" t="s">
        <v>1622</v>
      </c>
      <c r="N248" t="s">
        <v>1623</v>
      </c>
      <c r="O248">
        <v>5952211</v>
      </c>
      <c r="Q248" t="s">
        <v>1179</v>
      </c>
      <c r="R248" t="s">
        <v>500</v>
      </c>
      <c r="S248" t="s">
        <v>52</v>
      </c>
      <c r="U248">
        <v>888910</v>
      </c>
      <c r="V248" s="3">
        <v>46042.807638888888</v>
      </c>
      <c r="W248" t="s">
        <v>1624</v>
      </c>
      <c r="X248" t="s">
        <v>1625</v>
      </c>
      <c r="Y248" t="str">
        <f>"0494406921"</f>
        <v>0494406921</v>
      </c>
      <c r="Z248" t="s">
        <v>964</v>
      </c>
      <c r="AB248" t="s">
        <v>902</v>
      </c>
      <c r="AD248" t="s">
        <v>75</v>
      </c>
      <c r="AE248" t="s">
        <v>903</v>
      </c>
      <c r="AF248">
        <v>6009</v>
      </c>
      <c r="AG248" t="s">
        <v>1179</v>
      </c>
      <c r="AI248" t="s">
        <v>59</v>
      </c>
      <c r="AL248" t="s">
        <v>1626</v>
      </c>
      <c r="AN248" s="3">
        <v>46054.756944444445</v>
      </c>
      <c r="AO248" t="s">
        <v>1624</v>
      </c>
    </row>
    <row r="249" spans="1:41" x14ac:dyDescent="0.3">
      <c r="A249" t="s">
        <v>41</v>
      </c>
      <c r="B249" t="s">
        <v>568</v>
      </c>
      <c r="D249" t="s">
        <v>246</v>
      </c>
      <c r="E249" s="1">
        <v>46054</v>
      </c>
      <c r="F249" t="s">
        <v>1617</v>
      </c>
      <c r="G249" t="s">
        <v>45</v>
      </c>
      <c r="H249" s="2">
        <v>0.29166666666666669</v>
      </c>
      <c r="I249" s="2">
        <v>0.64583333333333337</v>
      </c>
      <c r="J249" t="s">
        <v>269</v>
      </c>
      <c r="L249" t="s">
        <v>172</v>
      </c>
      <c r="M249" t="s">
        <v>311</v>
      </c>
      <c r="N249" t="s">
        <v>570</v>
      </c>
      <c r="O249">
        <v>5951685</v>
      </c>
      <c r="P249" t="s">
        <v>571</v>
      </c>
      <c r="Q249" t="s">
        <v>572</v>
      </c>
      <c r="R249" t="s">
        <v>573</v>
      </c>
      <c r="S249" t="s">
        <v>52</v>
      </c>
      <c r="T249" t="s">
        <v>252</v>
      </c>
      <c r="U249">
        <v>889145</v>
      </c>
      <c r="V249" s="3">
        <v>46056.381249999999</v>
      </c>
      <c r="W249" t="s">
        <v>574</v>
      </c>
      <c r="X249" t="s">
        <v>575</v>
      </c>
      <c r="Y249" t="str">
        <f>"0407007024"</f>
        <v>0407007024</v>
      </c>
      <c r="Z249" t="s">
        <v>375</v>
      </c>
      <c r="AA249" s="1">
        <v>46075</v>
      </c>
      <c r="AB249" t="s">
        <v>576</v>
      </c>
      <c r="AD249" t="s">
        <v>41</v>
      </c>
      <c r="AE249" t="s">
        <v>577</v>
      </c>
      <c r="AF249">
        <v>4700</v>
      </c>
      <c r="AG249" t="s">
        <v>572</v>
      </c>
      <c r="AI249" t="s">
        <v>59</v>
      </c>
      <c r="AJ249" t="str">
        <f>"0050076113"</f>
        <v>0050076113</v>
      </c>
      <c r="AN249" s="3">
        <v>46056.381249999999</v>
      </c>
      <c r="AO249" t="s">
        <v>573</v>
      </c>
    </row>
    <row r="250" spans="1:41" x14ac:dyDescent="0.3">
      <c r="A250" t="s">
        <v>61</v>
      </c>
      <c r="B250" t="s">
        <v>578</v>
      </c>
      <c r="D250" t="s">
        <v>579</v>
      </c>
      <c r="E250" s="1">
        <v>46054</v>
      </c>
      <c r="F250" t="s">
        <v>1617</v>
      </c>
      <c r="G250" t="s">
        <v>45</v>
      </c>
      <c r="H250" s="2">
        <v>0.41666666666666669</v>
      </c>
      <c r="I250" s="2">
        <v>0.85416666666666663</v>
      </c>
      <c r="J250" t="s">
        <v>269</v>
      </c>
      <c r="L250" t="s">
        <v>172</v>
      </c>
      <c r="M250" t="s">
        <v>580</v>
      </c>
      <c r="N250" t="s">
        <v>581</v>
      </c>
      <c r="O250">
        <v>5951721</v>
      </c>
      <c r="P250" t="s">
        <v>571</v>
      </c>
      <c r="Q250" t="s">
        <v>582</v>
      </c>
      <c r="R250" t="s">
        <v>573</v>
      </c>
      <c r="S250" t="s">
        <v>52</v>
      </c>
      <c r="T250" t="s">
        <v>252</v>
      </c>
      <c r="U250">
        <v>889785</v>
      </c>
      <c r="V250" s="3">
        <v>46062.513888888891</v>
      </c>
      <c r="W250" t="s">
        <v>583</v>
      </c>
      <c r="X250" t="s">
        <v>584</v>
      </c>
      <c r="Y250" t="str">
        <f>"0456677559"</f>
        <v>0456677559</v>
      </c>
      <c r="Z250" t="s">
        <v>375</v>
      </c>
      <c r="AA250" s="1">
        <v>46066</v>
      </c>
      <c r="AB250" t="s">
        <v>586</v>
      </c>
      <c r="AD250" t="s">
        <v>61</v>
      </c>
      <c r="AE250" t="s">
        <v>587</v>
      </c>
      <c r="AF250">
        <v>2320</v>
      </c>
      <c r="AG250" t="s">
        <v>588</v>
      </c>
      <c r="AI250" t="s">
        <v>59</v>
      </c>
      <c r="AJ250" t="str">
        <f>"0010193654"</f>
        <v>0010193654</v>
      </c>
      <c r="AN250" s="3">
        <v>46062.513888888891</v>
      </c>
      <c r="AO250" t="s">
        <v>573</v>
      </c>
    </row>
    <row r="251" spans="1:41" x14ac:dyDescent="0.3">
      <c r="A251" t="s">
        <v>306</v>
      </c>
      <c r="B251" t="s">
        <v>699</v>
      </c>
      <c r="C251" t="s">
        <v>1627</v>
      </c>
      <c r="D251" t="s">
        <v>700</v>
      </c>
      <c r="E251" s="1">
        <v>46054</v>
      </c>
      <c r="F251" t="s">
        <v>1617</v>
      </c>
      <c r="G251" t="s">
        <v>128</v>
      </c>
      <c r="H251" s="2">
        <v>0.60416666666666663</v>
      </c>
      <c r="I251" s="2">
        <v>0.9375</v>
      </c>
      <c r="J251" t="s">
        <v>486</v>
      </c>
      <c r="L251" t="s">
        <v>1628</v>
      </c>
      <c r="M251" t="s">
        <v>1629</v>
      </c>
      <c r="N251" t="s">
        <v>1630</v>
      </c>
      <c r="O251">
        <v>22952</v>
      </c>
      <c r="Q251" t="s">
        <v>413</v>
      </c>
      <c r="R251" t="s">
        <v>145</v>
      </c>
      <c r="S251" t="s">
        <v>52</v>
      </c>
      <c r="U251">
        <v>888911</v>
      </c>
      <c r="V251" s="3">
        <v>46053.648611111108</v>
      </c>
      <c r="W251" t="s">
        <v>1631</v>
      </c>
      <c r="X251" t="s">
        <v>1632</v>
      </c>
      <c r="Y251" t="str">
        <f>"0452663217"</f>
        <v>0452663217</v>
      </c>
      <c r="Z251" t="s">
        <v>70</v>
      </c>
      <c r="AA251" s="1">
        <v>46054</v>
      </c>
      <c r="AB251" t="s">
        <v>708</v>
      </c>
      <c r="AD251" t="s">
        <v>306</v>
      </c>
      <c r="AE251" t="s">
        <v>709</v>
      </c>
      <c r="AF251">
        <v>3806</v>
      </c>
      <c r="AI251" t="s">
        <v>59</v>
      </c>
      <c r="AL251" t="s">
        <v>1633</v>
      </c>
      <c r="AM251" t="s">
        <v>1634</v>
      </c>
      <c r="AN251" s="3">
        <v>46054.801388888889</v>
      </c>
      <c r="AO251" t="s">
        <v>1631</v>
      </c>
    </row>
    <row r="252" spans="1:41" x14ac:dyDescent="0.3">
      <c r="A252" t="s">
        <v>41</v>
      </c>
      <c r="B252" t="s">
        <v>568</v>
      </c>
      <c r="C252" t="s">
        <v>602</v>
      </c>
      <c r="D252" t="s">
        <v>246</v>
      </c>
      <c r="E252" s="1">
        <v>46054</v>
      </c>
      <c r="F252" t="s">
        <v>1617</v>
      </c>
      <c r="G252" t="s">
        <v>45</v>
      </c>
      <c r="H252" s="2">
        <v>0.60416666666666663</v>
      </c>
      <c r="I252" s="2">
        <v>0.95833333333333337</v>
      </c>
      <c r="J252" t="s">
        <v>269</v>
      </c>
      <c r="L252" t="s">
        <v>47</v>
      </c>
      <c r="M252" t="s">
        <v>603</v>
      </c>
      <c r="N252" t="s">
        <v>604</v>
      </c>
      <c r="O252">
        <v>80</v>
      </c>
      <c r="P252" t="s">
        <v>571</v>
      </c>
      <c r="Q252" t="s">
        <v>572</v>
      </c>
      <c r="R252" t="s">
        <v>573</v>
      </c>
      <c r="S252" t="s">
        <v>52</v>
      </c>
      <c r="T252" t="s">
        <v>252</v>
      </c>
      <c r="U252">
        <v>889149</v>
      </c>
      <c r="V252" s="3">
        <v>46056.382638888892</v>
      </c>
      <c r="W252" t="s">
        <v>605</v>
      </c>
      <c r="X252" t="s">
        <v>606</v>
      </c>
      <c r="Y252" t="str">
        <f>"0414330986"</f>
        <v>0414330986</v>
      </c>
      <c r="Z252" t="s">
        <v>1635</v>
      </c>
      <c r="AA252" s="1">
        <v>46068</v>
      </c>
      <c r="AB252" t="s">
        <v>576</v>
      </c>
      <c r="AD252" t="s">
        <v>41</v>
      </c>
      <c r="AE252" t="s">
        <v>577</v>
      </c>
      <c r="AF252">
        <v>4700</v>
      </c>
      <c r="AG252" t="s">
        <v>572</v>
      </c>
      <c r="AI252" t="s">
        <v>59</v>
      </c>
      <c r="AJ252" t="str">
        <f>"0050075176"</f>
        <v>0050075176</v>
      </c>
      <c r="AN252" s="3">
        <v>46056.382638888892</v>
      </c>
      <c r="AO252" t="s">
        <v>573</v>
      </c>
    </row>
    <row r="253" spans="1:41" x14ac:dyDescent="0.3">
      <c r="A253" t="s">
        <v>306</v>
      </c>
      <c r="B253" t="s">
        <v>1636</v>
      </c>
      <c r="C253" t="s">
        <v>1637</v>
      </c>
      <c r="D253" t="s">
        <v>1436</v>
      </c>
      <c r="E253" s="1">
        <v>46054</v>
      </c>
      <c r="F253" t="s">
        <v>1617</v>
      </c>
      <c r="G253" t="s">
        <v>128</v>
      </c>
      <c r="H253" s="2">
        <v>0.625</v>
      </c>
      <c r="I253" s="2">
        <v>0.91666666666666663</v>
      </c>
      <c r="J253" t="s">
        <v>464</v>
      </c>
      <c r="L253" t="s">
        <v>464</v>
      </c>
      <c r="M253" t="s">
        <v>1638</v>
      </c>
      <c r="N253" t="s">
        <v>1639</v>
      </c>
      <c r="O253">
        <v>5952325</v>
      </c>
      <c r="Q253" t="s">
        <v>413</v>
      </c>
      <c r="R253" t="s">
        <v>1248</v>
      </c>
      <c r="S253" t="s">
        <v>52</v>
      </c>
      <c r="U253">
        <v>888914</v>
      </c>
      <c r="V253" s="3">
        <v>46054.414583333331</v>
      </c>
      <c r="W253" t="s">
        <v>1640</v>
      </c>
      <c r="X253" t="s">
        <v>1641</v>
      </c>
      <c r="Y253" t="str">
        <f>"0413340060"</f>
        <v>0413340060</v>
      </c>
      <c r="Z253" t="s">
        <v>70</v>
      </c>
      <c r="AA253" s="1">
        <v>46054</v>
      </c>
      <c r="AB253" t="s">
        <v>1642</v>
      </c>
      <c r="AD253" t="s">
        <v>306</v>
      </c>
      <c r="AE253" t="s">
        <v>1643</v>
      </c>
      <c r="AF253">
        <v>3216</v>
      </c>
      <c r="AG253" t="s">
        <v>413</v>
      </c>
      <c r="AI253" t="s">
        <v>59</v>
      </c>
      <c r="AL253" t="s">
        <v>1644</v>
      </c>
      <c r="AN253" s="3">
        <v>46054.915972222225</v>
      </c>
      <c r="AO253" t="s">
        <v>1640</v>
      </c>
    </row>
    <row r="254" spans="1:41" x14ac:dyDescent="0.3">
      <c r="A254" t="s">
        <v>61</v>
      </c>
      <c r="B254" t="s">
        <v>182</v>
      </c>
      <c r="C254" t="s">
        <v>484</v>
      </c>
      <c r="D254" t="s">
        <v>184</v>
      </c>
      <c r="E254" s="1">
        <v>46054</v>
      </c>
      <c r="F254" t="s">
        <v>1617</v>
      </c>
      <c r="G254" t="s">
        <v>485</v>
      </c>
      <c r="H254" s="2">
        <v>0.77083333333333337</v>
      </c>
      <c r="I254" s="2">
        <v>0.29166666666666669</v>
      </c>
      <c r="J254" t="s">
        <v>590</v>
      </c>
      <c r="L254" t="s">
        <v>487</v>
      </c>
      <c r="M254" t="s">
        <v>1645</v>
      </c>
      <c r="N254" t="s">
        <v>1646</v>
      </c>
      <c r="O254">
        <v>5951065</v>
      </c>
      <c r="Q254" t="s">
        <v>129</v>
      </c>
      <c r="R254" t="s">
        <v>67</v>
      </c>
      <c r="S254" t="s">
        <v>52</v>
      </c>
      <c r="U254">
        <v>888921</v>
      </c>
      <c r="V254" s="3">
        <v>46045.427777777775</v>
      </c>
      <c r="W254" t="s">
        <v>1647</v>
      </c>
      <c r="X254" t="s">
        <v>1648</v>
      </c>
      <c r="Y254" t="str">
        <f>"0408979009"</f>
        <v>0408979009</v>
      </c>
      <c r="Z254" t="s">
        <v>832</v>
      </c>
      <c r="AB254" t="s">
        <v>193</v>
      </c>
      <c r="AD254" t="s">
        <v>61</v>
      </c>
      <c r="AE254" t="s">
        <v>194</v>
      </c>
      <c r="AF254">
        <v>2229</v>
      </c>
      <c r="AG254" t="s">
        <v>490</v>
      </c>
      <c r="AI254" t="s">
        <v>59</v>
      </c>
      <c r="AL254" t="s">
        <v>1649</v>
      </c>
      <c r="AN254" s="3">
        <v>46055.288888888892</v>
      </c>
      <c r="AO254" t="s">
        <v>1647</v>
      </c>
    </row>
    <row r="255" spans="1:41" x14ac:dyDescent="0.3">
      <c r="A255" t="s">
        <v>306</v>
      </c>
      <c r="B255" t="s">
        <v>1650</v>
      </c>
      <c r="C255" t="s">
        <v>529</v>
      </c>
      <c r="D255" t="s">
        <v>754</v>
      </c>
      <c r="E255" s="1">
        <v>46054</v>
      </c>
      <c r="F255" t="s">
        <v>1617</v>
      </c>
      <c r="G255" t="s">
        <v>485</v>
      </c>
      <c r="H255" s="2">
        <v>0.79166666666666663</v>
      </c>
      <c r="I255" s="2">
        <v>0.3125</v>
      </c>
      <c r="J255" t="s">
        <v>529</v>
      </c>
      <c r="L255" t="s">
        <v>735</v>
      </c>
      <c r="M255" t="s">
        <v>1651</v>
      </c>
      <c r="N255" t="s">
        <v>1652</v>
      </c>
      <c r="O255">
        <v>20581</v>
      </c>
      <c r="Q255" t="s">
        <v>1653</v>
      </c>
      <c r="R255" t="s">
        <v>500</v>
      </c>
      <c r="S255" t="s">
        <v>52</v>
      </c>
      <c r="U255">
        <v>888922</v>
      </c>
      <c r="V255" s="3">
        <v>46054.675694444442</v>
      </c>
      <c r="W255" t="s">
        <v>1654</v>
      </c>
      <c r="X255" t="s">
        <v>1655</v>
      </c>
      <c r="Y255" t="str">
        <f>"0420857417"</f>
        <v>0420857417</v>
      </c>
      <c r="Z255" t="s">
        <v>70</v>
      </c>
      <c r="AA255" s="1">
        <v>46054</v>
      </c>
      <c r="AB255" t="s">
        <v>1656</v>
      </c>
      <c r="AD255" t="s">
        <v>306</v>
      </c>
      <c r="AE255" t="s">
        <v>1657</v>
      </c>
      <c r="AF255">
        <v>3170</v>
      </c>
      <c r="AG255" t="s">
        <v>1653</v>
      </c>
      <c r="AI255" t="s">
        <v>59</v>
      </c>
      <c r="AL255" t="s">
        <v>1658</v>
      </c>
      <c r="AN255" s="3">
        <v>46055.289583333331</v>
      </c>
      <c r="AO255" t="s">
        <v>1654</v>
      </c>
    </row>
    <row r="256" spans="1:41" x14ac:dyDescent="0.3">
      <c r="A256" t="s">
        <v>61</v>
      </c>
      <c r="B256" t="s">
        <v>350</v>
      </c>
      <c r="C256" t="s">
        <v>1659</v>
      </c>
      <c r="D256" t="s">
        <v>63</v>
      </c>
      <c r="E256" s="1">
        <v>46054</v>
      </c>
      <c r="F256" t="s">
        <v>1617</v>
      </c>
      <c r="G256" t="s">
        <v>485</v>
      </c>
      <c r="H256" s="2">
        <v>0.79166666666666663</v>
      </c>
      <c r="I256" s="2">
        <v>0.3125</v>
      </c>
      <c r="J256" t="s">
        <v>529</v>
      </c>
      <c r="L256" t="s">
        <v>735</v>
      </c>
      <c r="M256" t="s">
        <v>1660</v>
      </c>
      <c r="N256" t="s">
        <v>1661</v>
      </c>
      <c r="O256">
        <v>22268</v>
      </c>
      <c r="Q256" t="s">
        <v>1662</v>
      </c>
      <c r="R256" t="s">
        <v>132</v>
      </c>
      <c r="S256" t="s">
        <v>52</v>
      </c>
      <c r="U256">
        <v>888920</v>
      </c>
      <c r="V256" s="3">
        <v>46052.536111111112</v>
      </c>
      <c r="W256" t="s">
        <v>1663</v>
      </c>
      <c r="X256" t="s">
        <v>1664</v>
      </c>
      <c r="Y256" t="str">
        <f>"0404243284"</f>
        <v>0404243284</v>
      </c>
      <c r="Z256" t="s">
        <v>1665</v>
      </c>
      <c r="AA256" s="1">
        <v>46054</v>
      </c>
      <c r="AB256" t="s">
        <v>356</v>
      </c>
      <c r="AD256" t="s">
        <v>61</v>
      </c>
      <c r="AE256" t="s">
        <v>357</v>
      </c>
      <c r="AF256">
        <v>2153</v>
      </c>
      <c r="AG256" t="s">
        <v>1666</v>
      </c>
      <c r="AI256" t="s">
        <v>59</v>
      </c>
      <c r="AL256" t="s">
        <v>1667</v>
      </c>
      <c r="AN256" s="3">
        <v>46055.277777777781</v>
      </c>
      <c r="AO256" t="s">
        <v>1663</v>
      </c>
    </row>
    <row r="257" spans="1:41" x14ac:dyDescent="0.3">
      <c r="A257" t="s">
        <v>168</v>
      </c>
      <c r="B257" t="s">
        <v>266</v>
      </c>
      <c r="C257" t="s">
        <v>267</v>
      </c>
      <c r="D257" t="s">
        <v>268</v>
      </c>
      <c r="E257" s="1">
        <v>46054</v>
      </c>
      <c r="F257" t="s">
        <v>1617</v>
      </c>
      <c r="G257" t="s">
        <v>485</v>
      </c>
      <c r="H257" s="2">
        <v>0.875</v>
      </c>
      <c r="I257" s="2">
        <v>0.3125</v>
      </c>
      <c r="J257" t="s">
        <v>269</v>
      </c>
      <c r="K257" t="s">
        <v>297</v>
      </c>
      <c r="L257" t="s">
        <v>47</v>
      </c>
      <c r="M257" t="s">
        <v>517</v>
      </c>
      <c r="N257" t="s">
        <v>518</v>
      </c>
      <c r="O257">
        <v>5951368</v>
      </c>
      <c r="Q257" t="s">
        <v>1668</v>
      </c>
      <c r="R257" t="s">
        <v>176</v>
      </c>
      <c r="S257" t="s">
        <v>52</v>
      </c>
      <c r="U257">
        <v>888927</v>
      </c>
      <c r="V257" s="3">
        <v>45993.45208333333</v>
      </c>
      <c r="W257" t="s">
        <v>519</v>
      </c>
      <c r="X257" t="s">
        <v>520</v>
      </c>
      <c r="Y257" t="str">
        <f>"0420208072"</f>
        <v>0420208072</v>
      </c>
      <c r="Z257" t="s">
        <v>1669</v>
      </c>
      <c r="AB257" t="s">
        <v>277</v>
      </c>
      <c r="AC257" t="s">
        <v>278</v>
      </c>
      <c r="AD257" t="s">
        <v>168</v>
      </c>
      <c r="AE257" t="s">
        <v>279</v>
      </c>
      <c r="AF257">
        <v>5092</v>
      </c>
      <c r="AG257" t="s">
        <v>274</v>
      </c>
      <c r="AI257" t="s">
        <v>59</v>
      </c>
      <c r="AL257" t="s">
        <v>1670</v>
      </c>
      <c r="AM257" t="s">
        <v>281</v>
      </c>
      <c r="AN257" s="3">
        <v>46055.330555555556</v>
      </c>
      <c r="AO257" t="s">
        <v>519</v>
      </c>
    </row>
    <row r="258" spans="1:41" x14ac:dyDescent="0.3">
      <c r="A258" t="s">
        <v>168</v>
      </c>
      <c r="B258" t="s">
        <v>336</v>
      </c>
      <c r="D258" t="s">
        <v>268</v>
      </c>
      <c r="E258" s="1">
        <v>46054</v>
      </c>
      <c r="F258" t="s">
        <v>1617</v>
      </c>
      <c r="G258" t="s">
        <v>485</v>
      </c>
      <c r="H258" s="2">
        <v>0.875</v>
      </c>
      <c r="I258" s="2">
        <v>0.3125</v>
      </c>
      <c r="J258" t="s">
        <v>296</v>
      </c>
      <c r="K258" t="s">
        <v>338</v>
      </c>
      <c r="L258" t="s">
        <v>339</v>
      </c>
      <c r="M258" t="s">
        <v>806</v>
      </c>
      <c r="N258" t="s">
        <v>1671</v>
      </c>
      <c r="O258">
        <v>5951069</v>
      </c>
      <c r="P258" t="s">
        <v>338</v>
      </c>
      <c r="Q258" t="s">
        <v>342</v>
      </c>
      <c r="R258" t="s">
        <v>176</v>
      </c>
      <c r="S258" t="s">
        <v>52</v>
      </c>
      <c r="U258">
        <v>888912</v>
      </c>
      <c r="V258" s="3">
        <v>46042.580555555556</v>
      </c>
      <c r="W258" t="s">
        <v>1672</v>
      </c>
      <c r="X258" t="s">
        <v>1673</v>
      </c>
      <c r="Y258" t="str">
        <f>"0402344127"</f>
        <v>0402344127</v>
      </c>
      <c r="Z258" t="s">
        <v>1201</v>
      </c>
      <c r="AB258" t="s">
        <v>346</v>
      </c>
      <c r="AD258" t="s">
        <v>168</v>
      </c>
      <c r="AE258" t="s">
        <v>347</v>
      </c>
      <c r="AF258">
        <v>5042</v>
      </c>
      <c r="AG258" t="s">
        <v>342</v>
      </c>
      <c r="AI258" t="s">
        <v>59</v>
      </c>
      <c r="AL258" t="s">
        <v>1674</v>
      </c>
      <c r="AM258" t="s">
        <v>349</v>
      </c>
      <c r="AN258" s="3">
        <v>46054.9</v>
      </c>
      <c r="AO258" t="s">
        <v>1672</v>
      </c>
    </row>
    <row r="259" spans="1:41" x14ac:dyDescent="0.3">
      <c r="A259" t="s">
        <v>306</v>
      </c>
      <c r="B259" t="s">
        <v>528</v>
      </c>
      <c r="C259" t="s">
        <v>1326</v>
      </c>
      <c r="D259" t="s">
        <v>63</v>
      </c>
      <c r="E259" s="1">
        <v>46054</v>
      </c>
      <c r="F259" t="s">
        <v>1617</v>
      </c>
      <c r="G259" t="s">
        <v>485</v>
      </c>
      <c r="H259" s="2">
        <v>0.89583333333333337</v>
      </c>
      <c r="I259" s="2">
        <v>0.3125</v>
      </c>
      <c r="J259" t="s">
        <v>269</v>
      </c>
      <c r="K259" t="s">
        <v>530</v>
      </c>
      <c r="L259" t="s">
        <v>1675</v>
      </c>
      <c r="M259" t="s">
        <v>1576</v>
      </c>
      <c r="N259" t="s">
        <v>1676</v>
      </c>
      <c r="O259">
        <v>20292</v>
      </c>
      <c r="Q259" t="s">
        <v>1677</v>
      </c>
      <c r="R259" t="s">
        <v>145</v>
      </c>
      <c r="S259" t="s">
        <v>52</v>
      </c>
      <c r="U259">
        <v>888919</v>
      </c>
      <c r="V259" s="3">
        <v>46054.822222222225</v>
      </c>
      <c r="W259" t="s">
        <v>1678</v>
      </c>
      <c r="X259" t="s">
        <v>1679</v>
      </c>
      <c r="Y259" t="str">
        <f>"0490774941"</f>
        <v>0490774941</v>
      </c>
      <c r="Z259" t="s">
        <v>70</v>
      </c>
      <c r="AA259" s="1">
        <v>46054</v>
      </c>
      <c r="AB259" t="s">
        <v>537</v>
      </c>
      <c r="AD259" t="s">
        <v>306</v>
      </c>
      <c r="AE259" t="s">
        <v>538</v>
      </c>
      <c r="AF259">
        <v>3152</v>
      </c>
      <c r="AG259" t="s">
        <v>1680</v>
      </c>
      <c r="AI259" t="s">
        <v>59</v>
      </c>
      <c r="AL259" t="s">
        <v>1681</v>
      </c>
      <c r="AN259" s="3">
        <v>46055.138888888891</v>
      </c>
      <c r="AO259" t="s">
        <v>1678</v>
      </c>
    </row>
    <row r="260" spans="1:41" x14ac:dyDescent="0.3">
      <c r="A260" t="s">
        <v>306</v>
      </c>
      <c r="B260" t="s">
        <v>1682</v>
      </c>
      <c r="C260" t="s">
        <v>1683</v>
      </c>
      <c r="D260" t="s">
        <v>1436</v>
      </c>
      <c r="E260" s="1">
        <v>46054</v>
      </c>
      <c r="F260" t="s">
        <v>1617</v>
      </c>
      <c r="G260" t="s">
        <v>485</v>
      </c>
      <c r="H260" s="2">
        <v>0.89583333333333337</v>
      </c>
      <c r="I260" s="2">
        <v>0.3125</v>
      </c>
      <c r="J260" t="s">
        <v>296</v>
      </c>
      <c r="L260" t="s">
        <v>310</v>
      </c>
      <c r="M260" t="s">
        <v>311</v>
      </c>
      <c r="N260" t="s">
        <v>312</v>
      </c>
      <c r="O260">
        <v>5952174</v>
      </c>
      <c r="Q260" t="s">
        <v>705</v>
      </c>
      <c r="R260" t="s">
        <v>500</v>
      </c>
      <c r="S260" t="s">
        <v>52</v>
      </c>
      <c r="U260">
        <v>888926</v>
      </c>
      <c r="V260" s="3">
        <v>46054.793749999997</v>
      </c>
      <c r="W260" t="s">
        <v>315</v>
      </c>
      <c r="X260" t="s">
        <v>316</v>
      </c>
      <c r="Y260" t="str">
        <f>"0452621529"</f>
        <v>0452621529</v>
      </c>
      <c r="Z260" t="s">
        <v>70</v>
      </c>
      <c r="AA260" s="1">
        <v>46054</v>
      </c>
      <c r="AB260" t="s">
        <v>1684</v>
      </c>
      <c r="AD260" t="s">
        <v>306</v>
      </c>
      <c r="AE260" t="s">
        <v>1520</v>
      </c>
      <c r="AF260">
        <v>3002</v>
      </c>
      <c r="AG260" t="s">
        <v>413</v>
      </c>
      <c r="AI260" t="s">
        <v>59</v>
      </c>
      <c r="AL260" t="s">
        <v>1685</v>
      </c>
      <c r="AN260" s="3">
        <v>46055.326388888891</v>
      </c>
      <c r="AO260" t="s">
        <v>315</v>
      </c>
    </row>
    <row r="261" spans="1:41" x14ac:dyDescent="0.3">
      <c r="A261" t="s">
        <v>306</v>
      </c>
      <c r="B261" t="s">
        <v>1334</v>
      </c>
      <c r="C261" t="s">
        <v>1335</v>
      </c>
      <c r="D261" t="s">
        <v>1336</v>
      </c>
      <c r="E261" s="1">
        <v>46054</v>
      </c>
      <c r="F261" t="s">
        <v>1617</v>
      </c>
      <c r="G261" t="s">
        <v>485</v>
      </c>
      <c r="H261" s="2">
        <v>0.89583333333333337</v>
      </c>
      <c r="I261" s="2">
        <v>0.3125</v>
      </c>
      <c r="J261" t="s">
        <v>296</v>
      </c>
      <c r="L261" t="s">
        <v>1686</v>
      </c>
      <c r="M261" t="s">
        <v>1687</v>
      </c>
      <c r="N261" t="s">
        <v>1688</v>
      </c>
      <c r="O261">
        <v>5952413</v>
      </c>
      <c r="Q261" t="s">
        <v>413</v>
      </c>
      <c r="R261" t="s">
        <v>1248</v>
      </c>
      <c r="S261" t="s">
        <v>52</v>
      </c>
      <c r="U261">
        <v>888925</v>
      </c>
      <c r="V261" s="3">
        <v>46054.418749999997</v>
      </c>
      <c r="W261" t="s">
        <v>1689</v>
      </c>
      <c r="X261" t="s">
        <v>1690</v>
      </c>
      <c r="Y261" t="str">
        <f>"0489235202"</f>
        <v>0489235202</v>
      </c>
      <c r="Z261" t="s">
        <v>70</v>
      </c>
      <c r="AA261" s="1">
        <v>46054</v>
      </c>
      <c r="AB261" t="s">
        <v>1342</v>
      </c>
      <c r="AD261" t="s">
        <v>306</v>
      </c>
      <c r="AE261" t="s">
        <v>1343</v>
      </c>
      <c r="AF261">
        <v>3144</v>
      </c>
      <c r="AG261" t="s">
        <v>413</v>
      </c>
      <c r="AI261" t="s">
        <v>59</v>
      </c>
      <c r="AL261" t="s">
        <v>1691</v>
      </c>
      <c r="AN261" s="3">
        <v>46055.321527777778</v>
      </c>
      <c r="AO261" t="s">
        <v>1689</v>
      </c>
    </row>
    <row r="262" spans="1:41" x14ac:dyDescent="0.3">
      <c r="A262" t="s">
        <v>168</v>
      </c>
      <c r="B262" t="s">
        <v>607</v>
      </c>
      <c r="C262" t="s">
        <v>267</v>
      </c>
      <c r="D262" t="s">
        <v>268</v>
      </c>
      <c r="E262" s="1">
        <v>46054</v>
      </c>
      <c r="F262" t="s">
        <v>1617</v>
      </c>
      <c r="G262" t="s">
        <v>1692</v>
      </c>
      <c r="H262" s="2">
        <v>0.91666666666666663</v>
      </c>
      <c r="I262" s="2">
        <v>0.35416666666666669</v>
      </c>
      <c r="J262" t="s">
        <v>269</v>
      </c>
      <c r="L262" t="s">
        <v>172</v>
      </c>
      <c r="M262" t="s">
        <v>610</v>
      </c>
      <c r="N262" t="s">
        <v>611</v>
      </c>
      <c r="O262">
        <v>5952121</v>
      </c>
      <c r="P262" t="s">
        <v>249</v>
      </c>
      <c r="R262" t="s">
        <v>759</v>
      </c>
      <c r="S262" t="s">
        <v>119</v>
      </c>
      <c r="T262" t="s">
        <v>760</v>
      </c>
      <c r="U262" t="s">
        <v>1693</v>
      </c>
      <c r="V262" s="3">
        <v>46062.445833333331</v>
      </c>
      <c r="W262" t="s">
        <v>613</v>
      </c>
      <c r="X262" t="s">
        <v>614</v>
      </c>
      <c r="Y262" t="str">
        <f>"0412297150"</f>
        <v>0412297150</v>
      </c>
      <c r="Z262" t="s">
        <v>70</v>
      </c>
      <c r="AB262" t="s">
        <v>615</v>
      </c>
      <c r="AC262" t="s">
        <v>616</v>
      </c>
      <c r="AD262" t="s">
        <v>168</v>
      </c>
      <c r="AE262" t="s">
        <v>617</v>
      </c>
      <c r="AF262">
        <v>5290</v>
      </c>
      <c r="AI262" t="s">
        <v>59</v>
      </c>
      <c r="AM262" t="s">
        <v>1694</v>
      </c>
      <c r="AN262" s="3">
        <v>46062.445833333331</v>
      </c>
      <c r="AO262" t="s">
        <v>759</v>
      </c>
    </row>
    <row r="263" spans="1:41" x14ac:dyDescent="0.3">
      <c r="A263" t="s">
        <v>168</v>
      </c>
      <c r="B263" t="s">
        <v>607</v>
      </c>
      <c r="C263" t="s">
        <v>267</v>
      </c>
      <c r="D263" t="s">
        <v>268</v>
      </c>
      <c r="E263" s="1">
        <v>46054</v>
      </c>
      <c r="F263" t="s">
        <v>1617</v>
      </c>
      <c r="G263" t="s">
        <v>1692</v>
      </c>
      <c r="H263" s="2">
        <v>0.91666666666666663</v>
      </c>
      <c r="I263" s="2">
        <v>0.35416666666666669</v>
      </c>
      <c r="J263" t="s">
        <v>269</v>
      </c>
      <c r="L263" t="s">
        <v>172</v>
      </c>
      <c r="M263" t="s">
        <v>610</v>
      </c>
      <c r="N263" t="s">
        <v>611</v>
      </c>
      <c r="O263">
        <v>5952121</v>
      </c>
      <c r="P263" t="s">
        <v>249</v>
      </c>
      <c r="R263" t="s">
        <v>759</v>
      </c>
      <c r="S263" t="s">
        <v>119</v>
      </c>
      <c r="T263" t="s">
        <v>760</v>
      </c>
      <c r="U263" t="s">
        <v>1695</v>
      </c>
      <c r="V263" s="3">
        <v>46062.446527777778</v>
      </c>
      <c r="W263" t="s">
        <v>613</v>
      </c>
      <c r="X263" t="s">
        <v>614</v>
      </c>
      <c r="Y263" t="str">
        <f>"0412297150"</f>
        <v>0412297150</v>
      </c>
      <c r="Z263" t="s">
        <v>70</v>
      </c>
      <c r="AB263" t="s">
        <v>615</v>
      </c>
      <c r="AC263" t="s">
        <v>616</v>
      </c>
      <c r="AD263" t="s">
        <v>168</v>
      </c>
      <c r="AE263" t="s">
        <v>617</v>
      </c>
      <c r="AF263">
        <v>5290</v>
      </c>
      <c r="AI263" t="s">
        <v>59</v>
      </c>
      <c r="AM263" t="s">
        <v>1694</v>
      </c>
      <c r="AN263" s="3">
        <v>46062.446527777778</v>
      </c>
      <c r="AO263" t="s">
        <v>759</v>
      </c>
    </row>
    <row r="264" spans="1:41" x14ac:dyDescent="0.3">
      <c r="A264" t="s">
        <v>168</v>
      </c>
      <c r="B264" t="s">
        <v>607</v>
      </c>
      <c r="C264" t="s">
        <v>267</v>
      </c>
      <c r="D264" t="s">
        <v>268</v>
      </c>
      <c r="E264" s="1">
        <v>46054</v>
      </c>
      <c r="F264" t="s">
        <v>1617</v>
      </c>
      <c r="G264" t="s">
        <v>45</v>
      </c>
      <c r="H264" s="2">
        <v>0.91666666666666663</v>
      </c>
      <c r="I264" s="2">
        <v>0.35416666666666669</v>
      </c>
      <c r="J264" t="s">
        <v>269</v>
      </c>
      <c r="K264" t="s">
        <v>608</v>
      </c>
      <c r="L264" t="s">
        <v>609</v>
      </c>
      <c r="M264" t="s">
        <v>610</v>
      </c>
      <c r="N264" t="s">
        <v>611</v>
      </c>
      <c r="O264">
        <v>5952121</v>
      </c>
      <c r="P264" t="s">
        <v>249</v>
      </c>
      <c r="Q264" t="s">
        <v>612</v>
      </c>
      <c r="R264" t="s">
        <v>613</v>
      </c>
      <c r="S264" t="s">
        <v>52</v>
      </c>
      <c r="T264" t="s">
        <v>252</v>
      </c>
      <c r="U264">
        <v>888941</v>
      </c>
      <c r="V264" s="3">
        <v>46055.4</v>
      </c>
      <c r="W264" t="s">
        <v>613</v>
      </c>
      <c r="X264" t="s">
        <v>614</v>
      </c>
      <c r="Y264" t="str">
        <f>"0412297150"</f>
        <v>0412297150</v>
      </c>
      <c r="Z264" t="s">
        <v>234</v>
      </c>
      <c r="AA264" s="1">
        <v>46077</v>
      </c>
      <c r="AB264" t="s">
        <v>615</v>
      </c>
      <c r="AC264" t="s">
        <v>616</v>
      </c>
      <c r="AD264" t="s">
        <v>168</v>
      </c>
      <c r="AE264" t="s">
        <v>617</v>
      </c>
      <c r="AF264">
        <v>5290</v>
      </c>
      <c r="AG264" t="s">
        <v>618</v>
      </c>
      <c r="AI264" t="s">
        <v>59</v>
      </c>
      <c r="AJ264" t="str">
        <f>"0020171780"</f>
        <v>0020171780</v>
      </c>
      <c r="AM264" t="s">
        <v>1696</v>
      </c>
      <c r="AN264" s="3">
        <v>46055.4</v>
      </c>
      <c r="AO264" t="s">
        <v>613</v>
      </c>
    </row>
    <row r="265" spans="1:41" x14ac:dyDescent="0.3">
      <c r="A265" t="s">
        <v>41</v>
      </c>
      <c r="B265" t="s">
        <v>1697</v>
      </c>
      <c r="C265" t="s">
        <v>296</v>
      </c>
      <c r="D265" t="s">
        <v>246</v>
      </c>
      <c r="E265" s="1">
        <v>46054</v>
      </c>
      <c r="F265" t="s">
        <v>1617</v>
      </c>
      <c r="G265" t="s">
        <v>485</v>
      </c>
      <c r="H265" s="2">
        <v>0.94791666666666663</v>
      </c>
      <c r="I265" s="2">
        <v>0.30208333333333331</v>
      </c>
      <c r="J265" t="s">
        <v>296</v>
      </c>
      <c r="L265" t="s">
        <v>1698</v>
      </c>
      <c r="M265" t="s">
        <v>1645</v>
      </c>
      <c r="N265" t="s">
        <v>1699</v>
      </c>
      <c r="O265">
        <v>5952411</v>
      </c>
      <c r="Q265" t="s">
        <v>1645</v>
      </c>
      <c r="R265" t="s">
        <v>1248</v>
      </c>
      <c r="S265" t="s">
        <v>52</v>
      </c>
      <c r="U265">
        <v>888928</v>
      </c>
      <c r="V265" s="3">
        <v>46054.488888888889</v>
      </c>
      <c r="W265" t="s">
        <v>1700</v>
      </c>
      <c r="X265" t="s">
        <v>1701</v>
      </c>
      <c r="Y265" t="str">
        <f>"0415598114"</f>
        <v>0415598114</v>
      </c>
      <c r="Z265" t="s">
        <v>70</v>
      </c>
      <c r="AA265" s="1">
        <v>46054</v>
      </c>
      <c r="AB265" t="s">
        <v>1702</v>
      </c>
      <c r="AD265" t="s">
        <v>41</v>
      </c>
      <c r="AE265" t="s">
        <v>1703</v>
      </c>
      <c r="AF265">
        <v>4032</v>
      </c>
      <c r="AG265" t="s">
        <v>1704</v>
      </c>
      <c r="AI265" t="s">
        <v>59</v>
      </c>
      <c r="AL265" t="s">
        <v>370</v>
      </c>
      <c r="AN265" s="3">
        <v>46055.348611111112</v>
      </c>
      <c r="AO265" t="s">
        <v>1700</v>
      </c>
    </row>
    <row r="266" spans="1:41" x14ac:dyDescent="0.3">
      <c r="A266" t="s">
        <v>41</v>
      </c>
      <c r="B266" t="s">
        <v>589</v>
      </c>
      <c r="C266" t="s">
        <v>590</v>
      </c>
      <c r="D266" t="s">
        <v>246</v>
      </c>
      <c r="E266" s="1">
        <v>46054</v>
      </c>
      <c r="F266" t="s">
        <v>1617</v>
      </c>
      <c r="G266" t="s">
        <v>485</v>
      </c>
      <c r="H266" s="2">
        <v>0.94791666666666663</v>
      </c>
      <c r="I266" s="2">
        <v>0.30208333333333331</v>
      </c>
      <c r="J266" t="s">
        <v>591</v>
      </c>
      <c r="L266" t="s">
        <v>592</v>
      </c>
      <c r="M266" t="s">
        <v>593</v>
      </c>
      <c r="N266" t="s">
        <v>594</v>
      </c>
      <c r="O266">
        <v>5952427</v>
      </c>
      <c r="P266" t="s">
        <v>249</v>
      </c>
      <c r="Q266" t="s">
        <v>596</v>
      </c>
      <c r="R266" t="s">
        <v>392</v>
      </c>
      <c r="S266" t="s">
        <v>52</v>
      </c>
      <c r="T266" t="s">
        <v>252</v>
      </c>
      <c r="U266">
        <v>888935</v>
      </c>
      <c r="V266" s="3">
        <v>46055.37777777778</v>
      </c>
      <c r="W266" t="s">
        <v>597</v>
      </c>
      <c r="X266" t="s">
        <v>598</v>
      </c>
      <c r="Y266" t="str">
        <f>"0432677728"</f>
        <v>0432677728</v>
      </c>
      <c r="Z266" t="s">
        <v>234</v>
      </c>
      <c r="AA266" s="1">
        <v>46054</v>
      </c>
      <c r="AB266" t="s">
        <v>599</v>
      </c>
      <c r="AC266" t="s">
        <v>600</v>
      </c>
      <c r="AD266" t="s">
        <v>41</v>
      </c>
      <c r="AE266" t="s">
        <v>600</v>
      </c>
      <c r="AF266">
        <v>4610</v>
      </c>
      <c r="AG266" t="s">
        <v>601</v>
      </c>
      <c r="AI266" t="s">
        <v>59</v>
      </c>
      <c r="AJ266" t="str">
        <f>"0050075752"</f>
        <v>0050075752</v>
      </c>
      <c r="AN266" s="3">
        <v>46055.37777777778</v>
      </c>
      <c r="AO266" t="s">
        <v>392</v>
      </c>
    </row>
    <row r="267" spans="1:41" x14ac:dyDescent="0.3">
      <c r="A267" t="s">
        <v>306</v>
      </c>
      <c r="B267" t="s">
        <v>386</v>
      </c>
      <c r="C267" t="s">
        <v>387</v>
      </c>
      <c r="D267" t="s">
        <v>388</v>
      </c>
      <c r="E267" s="1">
        <v>46055</v>
      </c>
      <c r="F267" t="s">
        <v>569</v>
      </c>
      <c r="G267" t="s">
        <v>45</v>
      </c>
      <c r="H267" s="2">
        <v>0.25</v>
      </c>
      <c r="I267" s="2">
        <v>0.25069444444444444</v>
      </c>
      <c r="J267" t="s">
        <v>389</v>
      </c>
      <c r="L267" t="s">
        <v>298</v>
      </c>
      <c r="M267" t="s">
        <v>195</v>
      </c>
      <c r="N267" t="s">
        <v>390</v>
      </c>
      <c r="O267">
        <v>5951661</v>
      </c>
      <c r="P267" t="s">
        <v>249</v>
      </c>
      <c r="Q267" t="s">
        <v>391</v>
      </c>
      <c r="R267" t="s">
        <v>392</v>
      </c>
      <c r="S267" t="s">
        <v>52</v>
      </c>
      <c r="T267" t="s">
        <v>252</v>
      </c>
      <c r="U267">
        <v>889774</v>
      </c>
      <c r="V267" s="3">
        <v>46062.474999999999</v>
      </c>
      <c r="W267" t="s">
        <v>393</v>
      </c>
      <c r="X267" t="s">
        <v>394</v>
      </c>
      <c r="Y267" t="str">
        <f>"0427371732"</f>
        <v>0427371732</v>
      </c>
      <c r="Z267" t="s">
        <v>70</v>
      </c>
      <c r="AA267" s="1">
        <v>46141</v>
      </c>
      <c r="AB267" t="s">
        <v>396</v>
      </c>
      <c r="AD267" t="s">
        <v>397</v>
      </c>
      <c r="AE267" t="s">
        <v>398</v>
      </c>
      <c r="AF267">
        <v>7919</v>
      </c>
      <c r="AG267" t="s">
        <v>399</v>
      </c>
      <c r="AI267" t="s">
        <v>59</v>
      </c>
      <c r="AJ267" t="str">
        <f>"0090000067"</f>
        <v>0090000067</v>
      </c>
      <c r="AN267" s="3">
        <v>46062.474999999999</v>
      </c>
      <c r="AO267" t="s">
        <v>392</v>
      </c>
    </row>
    <row r="268" spans="1:41" x14ac:dyDescent="0.3">
      <c r="A268" t="s">
        <v>306</v>
      </c>
      <c r="B268" t="s">
        <v>386</v>
      </c>
      <c r="C268" t="s">
        <v>387</v>
      </c>
      <c r="D268" t="s">
        <v>388</v>
      </c>
      <c r="E268" s="1">
        <v>46055</v>
      </c>
      <c r="F268" t="s">
        <v>569</v>
      </c>
      <c r="G268" t="s">
        <v>45</v>
      </c>
      <c r="H268" s="2">
        <v>0.25</v>
      </c>
      <c r="I268" s="2">
        <v>0.25069444444444444</v>
      </c>
      <c r="J268" t="s">
        <v>389</v>
      </c>
      <c r="L268" t="s">
        <v>298</v>
      </c>
      <c r="M268" t="s">
        <v>195</v>
      </c>
      <c r="N268" t="s">
        <v>390</v>
      </c>
      <c r="O268">
        <v>5951661</v>
      </c>
      <c r="P268" t="s">
        <v>249</v>
      </c>
      <c r="Q268" t="s">
        <v>391</v>
      </c>
      <c r="R268" t="s">
        <v>392</v>
      </c>
      <c r="S268" t="s">
        <v>52</v>
      </c>
      <c r="T268" t="s">
        <v>252</v>
      </c>
      <c r="U268">
        <v>890001</v>
      </c>
      <c r="V268" s="3">
        <v>46063.619444444441</v>
      </c>
      <c r="W268" t="s">
        <v>393</v>
      </c>
      <c r="X268" t="s">
        <v>394</v>
      </c>
      <c r="Y268" t="str">
        <f>"0427371732"</f>
        <v>0427371732</v>
      </c>
      <c r="Z268" t="s">
        <v>70</v>
      </c>
      <c r="AA268" s="1">
        <v>46141</v>
      </c>
      <c r="AB268" t="s">
        <v>396</v>
      </c>
      <c r="AD268" t="s">
        <v>397</v>
      </c>
      <c r="AE268" t="s">
        <v>398</v>
      </c>
      <c r="AF268">
        <v>7919</v>
      </c>
      <c r="AG268" t="s">
        <v>399</v>
      </c>
      <c r="AI268" t="s">
        <v>59</v>
      </c>
      <c r="AJ268" t="str">
        <f>"0090000067"</f>
        <v>0090000067</v>
      </c>
      <c r="AN268" s="3">
        <v>46063.619444444441</v>
      </c>
      <c r="AO268" t="s">
        <v>392</v>
      </c>
    </row>
    <row r="269" spans="1:41" x14ac:dyDescent="0.3">
      <c r="A269" t="s">
        <v>41</v>
      </c>
      <c r="B269" t="s">
        <v>1705</v>
      </c>
      <c r="C269" t="s">
        <v>43</v>
      </c>
      <c r="D269" t="s">
        <v>1706</v>
      </c>
      <c r="E269" s="1">
        <v>46055</v>
      </c>
      <c r="F269" t="s">
        <v>569</v>
      </c>
      <c r="G269" t="s">
        <v>45</v>
      </c>
      <c r="H269" s="2">
        <v>0.27083333333333331</v>
      </c>
      <c r="I269" s="2">
        <v>0.52083333333333337</v>
      </c>
      <c r="J269" t="s">
        <v>46</v>
      </c>
      <c r="L269" t="s">
        <v>298</v>
      </c>
      <c r="M269" t="s">
        <v>1578</v>
      </c>
      <c r="N269" t="s">
        <v>1579</v>
      </c>
      <c r="O269">
        <v>5952061</v>
      </c>
      <c r="Q269" t="s">
        <v>1707</v>
      </c>
      <c r="R269" t="s">
        <v>51</v>
      </c>
      <c r="S269" t="s">
        <v>52</v>
      </c>
      <c r="U269">
        <v>888964</v>
      </c>
      <c r="V269" s="3">
        <v>46052.540972222225</v>
      </c>
      <c r="W269" t="s">
        <v>1581</v>
      </c>
      <c r="X269" t="s">
        <v>1582</v>
      </c>
      <c r="Y269" t="str">
        <f>"0401803081"</f>
        <v>0401803081</v>
      </c>
      <c r="Z269" t="s">
        <v>123</v>
      </c>
      <c r="AB269" t="s">
        <v>1708</v>
      </c>
      <c r="AC269" t="s">
        <v>1562</v>
      </c>
      <c r="AD269" t="s">
        <v>41</v>
      </c>
      <c r="AE269" t="s">
        <v>1563</v>
      </c>
      <c r="AF269">
        <v>4109</v>
      </c>
      <c r="AG269" t="s">
        <v>1707</v>
      </c>
      <c r="AI269" t="s">
        <v>59</v>
      </c>
      <c r="AL269" t="s">
        <v>87</v>
      </c>
      <c r="AN269" s="3">
        <v>46055.570833333331</v>
      </c>
      <c r="AO269" t="s">
        <v>1581</v>
      </c>
    </row>
    <row r="270" spans="1:41" x14ac:dyDescent="0.3">
      <c r="A270" t="s">
        <v>168</v>
      </c>
      <c r="B270" t="s">
        <v>282</v>
      </c>
      <c r="C270" t="s">
        <v>43</v>
      </c>
      <c r="D270" t="s">
        <v>283</v>
      </c>
      <c r="E270" s="1">
        <v>46055</v>
      </c>
      <c r="F270" t="s">
        <v>569</v>
      </c>
      <c r="G270" t="s">
        <v>45</v>
      </c>
      <c r="H270" s="2">
        <v>0.27083333333333331</v>
      </c>
      <c r="I270" s="2">
        <v>0.47916666666666669</v>
      </c>
      <c r="J270" t="s">
        <v>185</v>
      </c>
      <c r="K270" t="s">
        <v>327</v>
      </c>
      <c r="L270" t="s">
        <v>186</v>
      </c>
      <c r="M270" t="s">
        <v>835</v>
      </c>
      <c r="N270" t="s">
        <v>836</v>
      </c>
      <c r="O270">
        <v>22947</v>
      </c>
      <c r="Q270" t="s">
        <v>294</v>
      </c>
      <c r="R270" t="s">
        <v>1248</v>
      </c>
      <c r="S270" t="s">
        <v>52</v>
      </c>
      <c r="U270">
        <v>888943</v>
      </c>
      <c r="V270" s="3">
        <v>46051.739583333336</v>
      </c>
      <c r="W270" t="s">
        <v>837</v>
      </c>
      <c r="X270" t="s">
        <v>838</v>
      </c>
      <c r="Y270" t="str">
        <f>"0415626656"</f>
        <v>0415626656</v>
      </c>
      <c r="Z270" t="s">
        <v>70</v>
      </c>
      <c r="AA270" s="1">
        <v>46055</v>
      </c>
      <c r="AB270" t="s">
        <v>291</v>
      </c>
      <c r="AC270" t="s">
        <v>292</v>
      </c>
      <c r="AD270" t="s">
        <v>168</v>
      </c>
      <c r="AE270" t="s">
        <v>293</v>
      </c>
      <c r="AF270">
        <v>5037</v>
      </c>
      <c r="AG270" t="s">
        <v>294</v>
      </c>
      <c r="AI270" t="s">
        <v>59</v>
      </c>
      <c r="AL270" t="s">
        <v>1709</v>
      </c>
      <c r="AN270" s="3">
        <v>46055.450694444444</v>
      </c>
      <c r="AO270" t="s">
        <v>837</v>
      </c>
    </row>
    <row r="271" spans="1:41" x14ac:dyDescent="0.3">
      <c r="A271" t="s">
        <v>61</v>
      </c>
      <c r="B271" t="s">
        <v>753</v>
      </c>
      <c r="C271" t="s">
        <v>216</v>
      </c>
      <c r="D271" t="s">
        <v>754</v>
      </c>
      <c r="E271" s="1">
        <v>46055</v>
      </c>
      <c r="F271" t="s">
        <v>569</v>
      </c>
      <c r="G271" t="s">
        <v>45</v>
      </c>
      <c r="H271" s="2">
        <v>0.27083333333333331</v>
      </c>
      <c r="I271" s="2">
        <v>0.98958333333333337</v>
      </c>
      <c r="J271" t="s">
        <v>101</v>
      </c>
      <c r="L271" t="s">
        <v>159</v>
      </c>
      <c r="M271" t="s">
        <v>994</v>
      </c>
      <c r="N271" t="s">
        <v>995</v>
      </c>
      <c r="O271">
        <v>5951207</v>
      </c>
      <c r="Q271" t="s">
        <v>1710</v>
      </c>
      <c r="R271" t="s">
        <v>67</v>
      </c>
      <c r="S271" t="s">
        <v>52</v>
      </c>
      <c r="U271">
        <v>889088</v>
      </c>
      <c r="V271" s="3">
        <v>46051.604166666664</v>
      </c>
      <c r="W271" t="s">
        <v>997</v>
      </c>
      <c r="X271" t="s">
        <v>998</v>
      </c>
      <c r="Y271" t="str">
        <f>"0428557393"</f>
        <v>0428557393</v>
      </c>
      <c r="Z271" t="s">
        <v>1711</v>
      </c>
      <c r="AB271" t="s">
        <v>764</v>
      </c>
      <c r="AD271" t="s">
        <v>61</v>
      </c>
      <c r="AE271" t="s">
        <v>765</v>
      </c>
      <c r="AF271">
        <v>2220</v>
      </c>
      <c r="AG271" t="s">
        <v>1710</v>
      </c>
      <c r="AI271" t="s">
        <v>59</v>
      </c>
      <c r="AL271" t="s">
        <v>1649</v>
      </c>
      <c r="AN271" s="3">
        <v>46055.847916666666</v>
      </c>
      <c r="AO271" t="s">
        <v>997</v>
      </c>
    </row>
    <row r="272" spans="1:41" x14ac:dyDescent="0.3">
      <c r="A272" t="s">
        <v>41</v>
      </c>
      <c r="B272" t="s">
        <v>632</v>
      </c>
      <c r="D272" t="s">
        <v>246</v>
      </c>
      <c r="E272" s="1">
        <v>46055</v>
      </c>
      <c r="F272" t="s">
        <v>569</v>
      </c>
      <c r="G272" t="s">
        <v>45</v>
      </c>
      <c r="H272" s="2">
        <v>0.27083333333333331</v>
      </c>
      <c r="I272" s="2">
        <v>0.625</v>
      </c>
      <c r="J272" t="s">
        <v>296</v>
      </c>
      <c r="K272" t="s">
        <v>427</v>
      </c>
      <c r="L272" t="s">
        <v>298</v>
      </c>
      <c r="M272" t="s">
        <v>1401</v>
      </c>
      <c r="N272" t="s">
        <v>1402</v>
      </c>
      <c r="O272">
        <v>5952070</v>
      </c>
      <c r="Q272" t="s">
        <v>1712</v>
      </c>
      <c r="R272" t="s">
        <v>145</v>
      </c>
      <c r="S272" t="s">
        <v>52</v>
      </c>
      <c r="U272">
        <v>889003</v>
      </c>
      <c r="V272" s="3">
        <v>46025.954861111109</v>
      </c>
      <c r="W272" t="s">
        <v>1404</v>
      </c>
      <c r="X272" t="s">
        <v>1405</v>
      </c>
      <c r="Y272" t="str">
        <f>"0474506417"</f>
        <v>0474506417</v>
      </c>
      <c r="Z272" t="s">
        <v>1713</v>
      </c>
      <c r="AB272" t="s">
        <v>640</v>
      </c>
      <c r="AD272" t="s">
        <v>41</v>
      </c>
      <c r="AE272" t="s">
        <v>641</v>
      </c>
      <c r="AF272">
        <v>4305</v>
      </c>
      <c r="AG272" t="s">
        <v>642</v>
      </c>
      <c r="AI272" t="s">
        <v>59</v>
      </c>
      <c r="AL272" t="s">
        <v>1714</v>
      </c>
      <c r="AM272" t="s">
        <v>644</v>
      </c>
      <c r="AN272" s="3">
        <v>46055.665972222225</v>
      </c>
      <c r="AO272" t="s">
        <v>1404</v>
      </c>
    </row>
    <row r="273" spans="1:41" x14ac:dyDescent="0.3">
      <c r="A273" t="s">
        <v>168</v>
      </c>
      <c r="B273" t="s">
        <v>441</v>
      </c>
      <c r="C273" t="s">
        <v>43</v>
      </c>
      <c r="E273" s="1">
        <v>46055</v>
      </c>
      <c r="F273" t="s">
        <v>569</v>
      </c>
      <c r="G273" t="s">
        <v>45</v>
      </c>
      <c r="H273" s="2">
        <v>0.29166666666666669</v>
      </c>
      <c r="I273" s="2">
        <v>0.5</v>
      </c>
      <c r="J273" t="s">
        <v>185</v>
      </c>
      <c r="K273" t="s">
        <v>678</v>
      </c>
      <c r="L273" t="s">
        <v>186</v>
      </c>
      <c r="M273" t="s">
        <v>1715</v>
      </c>
      <c r="N273" t="s">
        <v>1716</v>
      </c>
      <c r="O273">
        <v>5952401</v>
      </c>
      <c r="Q273" t="s">
        <v>944</v>
      </c>
      <c r="R273" t="s">
        <v>500</v>
      </c>
      <c r="S273" t="s">
        <v>52</v>
      </c>
      <c r="U273">
        <v>888956</v>
      </c>
      <c r="V273" s="3">
        <v>46050.959027777775</v>
      </c>
      <c r="W273" t="s">
        <v>1717</v>
      </c>
      <c r="X273" t="s">
        <v>1718</v>
      </c>
      <c r="Y273" t="str">
        <f>"0498043204"</f>
        <v>0498043204</v>
      </c>
      <c r="Z273" t="s">
        <v>1719</v>
      </c>
      <c r="AB273" t="s">
        <v>448</v>
      </c>
      <c r="AD273" t="s">
        <v>168</v>
      </c>
      <c r="AE273" t="s">
        <v>180</v>
      </c>
      <c r="AF273">
        <v>5063</v>
      </c>
      <c r="AG273" t="s">
        <v>944</v>
      </c>
      <c r="AI273" t="s">
        <v>59</v>
      </c>
      <c r="AL273" t="s">
        <v>1720</v>
      </c>
      <c r="AN273" s="3">
        <v>46055.521527777775</v>
      </c>
      <c r="AO273" t="s">
        <v>1717</v>
      </c>
    </row>
    <row r="274" spans="1:41" x14ac:dyDescent="0.3">
      <c r="A274" t="s">
        <v>168</v>
      </c>
      <c r="B274" t="s">
        <v>376</v>
      </c>
      <c r="C274" t="s">
        <v>43</v>
      </c>
      <c r="D274" t="s">
        <v>127</v>
      </c>
      <c r="E274" s="1">
        <v>46055</v>
      </c>
      <c r="F274" t="s">
        <v>569</v>
      </c>
      <c r="G274" t="s">
        <v>45</v>
      </c>
      <c r="H274" s="2">
        <v>0.29166666666666669</v>
      </c>
      <c r="I274" s="2">
        <v>0.5</v>
      </c>
      <c r="J274" t="s">
        <v>185</v>
      </c>
      <c r="L274" t="s">
        <v>186</v>
      </c>
      <c r="M274" t="s">
        <v>668</v>
      </c>
      <c r="N274" t="s">
        <v>669</v>
      </c>
      <c r="O274">
        <v>5952440</v>
      </c>
      <c r="Q274" t="s">
        <v>670</v>
      </c>
      <c r="R274" t="s">
        <v>231</v>
      </c>
      <c r="S274" t="s">
        <v>52</v>
      </c>
      <c r="U274">
        <v>888950</v>
      </c>
      <c r="V274" s="3">
        <v>46008.594444444447</v>
      </c>
      <c r="W274" t="s">
        <v>671</v>
      </c>
      <c r="X274" t="s">
        <v>672</v>
      </c>
      <c r="Y274" t="str">
        <f>"0431563005"</f>
        <v>0431563005</v>
      </c>
      <c r="Z274" t="s">
        <v>1225</v>
      </c>
      <c r="AB274" t="s">
        <v>383</v>
      </c>
      <c r="AD274" t="s">
        <v>168</v>
      </c>
      <c r="AE274" t="s">
        <v>384</v>
      </c>
      <c r="AF274">
        <v>5000</v>
      </c>
      <c r="AG274" t="s">
        <v>674</v>
      </c>
      <c r="AI274" t="s">
        <v>59</v>
      </c>
      <c r="AL274" t="s">
        <v>385</v>
      </c>
      <c r="AN274" s="3">
        <v>46055.51666666667</v>
      </c>
      <c r="AO274" t="s">
        <v>671</v>
      </c>
    </row>
    <row r="275" spans="1:41" x14ac:dyDescent="0.3">
      <c r="A275" t="s">
        <v>168</v>
      </c>
      <c r="B275" t="s">
        <v>225</v>
      </c>
      <c r="C275" t="s">
        <v>226</v>
      </c>
      <c r="D275" t="s">
        <v>227</v>
      </c>
      <c r="E275" s="1">
        <v>46055</v>
      </c>
      <c r="F275" t="s">
        <v>569</v>
      </c>
      <c r="G275" t="s">
        <v>45</v>
      </c>
      <c r="H275" s="2">
        <v>0.29166666666666669</v>
      </c>
      <c r="I275" s="2">
        <v>0.54166666666666663</v>
      </c>
      <c r="J275" t="s">
        <v>101</v>
      </c>
      <c r="K275" t="s">
        <v>1022</v>
      </c>
      <c r="L275" t="s">
        <v>159</v>
      </c>
      <c r="M275" t="s">
        <v>1418</v>
      </c>
      <c r="N275" t="s">
        <v>1419</v>
      </c>
      <c r="O275">
        <v>52</v>
      </c>
      <c r="Q275" t="s">
        <v>1721</v>
      </c>
      <c r="R275" t="s">
        <v>1722</v>
      </c>
      <c r="S275" t="s">
        <v>52</v>
      </c>
      <c r="U275">
        <v>888957</v>
      </c>
      <c r="V275" s="3">
        <v>46007.73541666667</v>
      </c>
      <c r="W275" t="s">
        <v>1420</v>
      </c>
      <c r="X275" t="s">
        <v>1421</v>
      </c>
      <c r="Y275" t="str">
        <f>"0417838903"</f>
        <v>0417838903</v>
      </c>
      <c r="Z275" t="s">
        <v>585</v>
      </c>
      <c r="AB275" t="s">
        <v>235</v>
      </c>
      <c r="AD275" t="s">
        <v>168</v>
      </c>
      <c r="AE275" t="s">
        <v>236</v>
      </c>
      <c r="AF275">
        <v>5087</v>
      </c>
      <c r="AI275" t="s">
        <v>59</v>
      </c>
      <c r="AL275" t="s">
        <v>1723</v>
      </c>
      <c r="AM275" t="s">
        <v>1724</v>
      </c>
      <c r="AN275" s="3">
        <v>46055.527083333334</v>
      </c>
      <c r="AO275" t="s">
        <v>1420</v>
      </c>
    </row>
    <row r="276" spans="1:41" x14ac:dyDescent="0.3">
      <c r="A276" t="s">
        <v>168</v>
      </c>
      <c r="B276" t="s">
        <v>376</v>
      </c>
      <c r="C276" t="s">
        <v>43</v>
      </c>
      <c r="D276" t="s">
        <v>127</v>
      </c>
      <c r="E276" s="1">
        <v>46055</v>
      </c>
      <c r="F276" t="s">
        <v>569</v>
      </c>
      <c r="G276" t="s">
        <v>45</v>
      </c>
      <c r="H276" s="2">
        <v>0.29166666666666669</v>
      </c>
      <c r="I276" s="2">
        <v>0.54166666666666663</v>
      </c>
      <c r="J276" t="s">
        <v>185</v>
      </c>
      <c r="L276" t="s">
        <v>186</v>
      </c>
      <c r="M276" t="s">
        <v>285</v>
      </c>
      <c r="N276" t="s">
        <v>286</v>
      </c>
      <c r="O276">
        <v>5951416</v>
      </c>
      <c r="Q276" t="s">
        <v>1725</v>
      </c>
      <c r="R276" t="s">
        <v>231</v>
      </c>
      <c r="S276" t="s">
        <v>52</v>
      </c>
      <c r="U276">
        <v>889009</v>
      </c>
      <c r="V276" s="3">
        <v>46008.594444444447</v>
      </c>
      <c r="W276" t="s">
        <v>288</v>
      </c>
      <c r="X276" t="s">
        <v>289</v>
      </c>
      <c r="Y276" t="str">
        <f>"0423562542"</f>
        <v>0423562542</v>
      </c>
      <c r="Z276" t="s">
        <v>1324</v>
      </c>
      <c r="AB276" t="s">
        <v>383</v>
      </c>
      <c r="AD276" t="s">
        <v>168</v>
      </c>
      <c r="AE276" t="s">
        <v>384</v>
      </c>
      <c r="AF276">
        <v>5000</v>
      </c>
      <c r="AG276" t="s">
        <v>674</v>
      </c>
      <c r="AI276" t="s">
        <v>59</v>
      </c>
      <c r="AL276" t="s">
        <v>1726</v>
      </c>
      <c r="AN276" s="3">
        <v>46055.730555555558</v>
      </c>
      <c r="AO276" t="s">
        <v>288</v>
      </c>
    </row>
    <row r="277" spans="1:41" x14ac:dyDescent="0.3">
      <c r="A277" t="s">
        <v>41</v>
      </c>
      <c r="B277" t="s">
        <v>568</v>
      </c>
      <c r="D277" t="s">
        <v>246</v>
      </c>
      <c r="E277" s="1">
        <v>46055</v>
      </c>
      <c r="F277" t="s">
        <v>569</v>
      </c>
      <c r="G277" t="s">
        <v>45</v>
      </c>
      <c r="H277" s="2">
        <v>0.29166666666666669</v>
      </c>
      <c r="I277" s="2">
        <v>0.64583333333333337</v>
      </c>
      <c r="J277" t="s">
        <v>269</v>
      </c>
      <c r="L277" t="s">
        <v>172</v>
      </c>
      <c r="M277" t="s">
        <v>311</v>
      </c>
      <c r="N277" t="s">
        <v>570</v>
      </c>
      <c r="O277">
        <v>5951685</v>
      </c>
      <c r="P277" t="s">
        <v>571</v>
      </c>
      <c r="Q277" t="s">
        <v>572</v>
      </c>
      <c r="R277" t="s">
        <v>573</v>
      </c>
      <c r="S277" t="s">
        <v>52</v>
      </c>
      <c r="T277" t="s">
        <v>252</v>
      </c>
      <c r="U277">
        <v>889789</v>
      </c>
      <c r="V277" s="3">
        <v>46062.522222222222</v>
      </c>
      <c r="W277" t="s">
        <v>574</v>
      </c>
      <c r="X277" t="s">
        <v>575</v>
      </c>
      <c r="Y277" t="str">
        <f>"0407007024"</f>
        <v>0407007024</v>
      </c>
      <c r="Z277" t="s">
        <v>585</v>
      </c>
      <c r="AA277" s="1">
        <v>46075</v>
      </c>
      <c r="AB277" t="s">
        <v>576</v>
      </c>
      <c r="AD277" t="s">
        <v>41</v>
      </c>
      <c r="AE277" t="s">
        <v>577</v>
      </c>
      <c r="AF277">
        <v>4700</v>
      </c>
      <c r="AG277" t="s">
        <v>572</v>
      </c>
      <c r="AI277" t="s">
        <v>59</v>
      </c>
      <c r="AJ277" t="str">
        <f>"0050076113"</f>
        <v>0050076113</v>
      </c>
      <c r="AN277" s="3">
        <v>46062.522222222222</v>
      </c>
      <c r="AO277" t="s">
        <v>573</v>
      </c>
    </row>
    <row r="278" spans="1:41" x14ac:dyDescent="0.3">
      <c r="A278" t="s">
        <v>168</v>
      </c>
      <c r="B278" t="s">
        <v>409</v>
      </c>
      <c r="C278" t="s">
        <v>1727</v>
      </c>
      <c r="D278" t="s">
        <v>309</v>
      </c>
      <c r="E278" s="1">
        <v>46055</v>
      </c>
      <c r="F278" t="s">
        <v>569</v>
      </c>
      <c r="G278" t="s">
        <v>45</v>
      </c>
      <c r="H278" s="2">
        <v>0.29166666666666669</v>
      </c>
      <c r="I278" s="2">
        <v>0.625</v>
      </c>
      <c r="J278" t="s">
        <v>1728</v>
      </c>
      <c r="K278" t="s">
        <v>1022</v>
      </c>
      <c r="L278" t="s">
        <v>47</v>
      </c>
      <c r="M278" t="s">
        <v>371</v>
      </c>
      <c r="N278" t="s">
        <v>372</v>
      </c>
      <c r="O278">
        <v>20698</v>
      </c>
      <c r="Q278" t="s">
        <v>413</v>
      </c>
      <c r="R278" t="s">
        <v>145</v>
      </c>
      <c r="S278" t="s">
        <v>119</v>
      </c>
      <c r="T278" t="s">
        <v>414</v>
      </c>
      <c r="U278">
        <v>889725</v>
      </c>
      <c r="V278" s="3">
        <v>46052.736111111109</v>
      </c>
      <c r="W278" t="s">
        <v>373</v>
      </c>
      <c r="X278" t="s">
        <v>374</v>
      </c>
      <c r="Y278" t="str">
        <f>"0424925273"</f>
        <v>0424925273</v>
      </c>
      <c r="Z278" t="s">
        <v>70</v>
      </c>
      <c r="AB278" t="s">
        <v>417</v>
      </c>
      <c r="AD278" t="s">
        <v>168</v>
      </c>
      <c r="AE278" t="s">
        <v>384</v>
      </c>
      <c r="AF278">
        <v>5000</v>
      </c>
      <c r="AI278" t="s">
        <v>59</v>
      </c>
      <c r="AL278" t="s">
        <v>1729</v>
      </c>
      <c r="AM278" t="s">
        <v>1730</v>
      </c>
      <c r="AN278" s="3">
        <v>46052.8125</v>
      </c>
      <c r="AO278" t="s">
        <v>145</v>
      </c>
    </row>
    <row r="279" spans="1:41" x14ac:dyDescent="0.3">
      <c r="A279" t="s">
        <v>61</v>
      </c>
      <c r="B279" t="s">
        <v>1731</v>
      </c>
      <c r="C279" t="s">
        <v>1732</v>
      </c>
      <c r="D279" t="s">
        <v>127</v>
      </c>
      <c r="E279" s="1">
        <v>46055</v>
      </c>
      <c r="F279" t="s">
        <v>569</v>
      </c>
      <c r="G279" t="s">
        <v>45</v>
      </c>
      <c r="H279" s="2">
        <v>0.29166666666666669</v>
      </c>
      <c r="I279" s="2">
        <v>0.5625</v>
      </c>
      <c r="J279" t="s">
        <v>1011</v>
      </c>
      <c r="K279" t="s">
        <v>1733</v>
      </c>
      <c r="L279" t="s">
        <v>186</v>
      </c>
      <c r="M279" t="s">
        <v>187</v>
      </c>
      <c r="N279" t="s">
        <v>188</v>
      </c>
      <c r="O279">
        <v>21902</v>
      </c>
      <c r="P279">
        <v>473512</v>
      </c>
      <c r="Q279" t="s">
        <v>1734</v>
      </c>
      <c r="R279" t="s">
        <v>132</v>
      </c>
      <c r="S279" t="s">
        <v>52</v>
      </c>
      <c r="U279">
        <v>888944</v>
      </c>
      <c r="V279" s="3">
        <v>46044.320138888892</v>
      </c>
      <c r="W279" t="s">
        <v>190</v>
      </c>
      <c r="X279" t="s">
        <v>191</v>
      </c>
      <c r="Y279" t="str">
        <f>"0432479777"</f>
        <v>0432479777</v>
      </c>
      <c r="Z279" t="s">
        <v>70</v>
      </c>
      <c r="AA279" s="1">
        <v>46055</v>
      </c>
      <c r="AB279" t="s">
        <v>1735</v>
      </c>
      <c r="AD279" t="s">
        <v>61</v>
      </c>
      <c r="AE279" t="s">
        <v>357</v>
      </c>
      <c r="AF279">
        <v>2153</v>
      </c>
      <c r="AG279" t="s">
        <v>1734</v>
      </c>
      <c r="AI279" t="s">
        <v>59</v>
      </c>
      <c r="AL279" t="s">
        <v>1736</v>
      </c>
      <c r="AN279" s="3">
        <v>46055.458333333336</v>
      </c>
      <c r="AO279" t="s">
        <v>190</v>
      </c>
    </row>
    <row r="280" spans="1:41" x14ac:dyDescent="0.3">
      <c r="A280" t="s">
        <v>306</v>
      </c>
      <c r="B280" t="s">
        <v>386</v>
      </c>
      <c r="C280" t="s">
        <v>387</v>
      </c>
      <c r="D280" t="s">
        <v>388</v>
      </c>
      <c r="E280" s="1">
        <v>46055</v>
      </c>
      <c r="F280" t="s">
        <v>569</v>
      </c>
      <c r="G280" t="s">
        <v>45</v>
      </c>
      <c r="H280" s="2">
        <v>0.29166666666666669</v>
      </c>
      <c r="I280" s="2">
        <v>0.625</v>
      </c>
      <c r="J280" t="s">
        <v>389</v>
      </c>
      <c r="L280" t="s">
        <v>298</v>
      </c>
      <c r="M280" t="s">
        <v>195</v>
      </c>
      <c r="N280" t="s">
        <v>390</v>
      </c>
      <c r="O280">
        <v>5951661</v>
      </c>
      <c r="P280" t="s">
        <v>249</v>
      </c>
      <c r="Q280" t="s">
        <v>391</v>
      </c>
      <c r="R280" t="s">
        <v>392</v>
      </c>
      <c r="S280" t="s">
        <v>52</v>
      </c>
      <c r="T280" t="s">
        <v>252</v>
      </c>
      <c r="U280">
        <v>889995</v>
      </c>
      <c r="V280" s="3">
        <v>46063.614583333336</v>
      </c>
      <c r="W280" t="s">
        <v>393</v>
      </c>
      <c r="X280" t="s">
        <v>394</v>
      </c>
      <c r="Y280" t="str">
        <f>"0427371732"</f>
        <v>0427371732</v>
      </c>
      <c r="Z280" t="s">
        <v>585</v>
      </c>
      <c r="AA280" s="1">
        <v>46141</v>
      </c>
      <c r="AB280" t="s">
        <v>396</v>
      </c>
      <c r="AD280" t="s">
        <v>397</v>
      </c>
      <c r="AE280" t="s">
        <v>398</v>
      </c>
      <c r="AF280">
        <v>7919</v>
      </c>
      <c r="AG280" t="s">
        <v>399</v>
      </c>
      <c r="AI280" t="s">
        <v>59</v>
      </c>
      <c r="AJ280" t="str">
        <f>"0090000067"</f>
        <v>0090000067</v>
      </c>
      <c r="AN280" s="3">
        <v>46063.614583333336</v>
      </c>
      <c r="AO280" t="s">
        <v>392</v>
      </c>
    </row>
    <row r="281" spans="1:41" x14ac:dyDescent="0.3">
      <c r="A281" t="s">
        <v>168</v>
      </c>
      <c r="B281" t="s">
        <v>336</v>
      </c>
      <c r="C281" t="s">
        <v>602</v>
      </c>
      <c r="D281" t="s">
        <v>268</v>
      </c>
      <c r="E281" s="1">
        <v>46055</v>
      </c>
      <c r="F281" t="s">
        <v>569</v>
      </c>
      <c r="G281" t="s">
        <v>45</v>
      </c>
      <c r="H281" s="2">
        <v>0.29166666666666669</v>
      </c>
      <c r="I281" s="2">
        <v>0.64583333333333337</v>
      </c>
      <c r="J281" t="s">
        <v>269</v>
      </c>
      <c r="K281" t="s">
        <v>712</v>
      </c>
      <c r="L281" t="s">
        <v>713</v>
      </c>
      <c r="M281" t="s">
        <v>476</v>
      </c>
      <c r="N281" t="s">
        <v>714</v>
      </c>
      <c r="O281">
        <v>5951199</v>
      </c>
      <c r="P281" t="s">
        <v>712</v>
      </c>
      <c r="Q281" t="s">
        <v>1737</v>
      </c>
      <c r="R281" t="s">
        <v>500</v>
      </c>
      <c r="S281" t="s">
        <v>52</v>
      </c>
      <c r="U281">
        <v>889000</v>
      </c>
      <c r="V281" s="3">
        <v>46054.803472222222</v>
      </c>
      <c r="W281" t="s">
        <v>715</v>
      </c>
      <c r="X281" t="s">
        <v>716</v>
      </c>
      <c r="Y281" t="str">
        <f>"0426611875"</f>
        <v>0426611875</v>
      </c>
      <c r="Z281" t="s">
        <v>70</v>
      </c>
      <c r="AA281" s="1">
        <v>46055</v>
      </c>
      <c r="AB281" t="s">
        <v>346</v>
      </c>
      <c r="AD281" t="s">
        <v>168</v>
      </c>
      <c r="AE281" t="s">
        <v>347</v>
      </c>
      <c r="AF281">
        <v>5042</v>
      </c>
      <c r="AG281" t="s">
        <v>1737</v>
      </c>
      <c r="AI281" t="s">
        <v>59</v>
      </c>
      <c r="AL281" t="s">
        <v>1738</v>
      </c>
      <c r="AN281" s="3">
        <v>46055.643055555556</v>
      </c>
      <c r="AO281" t="s">
        <v>715</v>
      </c>
    </row>
    <row r="282" spans="1:41" x14ac:dyDescent="0.3">
      <c r="A282" t="s">
        <v>41</v>
      </c>
      <c r="B282" t="s">
        <v>1739</v>
      </c>
      <c r="C282" t="s">
        <v>296</v>
      </c>
      <c r="D282" t="s">
        <v>246</v>
      </c>
      <c r="E282" s="1">
        <v>46055</v>
      </c>
      <c r="F282" t="s">
        <v>569</v>
      </c>
      <c r="G282" t="s">
        <v>45</v>
      </c>
      <c r="H282" s="2">
        <v>0.29166666666666669</v>
      </c>
      <c r="I282" s="2">
        <v>0.5625</v>
      </c>
      <c r="J282" t="s">
        <v>296</v>
      </c>
      <c r="L282" t="s">
        <v>1229</v>
      </c>
      <c r="M282" t="s">
        <v>1230</v>
      </c>
      <c r="N282" t="s">
        <v>1231</v>
      </c>
      <c r="O282">
        <v>5952329</v>
      </c>
      <c r="Q282" t="s">
        <v>1740</v>
      </c>
      <c r="R282" t="s">
        <v>500</v>
      </c>
      <c r="S282" t="s">
        <v>52</v>
      </c>
      <c r="U282">
        <v>888988</v>
      </c>
      <c r="V282" s="3">
        <v>46054.811805555553</v>
      </c>
      <c r="W282" t="s">
        <v>1233</v>
      </c>
      <c r="X282" t="s">
        <v>1234</v>
      </c>
      <c r="Y282" t="str">
        <f>"0485533840"</f>
        <v>0485533840</v>
      </c>
      <c r="Z282" t="s">
        <v>70</v>
      </c>
      <c r="AB282" t="s">
        <v>1741</v>
      </c>
      <c r="AD282" t="s">
        <v>41</v>
      </c>
      <c r="AE282" t="s">
        <v>1742</v>
      </c>
      <c r="AF282">
        <v>4226</v>
      </c>
      <c r="AG282" t="s">
        <v>1740</v>
      </c>
      <c r="AI282" t="s">
        <v>59</v>
      </c>
      <c r="AN282" s="3">
        <v>46055.615277777775</v>
      </c>
      <c r="AO282" t="s">
        <v>1233</v>
      </c>
    </row>
    <row r="283" spans="1:41" x14ac:dyDescent="0.3">
      <c r="A283" t="s">
        <v>41</v>
      </c>
      <c r="B283" t="s">
        <v>965</v>
      </c>
      <c r="C283" t="s">
        <v>43</v>
      </c>
      <c r="D283" t="s">
        <v>966</v>
      </c>
      <c r="E283" s="1">
        <v>46055</v>
      </c>
      <c r="F283" t="s">
        <v>569</v>
      </c>
      <c r="G283" t="s">
        <v>45</v>
      </c>
      <c r="H283" s="2">
        <v>0.29166666666666669</v>
      </c>
      <c r="I283" s="2">
        <v>0.64583333333333337</v>
      </c>
      <c r="J283" t="s">
        <v>101</v>
      </c>
      <c r="L283" t="s">
        <v>159</v>
      </c>
      <c r="M283" t="s">
        <v>720</v>
      </c>
      <c r="N283" t="s">
        <v>721</v>
      </c>
      <c r="O283">
        <v>5952347</v>
      </c>
      <c r="Q283" t="s">
        <v>823</v>
      </c>
      <c r="R283" t="s">
        <v>1472</v>
      </c>
      <c r="S283" t="s">
        <v>52</v>
      </c>
      <c r="U283">
        <v>888966</v>
      </c>
      <c r="V283" s="3">
        <v>46049.660416666666</v>
      </c>
      <c r="W283" t="s">
        <v>724</v>
      </c>
      <c r="X283" t="s">
        <v>725</v>
      </c>
      <c r="Y283" t="str">
        <f>"0424329976"</f>
        <v>0424329976</v>
      </c>
      <c r="Z283" t="s">
        <v>84</v>
      </c>
      <c r="AB283" t="s">
        <v>972</v>
      </c>
      <c r="AD283" t="s">
        <v>41</v>
      </c>
      <c r="AE283" t="s">
        <v>973</v>
      </c>
      <c r="AF283">
        <v>4068</v>
      </c>
      <c r="AG283" t="s">
        <v>823</v>
      </c>
      <c r="AI283" t="s">
        <v>59</v>
      </c>
      <c r="AL283" t="s">
        <v>87</v>
      </c>
      <c r="AN283" s="3">
        <v>46055.582638888889</v>
      </c>
      <c r="AO283" t="s">
        <v>724</v>
      </c>
    </row>
    <row r="284" spans="1:41" x14ac:dyDescent="0.3">
      <c r="A284" t="s">
        <v>61</v>
      </c>
      <c r="B284" t="s">
        <v>1462</v>
      </c>
      <c r="C284" t="s">
        <v>484</v>
      </c>
      <c r="D284" t="s">
        <v>90</v>
      </c>
      <c r="E284" s="1">
        <v>46055</v>
      </c>
      <c r="F284" t="s">
        <v>569</v>
      </c>
      <c r="G284" t="s">
        <v>45</v>
      </c>
      <c r="H284" s="2">
        <v>0.29166666666666669</v>
      </c>
      <c r="I284" s="2">
        <v>0.8125</v>
      </c>
      <c r="J284" t="s">
        <v>486</v>
      </c>
      <c r="L284" t="s">
        <v>487</v>
      </c>
      <c r="M284" t="s">
        <v>1463</v>
      </c>
      <c r="N284" t="s">
        <v>1464</v>
      </c>
      <c r="O284">
        <v>22756</v>
      </c>
      <c r="Q284" t="s">
        <v>1743</v>
      </c>
      <c r="R284" t="s">
        <v>145</v>
      </c>
      <c r="S284" t="s">
        <v>52</v>
      </c>
      <c r="U284">
        <v>889051</v>
      </c>
      <c r="V284" s="3">
        <v>46054.856249999997</v>
      </c>
      <c r="W284" t="s">
        <v>1466</v>
      </c>
      <c r="X284" t="s">
        <v>1467</v>
      </c>
      <c r="Y284" t="str">
        <f>"0416856891"</f>
        <v>0416856891</v>
      </c>
      <c r="Z284" t="s">
        <v>70</v>
      </c>
      <c r="AA284" s="1">
        <v>46055</v>
      </c>
      <c r="AB284" t="s">
        <v>1468</v>
      </c>
      <c r="AD284" t="s">
        <v>61</v>
      </c>
      <c r="AE284" t="s">
        <v>1469</v>
      </c>
      <c r="AF284">
        <v>2060</v>
      </c>
      <c r="AG284" t="s">
        <v>1744</v>
      </c>
      <c r="AI284" t="s">
        <v>59</v>
      </c>
      <c r="AL284" t="s">
        <v>1745</v>
      </c>
      <c r="AN284" s="3">
        <v>46055.779166666667</v>
      </c>
      <c r="AO284" t="s">
        <v>1466</v>
      </c>
    </row>
    <row r="285" spans="1:41" x14ac:dyDescent="0.3">
      <c r="A285" t="s">
        <v>61</v>
      </c>
      <c r="B285" t="s">
        <v>62</v>
      </c>
      <c r="C285" t="s">
        <v>43</v>
      </c>
      <c r="D285" t="s">
        <v>63</v>
      </c>
      <c r="E285" s="1">
        <v>46055</v>
      </c>
      <c r="F285" t="s">
        <v>569</v>
      </c>
      <c r="G285" t="s">
        <v>45</v>
      </c>
      <c r="H285" s="2">
        <v>0.29166666666666669</v>
      </c>
      <c r="I285" s="2">
        <v>0.99861111111111112</v>
      </c>
      <c r="J285" t="s">
        <v>101</v>
      </c>
      <c r="L285" t="s">
        <v>159</v>
      </c>
      <c r="M285" t="s">
        <v>1746</v>
      </c>
      <c r="N285" t="s">
        <v>1747</v>
      </c>
      <c r="O285">
        <v>20760</v>
      </c>
      <c r="Q285" t="s">
        <v>66</v>
      </c>
      <c r="R285" t="s">
        <v>67</v>
      </c>
      <c r="S285" t="s">
        <v>52</v>
      </c>
      <c r="U285">
        <v>888965</v>
      </c>
      <c r="V285" s="3">
        <v>46049.379166666666</v>
      </c>
      <c r="W285" t="s">
        <v>1748</v>
      </c>
      <c r="X285" t="s">
        <v>1749</v>
      </c>
      <c r="Y285" t="str">
        <f>"0433858379"</f>
        <v>0433858379</v>
      </c>
      <c r="Z285" t="s">
        <v>1750</v>
      </c>
      <c r="AB285" t="s">
        <v>71</v>
      </c>
      <c r="AD285" t="s">
        <v>61</v>
      </c>
      <c r="AE285" t="s">
        <v>72</v>
      </c>
      <c r="AF285">
        <v>2747</v>
      </c>
      <c r="AG285" t="s">
        <v>73</v>
      </c>
      <c r="AI285" t="s">
        <v>59</v>
      </c>
      <c r="AL285" t="s">
        <v>1649</v>
      </c>
      <c r="AN285" s="3">
        <v>46055.572916666664</v>
      </c>
      <c r="AO285" t="s">
        <v>1748</v>
      </c>
    </row>
    <row r="286" spans="1:41" x14ac:dyDescent="0.3">
      <c r="A286" t="s">
        <v>306</v>
      </c>
      <c r="B286" t="s">
        <v>1751</v>
      </c>
      <c r="C286" t="s">
        <v>1752</v>
      </c>
      <c r="D286" t="s">
        <v>184</v>
      </c>
      <c r="E286" s="1">
        <v>46055</v>
      </c>
      <c r="F286" t="s">
        <v>569</v>
      </c>
      <c r="G286" t="s">
        <v>45</v>
      </c>
      <c r="H286" s="2">
        <v>0.29166666666666669</v>
      </c>
      <c r="I286" s="2">
        <v>0.625</v>
      </c>
      <c r="J286" t="s">
        <v>296</v>
      </c>
      <c r="K286" t="s">
        <v>750</v>
      </c>
      <c r="L286" t="s">
        <v>1753</v>
      </c>
      <c r="M286" t="s">
        <v>1754</v>
      </c>
      <c r="N286" t="s">
        <v>1755</v>
      </c>
      <c r="O286">
        <v>20486</v>
      </c>
      <c r="Q286" t="s">
        <v>1063</v>
      </c>
      <c r="R286" t="s">
        <v>759</v>
      </c>
      <c r="S286" t="s">
        <v>119</v>
      </c>
      <c r="T286" t="s">
        <v>760</v>
      </c>
      <c r="U286" t="s">
        <v>1756</v>
      </c>
      <c r="V286" s="3">
        <v>46084.525000000001</v>
      </c>
      <c r="W286" t="s">
        <v>1757</v>
      </c>
      <c r="X286" t="s">
        <v>1758</v>
      </c>
      <c r="Y286" t="str">
        <f>"0432381966"</f>
        <v>0432381966</v>
      </c>
      <c r="Z286" t="s">
        <v>70</v>
      </c>
      <c r="AB286" t="s">
        <v>1759</v>
      </c>
      <c r="AD286" t="s">
        <v>306</v>
      </c>
      <c r="AE286" t="s">
        <v>1760</v>
      </c>
      <c r="AF286">
        <v>3199</v>
      </c>
      <c r="AG286" t="s">
        <v>1063</v>
      </c>
      <c r="AI286" t="s">
        <v>59</v>
      </c>
      <c r="AM286" t="s">
        <v>1761</v>
      </c>
      <c r="AN286" s="3">
        <v>46084.525000000001</v>
      </c>
      <c r="AO286" t="s">
        <v>759</v>
      </c>
    </row>
    <row r="287" spans="1:41" x14ac:dyDescent="0.3">
      <c r="A287" t="s">
        <v>306</v>
      </c>
      <c r="B287" t="s">
        <v>1751</v>
      </c>
      <c r="C287" t="s">
        <v>1752</v>
      </c>
      <c r="D287" t="s">
        <v>184</v>
      </c>
      <c r="E287" s="1">
        <v>46055</v>
      </c>
      <c r="F287" t="s">
        <v>569</v>
      </c>
      <c r="G287" t="s">
        <v>45</v>
      </c>
      <c r="H287" s="2">
        <v>0.29166666666666669</v>
      </c>
      <c r="I287" s="2">
        <v>0.625</v>
      </c>
      <c r="J287" t="s">
        <v>496</v>
      </c>
      <c r="L287" t="s">
        <v>1753</v>
      </c>
      <c r="M287" t="s">
        <v>1754</v>
      </c>
      <c r="N287" t="s">
        <v>1755</v>
      </c>
      <c r="O287">
        <v>20486</v>
      </c>
      <c r="Q287" t="s">
        <v>1063</v>
      </c>
      <c r="R287" t="s">
        <v>759</v>
      </c>
      <c r="S287" t="s">
        <v>119</v>
      </c>
      <c r="T287" t="s">
        <v>760</v>
      </c>
      <c r="U287" t="s">
        <v>1762</v>
      </c>
      <c r="V287" s="3">
        <v>46084.525000000001</v>
      </c>
      <c r="W287" t="s">
        <v>1757</v>
      </c>
      <c r="X287" t="s">
        <v>1758</v>
      </c>
      <c r="Y287" t="str">
        <f>"0432381966"</f>
        <v>0432381966</v>
      </c>
      <c r="Z287" t="s">
        <v>70</v>
      </c>
      <c r="AB287" t="s">
        <v>1759</v>
      </c>
      <c r="AD287" t="s">
        <v>306</v>
      </c>
      <c r="AE287" t="s">
        <v>1760</v>
      </c>
      <c r="AF287">
        <v>3199</v>
      </c>
      <c r="AG287" t="s">
        <v>1063</v>
      </c>
      <c r="AI287" t="s">
        <v>59</v>
      </c>
      <c r="AM287" t="s">
        <v>1761</v>
      </c>
      <c r="AN287" s="3">
        <v>46084.525000000001</v>
      </c>
      <c r="AO287" t="s">
        <v>759</v>
      </c>
    </row>
    <row r="288" spans="1:41" x14ac:dyDescent="0.3">
      <c r="A288" t="s">
        <v>306</v>
      </c>
      <c r="B288" t="s">
        <v>1751</v>
      </c>
      <c r="C288" t="s">
        <v>1752</v>
      </c>
      <c r="D288" t="s">
        <v>184</v>
      </c>
      <c r="E288" s="1">
        <v>46055</v>
      </c>
      <c r="F288" t="s">
        <v>569</v>
      </c>
      <c r="G288" t="s">
        <v>45</v>
      </c>
      <c r="H288" s="2">
        <v>0.29166666666666669</v>
      </c>
      <c r="I288" s="2">
        <v>0.625</v>
      </c>
      <c r="J288" t="s">
        <v>296</v>
      </c>
      <c r="K288" t="s">
        <v>750</v>
      </c>
      <c r="L288" t="s">
        <v>1753</v>
      </c>
      <c r="M288" t="s">
        <v>1754</v>
      </c>
      <c r="N288" t="s">
        <v>1755</v>
      </c>
      <c r="O288">
        <v>20486</v>
      </c>
      <c r="Q288" t="s">
        <v>1063</v>
      </c>
      <c r="R288" t="s">
        <v>1763</v>
      </c>
      <c r="S288" t="s">
        <v>119</v>
      </c>
      <c r="T288" t="s">
        <v>414</v>
      </c>
      <c r="U288">
        <v>889958</v>
      </c>
      <c r="V288" s="3">
        <v>46049.588888888888</v>
      </c>
      <c r="W288" t="s">
        <v>1757</v>
      </c>
      <c r="X288" t="s">
        <v>1758</v>
      </c>
      <c r="Y288" t="str">
        <f>"0432381966"</f>
        <v>0432381966</v>
      </c>
      <c r="Z288" t="s">
        <v>70</v>
      </c>
      <c r="AA288" s="1">
        <v>46055</v>
      </c>
      <c r="AB288" t="s">
        <v>1759</v>
      </c>
      <c r="AD288" t="s">
        <v>306</v>
      </c>
      <c r="AE288" t="s">
        <v>1760</v>
      </c>
      <c r="AF288">
        <v>3199</v>
      </c>
      <c r="AG288" t="s">
        <v>1063</v>
      </c>
      <c r="AI288" t="s">
        <v>59</v>
      </c>
      <c r="AL288" t="s">
        <v>87</v>
      </c>
      <c r="AN288" s="3">
        <v>46049.597222222219</v>
      </c>
      <c r="AO288" t="s">
        <v>67</v>
      </c>
    </row>
    <row r="289" spans="1:41" x14ac:dyDescent="0.3">
      <c r="A289" t="s">
        <v>41</v>
      </c>
      <c r="B289" t="s">
        <v>568</v>
      </c>
      <c r="C289" t="s">
        <v>602</v>
      </c>
      <c r="D289" t="s">
        <v>246</v>
      </c>
      <c r="E289" s="1">
        <v>46055</v>
      </c>
      <c r="F289" t="s">
        <v>569</v>
      </c>
      <c r="G289" t="s">
        <v>45</v>
      </c>
      <c r="H289" s="2">
        <v>0.29166666666666669</v>
      </c>
      <c r="I289" s="2">
        <v>0.64583333333333337</v>
      </c>
      <c r="J289" t="s">
        <v>269</v>
      </c>
      <c r="L289" t="s">
        <v>47</v>
      </c>
      <c r="M289" t="s">
        <v>603</v>
      </c>
      <c r="N289" t="s">
        <v>604</v>
      </c>
      <c r="O289">
        <v>80</v>
      </c>
      <c r="P289" t="s">
        <v>571</v>
      </c>
      <c r="Q289" t="s">
        <v>572</v>
      </c>
      <c r="R289" t="s">
        <v>573</v>
      </c>
      <c r="S289" t="s">
        <v>52</v>
      </c>
      <c r="T289" t="s">
        <v>252</v>
      </c>
      <c r="U289">
        <v>889795</v>
      </c>
      <c r="V289" s="3">
        <v>46062.525694444441</v>
      </c>
      <c r="W289" t="s">
        <v>605</v>
      </c>
      <c r="X289" t="s">
        <v>606</v>
      </c>
      <c r="Y289" t="str">
        <f>"0414330986"</f>
        <v>0414330986</v>
      </c>
      <c r="Z289" t="s">
        <v>84</v>
      </c>
      <c r="AA289" s="1">
        <v>46068</v>
      </c>
      <c r="AB289" t="s">
        <v>576</v>
      </c>
      <c r="AD289" t="s">
        <v>41</v>
      </c>
      <c r="AE289" t="s">
        <v>577</v>
      </c>
      <c r="AF289">
        <v>4700</v>
      </c>
      <c r="AG289" t="s">
        <v>572</v>
      </c>
      <c r="AI289" t="s">
        <v>59</v>
      </c>
      <c r="AJ289" t="str">
        <f>"0050075176"</f>
        <v>0050075176</v>
      </c>
      <c r="AN289" s="3">
        <v>46062.525694444441</v>
      </c>
      <c r="AO289" t="s">
        <v>573</v>
      </c>
    </row>
    <row r="290" spans="1:41" x14ac:dyDescent="0.3">
      <c r="A290" t="s">
        <v>61</v>
      </c>
      <c r="B290" t="s">
        <v>1764</v>
      </c>
      <c r="C290" t="s">
        <v>43</v>
      </c>
      <c r="D290" t="s">
        <v>719</v>
      </c>
      <c r="E290" s="1">
        <v>46055</v>
      </c>
      <c r="F290" t="s">
        <v>569</v>
      </c>
      <c r="G290" t="s">
        <v>45</v>
      </c>
      <c r="H290" s="2">
        <v>0.29166666666666669</v>
      </c>
      <c r="I290" s="2">
        <v>0.54166666666666663</v>
      </c>
      <c r="J290" t="s">
        <v>101</v>
      </c>
      <c r="L290" t="s">
        <v>159</v>
      </c>
      <c r="M290" t="s">
        <v>1765</v>
      </c>
      <c r="N290" t="s">
        <v>1766</v>
      </c>
      <c r="O290">
        <v>339</v>
      </c>
      <c r="Q290" t="s">
        <v>1767</v>
      </c>
      <c r="R290" t="s">
        <v>145</v>
      </c>
      <c r="S290" t="s">
        <v>52</v>
      </c>
      <c r="U290">
        <v>888954</v>
      </c>
      <c r="V290" s="3">
        <v>46053.628472222219</v>
      </c>
      <c r="W290" t="s">
        <v>1768</v>
      </c>
      <c r="X290" t="s">
        <v>1769</v>
      </c>
      <c r="Y290" t="str">
        <f>"0419654987"</f>
        <v>0419654987</v>
      </c>
      <c r="Z290" t="s">
        <v>70</v>
      </c>
      <c r="AA290" s="1">
        <v>46055</v>
      </c>
      <c r="AB290" t="s">
        <v>1770</v>
      </c>
      <c r="AD290" t="s">
        <v>61</v>
      </c>
      <c r="AE290" t="s">
        <v>1771</v>
      </c>
      <c r="AF290">
        <v>2042</v>
      </c>
      <c r="AG290" t="s">
        <v>1772</v>
      </c>
      <c r="AI290" t="s">
        <v>59</v>
      </c>
      <c r="AL290" t="s">
        <v>1773</v>
      </c>
      <c r="AN290" s="3">
        <v>46055.518750000003</v>
      </c>
      <c r="AO290" t="s">
        <v>1768</v>
      </c>
    </row>
    <row r="291" spans="1:41" x14ac:dyDescent="0.3">
      <c r="A291" t="s">
        <v>168</v>
      </c>
      <c r="B291" t="s">
        <v>376</v>
      </c>
      <c r="C291" t="s">
        <v>170</v>
      </c>
      <c r="D291" t="s">
        <v>127</v>
      </c>
      <c r="E291" s="1">
        <v>46055</v>
      </c>
      <c r="F291" t="s">
        <v>569</v>
      </c>
      <c r="G291" t="s">
        <v>45</v>
      </c>
      <c r="H291" s="2">
        <v>0.29166666666666669</v>
      </c>
      <c r="I291" s="2">
        <v>0.5</v>
      </c>
      <c r="J291" t="s">
        <v>170</v>
      </c>
      <c r="K291" t="s">
        <v>171</v>
      </c>
      <c r="L291" t="s">
        <v>204</v>
      </c>
      <c r="M291" t="s">
        <v>1774</v>
      </c>
      <c r="N291" t="s">
        <v>1775</v>
      </c>
      <c r="O291">
        <v>5952428</v>
      </c>
      <c r="Q291" t="s">
        <v>1776</v>
      </c>
      <c r="R291" t="s">
        <v>231</v>
      </c>
      <c r="S291" t="s">
        <v>52</v>
      </c>
      <c r="U291">
        <v>888942</v>
      </c>
      <c r="V291" s="3">
        <v>46052.572916666664</v>
      </c>
      <c r="W291" t="s">
        <v>1777</v>
      </c>
      <c r="X291" t="s">
        <v>1778</v>
      </c>
      <c r="Y291" t="str">
        <f>"0433533329"</f>
        <v>0433533329</v>
      </c>
      <c r="Z291" t="s">
        <v>70</v>
      </c>
      <c r="AA291" s="1">
        <v>46055</v>
      </c>
      <c r="AB291" t="s">
        <v>383</v>
      </c>
      <c r="AD291" t="s">
        <v>168</v>
      </c>
      <c r="AE291" t="s">
        <v>384</v>
      </c>
      <c r="AF291">
        <v>5000</v>
      </c>
      <c r="AG291" t="s">
        <v>1776</v>
      </c>
      <c r="AI291" t="s">
        <v>59</v>
      </c>
      <c r="AL291" t="s">
        <v>1779</v>
      </c>
      <c r="AN291" s="3">
        <v>46055.440972222219</v>
      </c>
      <c r="AO291" t="s">
        <v>1777</v>
      </c>
    </row>
    <row r="292" spans="1:41" x14ac:dyDescent="0.3">
      <c r="A292" t="s">
        <v>61</v>
      </c>
      <c r="B292" t="s">
        <v>1271</v>
      </c>
      <c r="C292" t="s">
        <v>1272</v>
      </c>
      <c r="D292" t="s">
        <v>184</v>
      </c>
      <c r="E292" s="1">
        <v>46055</v>
      </c>
      <c r="F292" t="s">
        <v>569</v>
      </c>
      <c r="G292" t="s">
        <v>45</v>
      </c>
      <c r="H292" s="2">
        <v>0.29166666666666669</v>
      </c>
      <c r="I292" s="2">
        <v>0.8125</v>
      </c>
      <c r="J292" t="s">
        <v>486</v>
      </c>
      <c r="L292" t="s">
        <v>487</v>
      </c>
      <c r="M292" t="s">
        <v>392</v>
      </c>
      <c r="N292" t="s">
        <v>1280</v>
      </c>
      <c r="O292">
        <v>5952420</v>
      </c>
      <c r="Q292" t="s">
        <v>1780</v>
      </c>
      <c r="R292" t="s">
        <v>132</v>
      </c>
      <c r="S292" t="s">
        <v>52</v>
      </c>
      <c r="U292">
        <v>889059</v>
      </c>
      <c r="V292" s="3">
        <v>46051.481944444444</v>
      </c>
      <c r="W292" t="s">
        <v>1781</v>
      </c>
      <c r="X292" t="s">
        <v>1782</v>
      </c>
      <c r="Y292" t="str">
        <f>"0435135581"</f>
        <v>0435135581</v>
      </c>
      <c r="Z292" t="s">
        <v>123</v>
      </c>
      <c r="AB292" t="s">
        <v>1278</v>
      </c>
      <c r="AD292" t="s">
        <v>61</v>
      </c>
      <c r="AE292" t="s">
        <v>1279</v>
      </c>
      <c r="AF292">
        <v>2145</v>
      </c>
      <c r="AG292" t="s">
        <v>1783</v>
      </c>
      <c r="AI292" t="s">
        <v>59</v>
      </c>
      <c r="AL292" t="s">
        <v>1649</v>
      </c>
      <c r="AN292" s="3">
        <v>46055.806250000001</v>
      </c>
      <c r="AO292" t="s">
        <v>1781</v>
      </c>
    </row>
    <row r="293" spans="1:41" x14ac:dyDescent="0.3">
      <c r="A293" t="s">
        <v>306</v>
      </c>
      <c r="B293" t="s">
        <v>1784</v>
      </c>
      <c r="C293" t="s">
        <v>1785</v>
      </c>
      <c r="D293" t="s">
        <v>1436</v>
      </c>
      <c r="E293" s="1">
        <v>46055</v>
      </c>
      <c r="F293" t="s">
        <v>569</v>
      </c>
      <c r="G293" t="s">
        <v>128</v>
      </c>
      <c r="H293" s="2">
        <v>0.29166666666666669</v>
      </c>
      <c r="I293" s="2">
        <v>0.8125</v>
      </c>
      <c r="J293" t="s">
        <v>296</v>
      </c>
      <c r="L293" t="s">
        <v>1260</v>
      </c>
      <c r="M293" t="s">
        <v>239</v>
      </c>
      <c r="N293" t="s">
        <v>1261</v>
      </c>
      <c r="O293">
        <v>5952100</v>
      </c>
      <c r="P293" t="s">
        <v>1786</v>
      </c>
      <c r="Q293" t="s">
        <v>413</v>
      </c>
      <c r="R293" t="s">
        <v>759</v>
      </c>
      <c r="S293" t="s">
        <v>119</v>
      </c>
      <c r="T293" t="s">
        <v>760</v>
      </c>
      <c r="U293" t="s">
        <v>1787</v>
      </c>
      <c r="V293" s="3">
        <v>46086.455555555556</v>
      </c>
      <c r="W293" t="s">
        <v>1262</v>
      </c>
      <c r="X293" t="s">
        <v>1263</v>
      </c>
      <c r="Y293" t="str">
        <f>"0420517034"</f>
        <v>0420517034</v>
      </c>
      <c r="Z293" t="s">
        <v>70</v>
      </c>
      <c r="AB293" t="s">
        <v>1788</v>
      </c>
      <c r="AD293" t="s">
        <v>306</v>
      </c>
      <c r="AE293" t="s">
        <v>1789</v>
      </c>
      <c r="AF293">
        <v>3121</v>
      </c>
      <c r="AG293" t="s">
        <v>413</v>
      </c>
      <c r="AI293" t="s">
        <v>59</v>
      </c>
      <c r="AM293" t="s">
        <v>1790</v>
      </c>
      <c r="AN293" s="3">
        <v>46086.455555555556</v>
      </c>
      <c r="AO293" t="s">
        <v>759</v>
      </c>
    </row>
    <row r="294" spans="1:41" x14ac:dyDescent="0.3">
      <c r="A294" t="s">
        <v>306</v>
      </c>
      <c r="B294" t="s">
        <v>1784</v>
      </c>
      <c r="C294" t="s">
        <v>1785</v>
      </c>
      <c r="D294" t="s">
        <v>1436</v>
      </c>
      <c r="E294" s="1">
        <v>46055</v>
      </c>
      <c r="F294" t="s">
        <v>569</v>
      </c>
      <c r="G294" t="s">
        <v>128</v>
      </c>
      <c r="H294" s="2">
        <v>0.29166666666666669</v>
      </c>
      <c r="I294" s="2">
        <v>0.8125</v>
      </c>
      <c r="J294" t="s">
        <v>296</v>
      </c>
      <c r="L294" t="s">
        <v>1337</v>
      </c>
      <c r="M294" t="s">
        <v>239</v>
      </c>
      <c r="N294" t="s">
        <v>1261</v>
      </c>
      <c r="O294">
        <v>5952100</v>
      </c>
      <c r="P294" t="s">
        <v>1786</v>
      </c>
      <c r="Q294" t="s">
        <v>413</v>
      </c>
      <c r="R294" t="s">
        <v>759</v>
      </c>
      <c r="S294" t="s">
        <v>119</v>
      </c>
      <c r="T294" t="s">
        <v>760</v>
      </c>
      <c r="U294" t="s">
        <v>1791</v>
      </c>
      <c r="V294" s="3">
        <v>46086.457638888889</v>
      </c>
      <c r="W294" t="s">
        <v>1262</v>
      </c>
      <c r="X294" t="s">
        <v>1263</v>
      </c>
      <c r="Y294" t="str">
        <f>"0420517034"</f>
        <v>0420517034</v>
      </c>
      <c r="Z294" t="s">
        <v>70</v>
      </c>
      <c r="AB294" t="s">
        <v>1788</v>
      </c>
      <c r="AD294" t="s">
        <v>306</v>
      </c>
      <c r="AE294" t="s">
        <v>1789</v>
      </c>
      <c r="AF294">
        <v>3121</v>
      </c>
      <c r="AG294" t="s">
        <v>413</v>
      </c>
      <c r="AI294" t="s">
        <v>59</v>
      </c>
      <c r="AM294" t="s">
        <v>1790</v>
      </c>
      <c r="AN294" s="3">
        <v>46086.457638888889</v>
      </c>
      <c r="AO294" t="s">
        <v>759</v>
      </c>
    </row>
    <row r="295" spans="1:41" x14ac:dyDescent="0.3">
      <c r="A295" t="s">
        <v>306</v>
      </c>
      <c r="B295" t="s">
        <v>1784</v>
      </c>
      <c r="C295" t="s">
        <v>1785</v>
      </c>
      <c r="D295" t="s">
        <v>1436</v>
      </c>
      <c r="E295" s="1">
        <v>46055</v>
      </c>
      <c r="F295" t="s">
        <v>569</v>
      </c>
      <c r="G295" t="s">
        <v>45</v>
      </c>
      <c r="H295" s="2">
        <v>0.29166666666666669</v>
      </c>
      <c r="I295" s="2">
        <v>0.8125</v>
      </c>
      <c r="J295" t="s">
        <v>296</v>
      </c>
      <c r="L295" t="s">
        <v>1260</v>
      </c>
      <c r="M295" t="s">
        <v>239</v>
      </c>
      <c r="N295" t="s">
        <v>1261</v>
      </c>
      <c r="O295">
        <v>5952100</v>
      </c>
      <c r="P295" t="s">
        <v>1786</v>
      </c>
      <c r="Q295" t="s">
        <v>413</v>
      </c>
      <c r="R295" t="s">
        <v>145</v>
      </c>
      <c r="S295" t="s">
        <v>52</v>
      </c>
      <c r="U295">
        <v>889058</v>
      </c>
      <c r="V295" s="3">
        <v>46054.998611111114</v>
      </c>
      <c r="W295" t="s">
        <v>1262</v>
      </c>
      <c r="X295" t="s">
        <v>1263</v>
      </c>
      <c r="Y295" t="str">
        <f>"0420517034"</f>
        <v>0420517034</v>
      </c>
      <c r="Z295" t="s">
        <v>70</v>
      </c>
      <c r="AA295" s="1">
        <v>46055</v>
      </c>
      <c r="AB295" t="s">
        <v>1788</v>
      </c>
      <c r="AD295" t="s">
        <v>306</v>
      </c>
      <c r="AE295" t="s">
        <v>1789</v>
      </c>
      <c r="AF295">
        <v>3121</v>
      </c>
      <c r="AG295" t="s">
        <v>705</v>
      </c>
      <c r="AI295" t="s">
        <v>59</v>
      </c>
      <c r="AL295" t="s">
        <v>1792</v>
      </c>
      <c r="AN295" s="3">
        <v>46055.805555555555</v>
      </c>
      <c r="AO295" t="s">
        <v>1262</v>
      </c>
    </row>
    <row r="296" spans="1:41" x14ac:dyDescent="0.3">
      <c r="A296" t="s">
        <v>168</v>
      </c>
      <c r="B296" t="s">
        <v>376</v>
      </c>
      <c r="C296" t="s">
        <v>43</v>
      </c>
      <c r="D296" t="s">
        <v>127</v>
      </c>
      <c r="E296" s="1">
        <v>46055</v>
      </c>
      <c r="F296" t="s">
        <v>569</v>
      </c>
      <c r="G296" t="s">
        <v>45</v>
      </c>
      <c r="H296" s="2">
        <v>0.29166666666666669</v>
      </c>
      <c r="I296" s="2">
        <v>0.625</v>
      </c>
      <c r="J296" t="s">
        <v>185</v>
      </c>
      <c r="L296" t="s">
        <v>186</v>
      </c>
      <c r="M296" t="s">
        <v>1530</v>
      </c>
      <c r="N296" t="s">
        <v>1531</v>
      </c>
      <c r="O296">
        <v>5952013</v>
      </c>
      <c r="Q296" t="s">
        <v>670</v>
      </c>
      <c r="R296" t="s">
        <v>231</v>
      </c>
      <c r="S296" t="s">
        <v>52</v>
      </c>
      <c r="U296">
        <v>888962</v>
      </c>
      <c r="V296" s="3">
        <v>46008.606944444444</v>
      </c>
      <c r="W296" t="s">
        <v>1532</v>
      </c>
      <c r="X296" t="s">
        <v>1533</v>
      </c>
      <c r="Y296" t="str">
        <f>"0412621412"</f>
        <v>0412621412</v>
      </c>
      <c r="Z296" t="s">
        <v>1793</v>
      </c>
      <c r="AB296" t="s">
        <v>383</v>
      </c>
      <c r="AD296" t="s">
        <v>168</v>
      </c>
      <c r="AE296" t="s">
        <v>384</v>
      </c>
      <c r="AF296">
        <v>5000</v>
      </c>
      <c r="AG296" t="s">
        <v>674</v>
      </c>
      <c r="AI296" t="s">
        <v>59</v>
      </c>
      <c r="AL296" t="s">
        <v>385</v>
      </c>
      <c r="AM296" t="s">
        <v>1794</v>
      </c>
      <c r="AN296" s="3">
        <v>46055.56527777778</v>
      </c>
      <c r="AO296" t="s">
        <v>1532</v>
      </c>
    </row>
    <row r="297" spans="1:41" x14ac:dyDescent="0.3">
      <c r="A297" t="s">
        <v>306</v>
      </c>
      <c r="B297" t="s">
        <v>1795</v>
      </c>
      <c r="C297" t="s">
        <v>245</v>
      </c>
      <c r="D297" t="s">
        <v>1436</v>
      </c>
      <c r="E297" s="1">
        <v>46055</v>
      </c>
      <c r="F297" t="s">
        <v>569</v>
      </c>
      <c r="G297" t="s">
        <v>45</v>
      </c>
      <c r="H297" s="2">
        <v>0.3125</v>
      </c>
      <c r="I297" s="2">
        <v>0.75</v>
      </c>
      <c r="J297" t="s">
        <v>701</v>
      </c>
      <c r="L297" t="s">
        <v>702</v>
      </c>
      <c r="M297" t="s">
        <v>1796</v>
      </c>
      <c r="N297" t="s">
        <v>1797</v>
      </c>
      <c r="O297">
        <v>5951239</v>
      </c>
      <c r="P297" t="s">
        <v>1798</v>
      </c>
      <c r="Q297" t="s">
        <v>413</v>
      </c>
      <c r="R297" t="s">
        <v>145</v>
      </c>
      <c r="S297" t="s">
        <v>52</v>
      </c>
      <c r="U297">
        <v>888958</v>
      </c>
      <c r="V297" s="3">
        <v>46054.974999999999</v>
      </c>
      <c r="W297" t="s">
        <v>1799</v>
      </c>
      <c r="X297" t="s">
        <v>1800</v>
      </c>
      <c r="Y297" t="str">
        <f>"0459929657"</f>
        <v>0459929657</v>
      </c>
      <c r="Z297" t="s">
        <v>70</v>
      </c>
      <c r="AA297" s="1">
        <v>46055</v>
      </c>
      <c r="AB297" t="s">
        <v>1801</v>
      </c>
      <c r="AD297" t="s">
        <v>306</v>
      </c>
      <c r="AE297" t="s">
        <v>1802</v>
      </c>
      <c r="AF297">
        <v>3122</v>
      </c>
      <c r="AG297" t="s">
        <v>705</v>
      </c>
      <c r="AI297" t="s">
        <v>59</v>
      </c>
      <c r="AL297" t="s">
        <v>370</v>
      </c>
      <c r="AN297" s="3">
        <v>46055.538194444445</v>
      </c>
      <c r="AO297" t="s">
        <v>1799</v>
      </c>
    </row>
    <row r="298" spans="1:41" x14ac:dyDescent="0.3">
      <c r="A298" t="s">
        <v>61</v>
      </c>
      <c r="B298" t="s">
        <v>912</v>
      </c>
      <c r="C298" t="s">
        <v>913</v>
      </c>
      <c r="D298" t="s">
        <v>184</v>
      </c>
      <c r="E298" s="1">
        <v>46055</v>
      </c>
      <c r="F298" t="s">
        <v>569</v>
      </c>
      <c r="G298" t="s">
        <v>45</v>
      </c>
      <c r="H298" s="2">
        <v>0.3125</v>
      </c>
      <c r="I298" s="2">
        <v>0.66666666666666663</v>
      </c>
      <c r="J298" t="s">
        <v>46</v>
      </c>
      <c r="L298" t="s">
        <v>47</v>
      </c>
      <c r="M298" t="s">
        <v>1578</v>
      </c>
      <c r="N298" t="s">
        <v>1803</v>
      </c>
      <c r="O298">
        <v>5950668</v>
      </c>
      <c r="Q298" t="s">
        <v>916</v>
      </c>
      <c r="R298" t="s">
        <v>132</v>
      </c>
      <c r="S298" t="s">
        <v>52</v>
      </c>
      <c r="U298">
        <v>888998</v>
      </c>
      <c r="V298" s="3">
        <v>46038.652777777781</v>
      </c>
      <c r="W298" t="s">
        <v>1804</v>
      </c>
      <c r="X298" t="s">
        <v>1805</v>
      </c>
      <c r="Y298" t="str">
        <f>"0429048174"</f>
        <v>0429048174</v>
      </c>
      <c r="Z298" t="s">
        <v>1806</v>
      </c>
      <c r="AB298" t="s">
        <v>920</v>
      </c>
      <c r="AC298" t="s">
        <v>921</v>
      </c>
      <c r="AD298" t="s">
        <v>61</v>
      </c>
      <c r="AE298" t="s">
        <v>922</v>
      </c>
      <c r="AF298">
        <v>2228</v>
      </c>
      <c r="AG298" t="s">
        <v>1807</v>
      </c>
      <c r="AI298" t="s">
        <v>59</v>
      </c>
      <c r="AL298" t="s">
        <v>1649</v>
      </c>
      <c r="AN298" s="3">
        <v>46055.625694444447</v>
      </c>
      <c r="AO298" t="s">
        <v>1804</v>
      </c>
    </row>
    <row r="299" spans="1:41" x14ac:dyDescent="0.3">
      <c r="A299" t="s">
        <v>306</v>
      </c>
      <c r="B299" t="s">
        <v>820</v>
      </c>
      <c r="C299" t="s">
        <v>100</v>
      </c>
      <c r="D299" t="s">
        <v>127</v>
      </c>
      <c r="E299" s="1">
        <v>46055</v>
      </c>
      <c r="F299" t="s">
        <v>569</v>
      </c>
      <c r="G299" t="s">
        <v>45</v>
      </c>
      <c r="H299" s="2">
        <v>0.3125</v>
      </c>
      <c r="I299" s="2">
        <v>0.75</v>
      </c>
      <c r="J299" t="s">
        <v>451</v>
      </c>
      <c r="L299" t="s">
        <v>452</v>
      </c>
      <c r="M299" t="s">
        <v>821</v>
      </c>
      <c r="N299" t="s">
        <v>822</v>
      </c>
      <c r="O299">
        <v>20712</v>
      </c>
      <c r="Q299" t="s">
        <v>823</v>
      </c>
      <c r="R299" t="s">
        <v>476</v>
      </c>
      <c r="S299" t="s">
        <v>52</v>
      </c>
      <c r="U299">
        <v>888993</v>
      </c>
      <c r="V299" s="3">
        <v>46052.488888888889</v>
      </c>
      <c r="W299" t="s">
        <v>824</v>
      </c>
      <c r="X299" t="s">
        <v>825</v>
      </c>
      <c r="Y299" t="str">
        <f>"0439419256"</f>
        <v>0439419256</v>
      </c>
      <c r="Z299" t="s">
        <v>70</v>
      </c>
      <c r="AA299" s="1">
        <v>46055</v>
      </c>
      <c r="AB299" t="s">
        <v>826</v>
      </c>
      <c r="AD299" t="s">
        <v>306</v>
      </c>
      <c r="AE299" t="s">
        <v>827</v>
      </c>
      <c r="AF299">
        <v>3181</v>
      </c>
      <c r="AG299" t="s">
        <v>823</v>
      </c>
      <c r="AI299" t="s">
        <v>59</v>
      </c>
      <c r="AL299" t="s">
        <v>87</v>
      </c>
      <c r="AN299" s="3">
        <v>46055.620833333334</v>
      </c>
      <c r="AO299" t="s">
        <v>824</v>
      </c>
    </row>
    <row r="300" spans="1:41" x14ac:dyDescent="0.3">
      <c r="A300" t="s">
        <v>306</v>
      </c>
      <c r="B300" t="s">
        <v>1435</v>
      </c>
      <c r="C300" t="s">
        <v>43</v>
      </c>
      <c r="D300" t="s">
        <v>1436</v>
      </c>
      <c r="E300" s="1">
        <v>46055</v>
      </c>
      <c r="F300" t="s">
        <v>569</v>
      </c>
      <c r="G300" t="s">
        <v>45</v>
      </c>
      <c r="H300" s="2">
        <v>0.3125</v>
      </c>
      <c r="I300" s="2">
        <v>0.5625</v>
      </c>
      <c r="J300" t="s">
        <v>701</v>
      </c>
      <c r="L300" t="s">
        <v>702</v>
      </c>
      <c r="M300" t="s">
        <v>703</v>
      </c>
      <c r="N300" t="s">
        <v>704</v>
      </c>
      <c r="O300">
        <v>20947</v>
      </c>
      <c r="Q300" t="s">
        <v>413</v>
      </c>
      <c r="R300" t="s">
        <v>1248</v>
      </c>
      <c r="S300" t="s">
        <v>52</v>
      </c>
      <c r="U300">
        <v>888987</v>
      </c>
      <c r="V300" s="3">
        <v>46053.405555555553</v>
      </c>
      <c r="W300" t="s">
        <v>706</v>
      </c>
      <c r="X300" t="s">
        <v>707</v>
      </c>
      <c r="Y300" t="str">
        <f>"0437759431"</f>
        <v>0437759431</v>
      </c>
      <c r="Z300" t="s">
        <v>70</v>
      </c>
      <c r="AB300" t="s">
        <v>1438</v>
      </c>
      <c r="AD300" t="s">
        <v>306</v>
      </c>
      <c r="AE300" t="s">
        <v>1439</v>
      </c>
      <c r="AF300">
        <v>3128</v>
      </c>
      <c r="AG300" t="s">
        <v>1808</v>
      </c>
      <c r="AI300" t="s">
        <v>59</v>
      </c>
      <c r="AL300" t="s">
        <v>1809</v>
      </c>
      <c r="AM300" t="s">
        <v>1810</v>
      </c>
      <c r="AN300" s="3">
        <v>46055.61041666667</v>
      </c>
      <c r="AO300" t="s">
        <v>706</v>
      </c>
    </row>
    <row r="301" spans="1:41" x14ac:dyDescent="0.3">
      <c r="A301" t="s">
        <v>168</v>
      </c>
      <c r="B301" t="s">
        <v>282</v>
      </c>
      <c r="C301" t="s">
        <v>216</v>
      </c>
      <c r="D301" t="s">
        <v>283</v>
      </c>
      <c r="E301" s="1">
        <v>46055</v>
      </c>
      <c r="F301" t="s">
        <v>569</v>
      </c>
      <c r="G301" t="s">
        <v>45</v>
      </c>
      <c r="H301" s="2">
        <v>0.3125</v>
      </c>
      <c r="I301" s="2">
        <v>0.5</v>
      </c>
      <c r="J301" t="s">
        <v>101</v>
      </c>
      <c r="L301" t="s">
        <v>159</v>
      </c>
      <c r="M301" t="s">
        <v>1033</v>
      </c>
      <c r="N301" t="s">
        <v>1034</v>
      </c>
      <c r="O301">
        <v>5952456</v>
      </c>
      <c r="Q301" t="s">
        <v>294</v>
      </c>
      <c r="R301" t="s">
        <v>1248</v>
      </c>
      <c r="S301" t="s">
        <v>52</v>
      </c>
      <c r="U301">
        <v>888949</v>
      </c>
      <c r="V301" s="3">
        <v>46051.739583333336</v>
      </c>
      <c r="W301" t="s">
        <v>1035</v>
      </c>
      <c r="X301" t="s">
        <v>1036</v>
      </c>
      <c r="Y301" t="str">
        <f>"0431375216"</f>
        <v>0431375216</v>
      </c>
      <c r="Z301" t="s">
        <v>70</v>
      </c>
      <c r="AA301" s="1">
        <v>46055</v>
      </c>
      <c r="AB301" t="s">
        <v>291</v>
      </c>
      <c r="AC301" t="s">
        <v>292</v>
      </c>
      <c r="AD301" t="s">
        <v>168</v>
      </c>
      <c r="AE301" t="s">
        <v>293</v>
      </c>
      <c r="AF301">
        <v>5037</v>
      </c>
      <c r="AG301" t="s">
        <v>294</v>
      </c>
      <c r="AI301" t="s">
        <v>59</v>
      </c>
      <c r="AL301" t="s">
        <v>1811</v>
      </c>
      <c r="AN301" s="3">
        <v>46055.500694444447</v>
      </c>
      <c r="AO301" t="s">
        <v>1035</v>
      </c>
    </row>
    <row r="302" spans="1:41" x14ac:dyDescent="0.3">
      <c r="A302" t="s">
        <v>61</v>
      </c>
      <c r="B302" t="s">
        <v>1812</v>
      </c>
      <c r="C302" t="s">
        <v>43</v>
      </c>
      <c r="D302" t="s">
        <v>966</v>
      </c>
      <c r="E302" s="1">
        <v>46055</v>
      </c>
      <c r="F302" t="s">
        <v>569</v>
      </c>
      <c r="G302" t="s">
        <v>45</v>
      </c>
      <c r="H302" s="2">
        <v>0.3125</v>
      </c>
      <c r="I302" s="2">
        <v>0.72916666666666663</v>
      </c>
      <c r="J302" t="s">
        <v>464</v>
      </c>
      <c r="L302" t="s">
        <v>464</v>
      </c>
      <c r="M302" t="s">
        <v>1813</v>
      </c>
      <c r="N302" t="s">
        <v>1814</v>
      </c>
      <c r="O302">
        <v>22771</v>
      </c>
      <c r="Q302" t="s">
        <v>1815</v>
      </c>
      <c r="R302" t="s">
        <v>132</v>
      </c>
      <c r="S302" t="s">
        <v>52</v>
      </c>
      <c r="U302">
        <v>889007</v>
      </c>
      <c r="V302" s="3">
        <v>46051.461111111108</v>
      </c>
      <c r="W302" t="s">
        <v>1816</v>
      </c>
      <c r="X302" t="s">
        <v>1817</v>
      </c>
      <c r="Y302" t="str">
        <f>"0424655079"</f>
        <v>0424655079</v>
      </c>
      <c r="Z302" t="s">
        <v>70</v>
      </c>
      <c r="AA302" s="1">
        <v>46055</v>
      </c>
      <c r="AB302" t="s">
        <v>1818</v>
      </c>
      <c r="AD302" t="s">
        <v>61</v>
      </c>
      <c r="AE302" t="s">
        <v>97</v>
      </c>
      <c r="AF302">
        <v>2010</v>
      </c>
      <c r="AG302" t="s">
        <v>1815</v>
      </c>
      <c r="AI302" t="s">
        <v>59</v>
      </c>
      <c r="AL302" t="s">
        <v>1819</v>
      </c>
      <c r="AN302" s="3">
        <v>46055.706944444442</v>
      </c>
      <c r="AO302" t="s">
        <v>1816</v>
      </c>
    </row>
    <row r="303" spans="1:41" x14ac:dyDescent="0.3">
      <c r="A303" t="s">
        <v>61</v>
      </c>
      <c r="B303" t="s">
        <v>62</v>
      </c>
      <c r="C303" t="s">
        <v>43</v>
      </c>
      <c r="D303" t="s">
        <v>63</v>
      </c>
      <c r="E303" s="1">
        <v>46055</v>
      </c>
      <c r="F303" t="s">
        <v>569</v>
      </c>
      <c r="G303" t="s">
        <v>45</v>
      </c>
      <c r="H303" s="2">
        <v>0.3125</v>
      </c>
      <c r="I303" s="2">
        <v>0.66666666666666663</v>
      </c>
      <c r="J303" t="s">
        <v>185</v>
      </c>
      <c r="L303" t="s">
        <v>186</v>
      </c>
      <c r="M303" t="s">
        <v>1820</v>
      </c>
      <c r="N303" t="s">
        <v>1821</v>
      </c>
      <c r="O303">
        <v>5951390</v>
      </c>
      <c r="Q303" t="s">
        <v>1822</v>
      </c>
      <c r="R303" t="s">
        <v>67</v>
      </c>
      <c r="S303" t="s">
        <v>52</v>
      </c>
      <c r="U303">
        <v>888967</v>
      </c>
      <c r="V303" s="3">
        <v>46049.379166666666</v>
      </c>
      <c r="W303" t="s">
        <v>1823</v>
      </c>
      <c r="X303" t="s">
        <v>1824</v>
      </c>
      <c r="Y303" t="str">
        <f>"0416481995"</f>
        <v>0416481995</v>
      </c>
      <c r="Z303" t="s">
        <v>1669</v>
      </c>
      <c r="AB303" t="s">
        <v>71</v>
      </c>
      <c r="AD303" t="s">
        <v>61</v>
      </c>
      <c r="AE303" t="s">
        <v>72</v>
      </c>
      <c r="AF303">
        <v>2747</v>
      </c>
      <c r="AG303" t="s">
        <v>73</v>
      </c>
      <c r="AI303" t="s">
        <v>59</v>
      </c>
      <c r="AL303" t="s">
        <v>1825</v>
      </c>
      <c r="AN303" s="3">
        <v>46055.584027777775</v>
      </c>
      <c r="AO303" t="s">
        <v>1823</v>
      </c>
    </row>
    <row r="304" spans="1:41" x14ac:dyDescent="0.3">
      <c r="A304" t="s">
        <v>41</v>
      </c>
      <c r="B304" t="s">
        <v>426</v>
      </c>
      <c r="C304" t="s">
        <v>43</v>
      </c>
      <c r="D304" t="s">
        <v>246</v>
      </c>
      <c r="E304" s="1">
        <v>46055</v>
      </c>
      <c r="F304" t="s">
        <v>569</v>
      </c>
      <c r="G304" t="s">
        <v>45</v>
      </c>
      <c r="H304" s="2">
        <v>0.32291666666666669</v>
      </c>
      <c r="I304" s="2">
        <v>0.71875</v>
      </c>
      <c r="J304" t="s">
        <v>185</v>
      </c>
      <c r="K304" t="s">
        <v>427</v>
      </c>
      <c r="L304" t="s">
        <v>815</v>
      </c>
      <c r="M304" t="s">
        <v>816</v>
      </c>
      <c r="N304" t="s">
        <v>817</v>
      </c>
      <c r="O304">
        <v>22501</v>
      </c>
      <c r="Q304" t="s">
        <v>1826</v>
      </c>
      <c r="R304" t="s">
        <v>51</v>
      </c>
      <c r="S304" t="s">
        <v>52</v>
      </c>
      <c r="U304">
        <v>889017</v>
      </c>
      <c r="V304" s="3">
        <v>46052.652777777781</v>
      </c>
      <c r="W304" t="s">
        <v>818</v>
      </c>
      <c r="X304" t="s">
        <v>819</v>
      </c>
      <c r="Y304" t="str">
        <f>"0432588228"</f>
        <v>0432588228</v>
      </c>
      <c r="Z304" t="s">
        <v>84</v>
      </c>
      <c r="AB304" t="s">
        <v>434</v>
      </c>
      <c r="AD304" t="s">
        <v>41</v>
      </c>
      <c r="AE304" t="s">
        <v>435</v>
      </c>
      <c r="AF304">
        <v>4163</v>
      </c>
      <c r="AG304" t="s">
        <v>249</v>
      </c>
      <c r="AI304" t="s">
        <v>59</v>
      </c>
      <c r="AL304" t="s">
        <v>249</v>
      </c>
      <c r="AN304" s="3">
        <v>46055.763888888891</v>
      </c>
      <c r="AO304" t="s">
        <v>818</v>
      </c>
    </row>
    <row r="305" spans="1:41" x14ac:dyDescent="0.3">
      <c r="A305" t="s">
        <v>61</v>
      </c>
      <c r="B305" t="s">
        <v>182</v>
      </c>
      <c r="C305" t="s">
        <v>183</v>
      </c>
      <c r="D305" t="s">
        <v>184</v>
      </c>
      <c r="E305" s="1">
        <v>46055</v>
      </c>
      <c r="F305" t="s">
        <v>569</v>
      </c>
      <c r="G305" t="s">
        <v>45</v>
      </c>
      <c r="H305" s="2">
        <v>0.33333333333333331</v>
      </c>
      <c r="I305" s="2">
        <v>0.99861111111111112</v>
      </c>
      <c r="J305" t="s">
        <v>185</v>
      </c>
      <c r="L305" t="s">
        <v>47</v>
      </c>
      <c r="M305" t="s">
        <v>657</v>
      </c>
      <c r="N305" t="s">
        <v>658</v>
      </c>
      <c r="O305">
        <v>22959</v>
      </c>
      <c r="Q305" t="s">
        <v>189</v>
      </c>
      <c r="R305" t="s">
        <v>132</v>
      </c>
      <c r="S305" t="s">
        <v>52</v>
      </c>
      <c r="U305">
        <v>888963</v>
      </c>
      <c r="V305" s="3">
        <v>46051.487500000003</v>
      </c>
      <c r="W305" t="s">
        <v>660</v>
      </c>
      <c r="X305" t="s">
        <v>661</v>
      </c>
      <c r="Y305" t="str">
        <f>"0451533427"</f>
        <v>0451533427</v>
      </c>
      <c r="Z305" t="s">
        <v>70</v>
      </c>
      <c r="AB305" t="s">
        <v>193</v>
      </c>
      <c r="AD305" t="s">
        <v>61</v>
      </c>
      <c r="AE305" t="s">
        <v>194</v>
      </c>
      <c r="AF305">
        <v>2229</v>
      </c>
      <c r="AG305" t="s">
        <v>189</v>
      </c>
      <c r="AI305" t="s">
        <v>59</v>
      </c>
      <c r="AL305" t="s">
        <v>1827</v>
      </c>
      <c r="AN305" s="3">
        <v>46055.565972222219</v>
      </c>
      <c r="AO305" t="s">
        <v>660</v>
      </c>
    </row>
    <row r="306" spans="1:41" x14ac:dyDescent="0.3">
      <c r="A306" t="s">
        <v>75</v>
      </c>
      <c r="B306" t="s">
        <v>895</v>
      </c>
      <c r="C306" t="s">
        <v>896</v>
      </c>
      <c r="D306" t="s">
        <v>184</v>
      </c>
      <c r="E306" s="1">
        <v>46055</v>
      </c>
      <c r="F306" t="s">
        <v>569</v>
      </c>
      <c r="G306" t="s">
        <v>45</v>
      </c>
      <c r="H306" s="2">
        <v>0.33333333333333331</v>
      </c>
      <c r="I306" s="2">
        <v>0.58333333333333337</v>
      </c>
      <c r="J306" t="s">
        <v>46</v>
      </c>
      <c r="K306" t="s">
        <v>77</v>
      </c>
      <c r="L306" t="s">
        <v>47</v>
      </c>
      <c r="M306" t="s">
        <v>1828</v>
      </c>
      <c r="N306" t="s">
        <v>1829</v>
      </c>
      <c r="O306">
        <v>5951238</v>
      </c>
      <c r="Q306" t="s">
        <v>1830</v>
      </c>
      <c r="R306" t="s">
        <v>926</v>
      </c>
      <c r="S306" t="s">
        <v>52</v>
      </c>
      <c r="U306">
        <v>889006</v>
      </c>
      <c r="V306" s="3">
        <v>46052.643750000003</v>
      </c>
      <c r="W306" t="s">
        <v>1831</v>
      </c>
      <c r="X306" t="s">
        <v>1832</v>
      </c>
      <c r="Y306" t="str">
        <f>"0423470636"</f>
        <v>0423470636</v>
      </c>
      <c r="Z306" t="s">
        <v>70</v>
      </c>
      <c r="AA306" s="1">
        <v>46055</v>
      </c>
      <c r="AB306" t="s">
        <v>902</v>
      </c>
      <c r="AD306" t="s">
        <v>75</v>
      </c>
      <c r="AE306" t="s">
        <v>903</v>
      </c>
      <c r="AF306">
        <v>6009</v>
      </c>
      <c r="AG306" t="s">
        <v>1833</v>
      </c>
      <c r="AI306" t="s">
        <v>59</v>
      </c>
      <c r="AL306" t="s">
        <v>1834</v>
      </c>
      <c r="AN306" s="3">
        <v>46055.705555555556</v>
      </c>
      <c r="AO306" t="s">
        <v>1831</v>
      </c>
    </row>
    <row r="307" spans="1:41" x14ac:dyDescent="0.3">
      <c r="A307" t="s">
        <v>75</v>
      </c>
      <c r="B307" t="s">
        <v>895</v>
      </c>
      <c r="C307" t="s">
        <v>896</v>
      </c>
      <c r="D307" t="s">
        <v>184</v>
      </c>
      <c r="E307" s="1">
        <v>46055</v>
      </c>
      <c r="F307" t="s">
        <v>569</v>
      </c>
      <c r="G307" t="s">
        <v>45</v>
      </c>
      <c r="H307" s="2">
        <v>0.33333333333333331</v>
      </c>
      <c r="I307" s="2">
        <v>0.58333333333333337</v>
      </c>
      <c r="J307" t="s">
        <v>46</v>
      </c>
      <c r="K307" t="s">
        <v>77</v>
      </c>
      <c r="L307" t="s">
        <v>47</v>
      </c>
      <c r="M307" t="s">
        <v>64</v>
      </c>
      <c r="N307" t="s">
        <v>1055</v>
      </c>
      <c r="O307">
        <v>5951519</v>
      </c>
      <c r="Q307" t="s">
        <v>1835</v>
      </c>
      <c r="R307" t="s">
        <v>926</v>
      </c>
      <c r="S307" t="s">
        <v>52</v>
      </c>
      <c r="U307">
        <v>889004</v>
      </c>
      <c r="V307" s="3">
        <v>46052.643055555556</v>
      </c>
      <c r="W307" t="s">
        <v>1057</v>
      </c>
      <c r="X307" t="s">
        <v>1058</v>
      </c>
      <c r="Y307" t="str">
        <f>"0432063806"</f>
        <v>0432063806</v>
      </c>
      <c r="Z307" t="s">
        <v>84</v>
      </c>
      <c r="AA307" s="1">
        <v>46055</v>
      </c>
      <c r="AB307" t="s">
        <v>902</v>
      </c>
      <c r="AD307" t="s">
        <v>75</v>
      </c>
      <c r="AE307" t="s">
        <v>903</v>
      </c>
      <c r="AF307">
        <v>6009</v>
      </c>
      <c r="AG307" t="s">
        <v>1833</v>
      </c>
      <c r="AI307" t="s">
        <v>59</v>
      </c>
      <c r="AL307" t="s">
        <v>1836</v>
      </c>
      <c r="AN307" s="3">
        <v>46055.70416666667</v>
      </c>
      <c r="AO307" t="s">
        <v>1057</v>
      </c>
    </row>
    <row r="308" spans="1:41" x14ac:dyDescent="0.3">
      <c r="A308" t="s">
        <v>168</v>
      </c>
      <c r="B308" t="s">
        <v>409</v>
      </c>
      <c r="C308" t="s">
        <v>202</v>
      </c>
      <c r="D308" t="s">
        <v>309</v>
      </c>
      <c r="E308" s="1">
        <v>46055</v>
      </c>
      <c r="F308" t="s">
        <v>569</v>
      </c>
      <c r="G308" t="s">
        <v>45</v>
      </c>
      <c r="H308" s="2">
        <v>0.33333333333333331</v>
      </c>
      <c r="I308" s="2">
        <v>0.66666666666666663</v>
      </c>
      <c r="J308" t="s">
        <v>1837</v>
      </c>
      <c r="K308" t="s">
        <v>750</v>
      </c>
      <c r="L308" t="s">
        <v>47</v>
      </c>
      <c r="M308" t="s">
        <v>1161</v>
      </c>
      <c r="N308" t="s">
        <v>1162</v>
      </c>
      <c r="O308">
        <v>22168</v>
      </c>
      <c r="Q308" t="s">
        <v>413</v>
      </c>
      <c r="R308" t="s">
        <v>145</v>
      </c>
      <c r="S308" t="s">
        <v>119</v>
      </c>
      <c r="T308" t="s">
        <v>414</v>
      </c>
      <c r="U308">
        <v>889718</v>
      </c>
      <c r="V308" s="3">
        <v>46052.738888888889</v>
      </c>
      <c r="W308" t="s">
        <v>1163</v>
      </c>
      <c r="X308" t="s">
        <v>1164</v>
      </c>
      <c r="Y308" t="str">
        <f>"0421462931"</f>
        <v>0421462931</v>
      </c>
      <c r="Z308" t="s">
        <v>70</v>
      </c>
      <c r="AB308" t="s">
        <v>417</v>
      </c>
      <c r="AD308" t="s">
        <v>168</v>
      </c>
      <c r="AE308" t="s">
        <v>384</v>
      </c>
      <c r="AF308">
        <v>5000</v>
      </c>
      <c r="AI308" t="s">
        <v>59</v>
      </c>
      <c r="AL308" t="s">
        <v>1729</v>
      </c>
      <c r="AM308" t="s">
        <v>1838</v>
      </c>
      <c r="AN308" s="3">
        <v>46053.73541666667</v>
      </c>
      <c r="AO308" t="s">
        <v>145</v>
      </c>
    </row>
    <row r="309" spans="1:41" x14ac:dyDescent="0.3">
      <c r="A309" t="s">
        <v>41</v>
      </c>
      <c r="B309" t="s">
        <v>1546</v>
      </c>
      <c r="C309" t="s">
        <v>1547</v>
      </c>
      <c r="D309" t="s">
        <v>127</v>
      </c>
      <c r="E309" s="1">
        <v>46055</v>
      </c>
      <c r="F309" t="s">
        <v>569</v>
      </c>
      <c r="G309" t="s">
        <v>45</v>
      </c>
      <c r="H309" s="2">
        <v>0.33333333333333331</v>
      </c>
      <c r="I309" s="2">
        <v>0.99861111111111112</v>
      </c>
      <c r="J309" t="s">
        <v>464</v>
      </c>
      <c r="L309" t="s">
        <v>464</v>
      </c>
      <c r="M309" t="s">
        <v>465</v>
      </c>
      <c r="N309" t="s">
        <v>466</v>
      </c>
      <c r="O309">
        <v>401722</v>
      </c>
      <c r="Q309" t="s">
        <v>1548</v>
      </c>
      <c r="R309" t="s">
        <v>132</v>
      </c>
      <c r="S309" t="s">
        <v>52</v>
      </c>
      <c r="U309">
        <v>889014</v>
      </c>
      <c r="V309" s="3">
        <v>46055.324999999997</v>
      </c>
      <c r="W309" t="s">
        <v>468</v>
      </c>
      <c r="X309" t="s">
        <v>469</v>
      </c>
      <c r="Y309" t="str">
        <f>"0423030872"</f>
        <v>0423030872</v>
      </c>
      <c r="Z309" t="s">
        <v>70</v>
      </c>
      <c r="AA309" s="1">
        <v>46055</v>
      </c>
      <c r="AB309" t="s">
        <v>1549</v>
      </c>
      <c r="AC309" t="s">
        <v>1550</v>
      </c>
      <c r="AD309" t="s">
        <v>41</v>
      </c>
      <c r="AE309" t="s">
        <v>150</v>
      </c>
      <c r="AF309">
        <v>4000</v>
      </c>
      <c r="AG309" t="s">
        <v>1548</v>
      </c>
      <c r="AI309" t="s">
        <v>59</v>
      </c>
      <c r="AL309" t="s">
        <v>1839</v>
      </c>
      <c r="AN309" s="3">
        <v>46055.753472222219</v>
      </c>
      <c r="AO309" t="s">
        <v>468</v>
      </c>
    </row>
    <row r="310" spans="1:41" x14ac:dyDescent="0.3">
      <c r="A310" t="s">
        <v>61</v>
      </c>
      <c r="B310" t="s">
        <v>350</v>
      </c>
      <c r="C310" t="s">
        <v>202</v>
      </c>
      <c r="D310" t="s">
        <v>63</v>
      </c>
      <c r="E310" s="1">
        <v>46055</v>
      </c>
      <c r="F310" t="s">
        <v>569</v>
      </c>
      <c r="G310" t="s">
        <v>45</v>
      </c>
      <c r="H310" s="2">
        <v>0.33333333333333331</v>
      </c>
      <c r="I310" s="2">
        <v>0.66666666666666663</v>
      </c>
      <c r="J310" t="s">
        <v>46</v>
      </c>
      <c r="L310" t="s">
        <v>47</v>
      </c>
      <c r="M310" t="s">
        <v>351</v>
      </c>
      <c r="N310" t="s">
        <v>352</v>
      </c>
      <c r="O310">
        <v>5951965</v>
      </c>
      <c r="Q310" t="s">
        <v>369</v>
      </c>
      <c r="R310" t="s">
        <v>132</v>
      </c>
      <c r="S310" t="s">
        <v>52</v>
      </c>
      <c r="U310">
        <v>889001</v>
      </c>
      <c r="V310" s="3">
        <v>46052.537499999999</v>
      </c>
      <c r="W310" t="s">
        <v>354</v>
      </c>
      <c r="X310" t="s">
        <v>355</v>
      </c>
      <c r="Y310" t="str">
        <f>"0430083393"</f>
        <v>0430083393</v>
      </c>
      <c r="Z310" t="s">
        <v>70</v>
      </c>
      <c r="AA310" s="1">
        <v>46055</v>
      </c>
      <c r="AB310" t="s">
        <v>356</v>
      </c>
      <c r="AD310" t="s">
        <v>61</v>
      </c>
      <c r="AE310" t="s">
        <v>357</v>
      </c>
      <c r="AF310">
        <v>2153</v>
      </c>
      <c r="AG310" t="s">
        <v>369</v>
      </c>
      <c r="AI310" t="s">
        <v>59</v>
      </c>
      <c r="AL310" t="s">
        <v>1840</v>
      </c>
      <c r="AN310" s="3">
        <v>46055.665972222225</v>
      </c>
      <c r="AO310" t="s">
        <v>354</v>
      </c>
    </row>
    <row r="311" spans="1:41" x14ac:dyDescent="0.3">
      <c r="A311" t="s">
        <v>61</v>
      </c>
      <c r="B311" t="s">
        <v>655</v>
      </c>
      <c r="C311" t="s">
        <v>43</v>
      </c>
      <c r="D311" t="s">
        <v>656</v>
      </c>
      <c r="E311" s="1">
        <v>46055</v>
      </c>
      <c r="F311" t="s">
        <v>569</v>
      </c>
      <c r="G311" t="s">
        <v>45</v>
      </c>
      <c r="H311" s="2">
        <v>0.34375</v>
      </c>
      <c r="I311" s="2">
        <v>0.99861111111111112</v>
      </c>
      <c r="J311" t="s">
        <v>101</v>
      </c>
      <c r="L311" t="s">
        <v>47</v>
      </c>
      <c r="M311" t="s">
        <v>785</v>
      </c>
      <c r="N311" t="s">
        <v>905</v>
      </c>
      <c r="O311">
        <v>5950885</v>
      </c>
      <c r="Q311" t="s">
        <v>665</v>
      </c>
      <c r="R311" t="s">
        <v>67</v>
      </c>
      <c r="S311" t="s">
        <v>52</v>
      </c>
      <c r="U311">
        <v>888961</v>
      </c>
      <c r="V311" s="3">
        <v>46042.432638888888</v>
      </c>
      <c r="W311" t="s">
        <v>906</v>
      </c>
      <c r="X311" t="s">
        <v>907</v>
      </c>
      <c r="Y311" t="str">
        <f>"0421650139"</f>
        <v>0421650139</v>
      </c>
      <c r="Z311" t="s">
        <v>1841</v>
      </c>
      <c r="AB311" t="s">
        <v>662</v>
      </c>
      <c r="AC311" t="s">
        <v>663</v>
      </c>
      <c r="AD311" t="s">
        <v>61</v>
      </c>
      <c r="AE311" t="s">
        <v>664</v>
      </c>
      <c r="AF311">
        <v>2067</v>
      </c>
      <c r="AG311" t="s">
        <v>665</v>
      </c>
      <c r="AI311" t="s">
        <v>59</v>
      </c>
      <c r="AL311" t="s">
        <v>1842</v>
      </c>
      <c r="AN311" s="3">
        <v>46055.557638888888</v>
      </c>
      <c r="AO311" t="s">
        <v>906</v>
      </c>
    </row>
    <row r="312" spans="1:41" x14ac:dyDescent="0.3">
      <c r="A312" t="s">
        <v>61</v>
      </c>
      <c r="B312" t="s">
        <v>1843</v>
      </c>
      <c r="C312" t="s">
        <v>43</v>
      </c>
      <c r="D312" t="s">
        <v>127</v>
      </c>
      <c r="E312" s="1">
        <v>46055</v>
      </c>
      <c r="F312" t="s">
        <v>569</v>
      </c>
      <c r="G312" t="s">
        <v>45</v>
      </c>
      <c r="H312" s="2">
        <v>0.35416666666666669</v>
      </c>
      <c r="I312" s="2">
        <v>0.99861111111111112</v>
      </c>
      <c r="J312" t="s">
        <v>185</v>
      </c>
      <c r="L312" t="s">
        <v>186</v>
      </c>
      <c r="M312" t="s">
        <v>1645</v>
      </c>
      <c r="N312" t="s">
        <v>564</v>
      </c>
      <c r="O312">
        <v>5950929</v>
      </c>
      <c r="Q312" t="s">
        <v>1844</v>
      </c>
      <c r="R312" t="s">
        <v>1248</v>
      </c>
      <c r="S312" t="s">
        <v>52</v>
      </c>
      <c r="U312">
        <v>888960</v>
      </c>
      <c r="V312" s="3">
        <v>46044.683333333334</v>
      </c>
      <c r="W312" t="s">
        <v>1845</v>
      </c>
      <c r="X312" t="s">
        <v>1846</v>
      </c>
      <c r="Y312" t="str">
        <f>"0426199544"</f>
        <v>0426199544</v>
      </c>
      <c r="Z312" t="s">
        <v>70</v>
      </c>
      <c r="AA312" s="1">
        <v>46055</v>
      </c>
      <c r="AB312" t="s">
        <v>1847</v>
      </c>
      <c r="AD312" t="s">
        <v>61</v>
      </c>
      <c r="AE312" t="s">
        <v>1848</v>
      </c>
      <c r="AF312">
        <v>2217</v>
      </c>
      <c r="AG312" t="s">
        <v>1844</v>
      </c>
      <c r="AI312" t="s">
        <v>59</v>
      </c>
      <c r="AL312" t="s">
        <v>1649</v>
      </c>
      <c r="AN312" s="3">
        <v>46055.543055555558</v>
      </c>
      <c r="AO312" t="s">
        <v>1845</v>
      </c>
    </row>
    <row r="313" spans="1:41" x14ac:dyDescent="0.3">
      <c r="A313" t="s">
        <v>41</v>
      </c>
      <c r="B313" t="s">
        <v>1849</v>
      </c>
      <c r="C313" t="s">
        <v>1850</v>
      </c>
      <c r="E313" s="1">
        <v>46055</v>
      </c>
      <c r="F313" t="s">
        <v>569</v>
      </c>
      <c r="G313" t="s">
        <v>45</v>
      </c>
      <c r="H313" s="2">
        <v>0.35416666666666669</v>
      </c>
      <c r="I313" s="2">
        <v>0.6875</v>
      </c>
      <c r="J313" t="s">
        <v>296</v>
      </c>
      <c r="L313" t="s">
        <v>141</v>
      </c>
      <c r="M313" t="s">
        <v>142</v>
      </c>
      <c r="N313" t="s">
        <v>143</v>
      </c>
      <c r="O313">
        <v>22649</v>
      </c>
      <c r="Q313" t="s">
        <v>1851</v>
      </c>
      <c r="R313" t="s">
        <v>1248</v>
      </c>
      <c r="S313" t="s">
        <v>52</v>
      </c>
      <c r="U313">
        <v>889008</v>
      </c>
      <c r="V313" s="3">
        <v>46051.714583333334</v>
      </c>
      <c r="W313" t="s">
        <v>146</v>
      </c>
      <c r="X313" t="s">
        <v>147</v>
      </c>
      <c r="Y313" t="str">
        <f>"0407039143"</f>
        <v>0407039143</v>
      </c>
      <c r="Z313" t="s">
        <v>70</v>
      </c>
      <c r="AA313" s="1">
        <v>46055</v>
      </c>
      <c r="AB313" t="s">
        <v>1852</v>
      </c>
      <c r="AD313" t="s">
        <v>41</v>
      </c>
      <c r="AE313" t="s">
        <v>1853</v>
      </c>
      <c r="AF313">
        <v>4007</v>
      </c>
      <c r="AG313" t="s">
        <v>1851</v>
      </c>
      <c r="AI313" t="s">
        <v>59</v>
      </c>
      <c r="AL313" t="s">
        <v>1854</v>
      </c>
      <c r="AN313" s="3">
        <v>46055.728472222225</v>
      </c>
      <c r="AO313" t="s">
        <v>146</v>
      </c>
    </row>
    <row r="314" spans="1:41" x14ac:dyDescent="0.3">
      <c r="A314" t="s">
        <v>61</v>
      </c>
      <c r="B314" t="s">
        <v>62</v>
      </c>
      <c r="C314" t="s">
        <v>43</v>
      </c>
      <c r="D314" t="s">
        <v>63</v>
      </c>
      <c r="E314" s="1">
        <v>46055</v>
      </c>
      <c r="F314" t="s">
        <v>569</v>
      </c>
      <c r="G314" t="s">
        <v>45</v>
      </c>
      <c r="H314" s="2">
        <v>0.35416666666666669</v>
      </c>
      <c r="I314" s="2">
        <v>0.99861111111111112</v>
      </c>
      <c r="J314" t="s">
        <v>185</v>
      </c>
      <c r="L314" t="s">
        <v>784</v>
      </c>
      <c r="M314" t="s">
        <v>785</v>
      </c>
      <c r="N314" t="s">
        <v>786</v>
      </c>
      <c r="O314">
        <v>5951112</v>
      </c>
      <c r="Q314" t="s">
        <v>488</v>
      </c>
      <c r="R314" t="s">
        <v>145</v>
      </c>
      <c r="S314" t="s">
        <v>52</v>
      </c>
      <c r="U314">
        <v>889010</v>
      </c>
      <c r="V314" s="3">
        <v>46052.875</v>
      </c>
      <c r="W314" t="s">
        <v>787</v>
      </c>
      <c r="X314" t="s">
        <v>788</v>
      </c>
      <c r="Y314" t="str">
        <f>"0423329386"</f>
        <v>0423329386</v>
      </c>
      <c r="Z314" t="s">
        <v>70</v>
      </c>
      <c r="AA314" s="1">
        <v>46055</v>
      </c>
      <c r="AB314" t="s">
        <v>71</v>
      </c>
      <c r="AD314" t="s">
        <v>61</v>
      </c>
      <c r="AE314" t="s">
        <v>72</v>
      </c>
      <c r="AF314">
        <v>2747</v>
      </c>
      <c r="AG314" t="s">
        <v>73</v>
      </c>
      <c r="AI314" t="s">
        <v>59</v>
      </c>
      <c r="AL314" t="s">
        <v>1855</v>
      </c>
      <c r="AN314" s="3">
        <v>46055.730555555558</v>
      </c>
      <c r="AO314" t="s">
        <v>787</v>
      </c>
    </row>
    <row r="315" spans="1:41" x14ac:dyDescent="0.3">
      <c r="A315" t="s">
        <v>61</v>
      </c>
      <c r="B315" t="s">
        <v>88</v>
      </c>
      <c r="C315" t="s">
        <v>1856</v>
      </c>
      <c r="D315" t="s">
        <v>90</v>
      </c>
      <c r="E315" s="1">
        <v>46055</v>
      </c>
      <c r="F315" t="s">
        <v>569</v>
      </c>
      <c r="G315" t="s">
        <v>45</v>
      </c>
      <c r="H315" s="2">
        <v>0.35416666666666669</v>
      </c>
      <c r="I315" s="2">
        <v>0.70833333333333337</v>
      </c>
      <c r="J315" t="s">
        <v>46</v>
      </c>
      <c r="L315" t="s">
        <v>159</v>
      </c>
      <c r="M315" t="s">
        <v>1126</v>
      </c>
      <c r="N315" t="s">
        <v>1127</v>
      </c>
      <c r="O315">
        <v>21552</v>
      </c>
      <c r="P315">
        <v>11637244</v>
      </c>
      <c r="Q315" t="s">
        <v>1245</v>
      </c>
      <c r="R315" t="s">
        <v>67</v>
      </c>
      <c r="S315" t="s">
        <v>52</v>
      </c>
      <c r="U315">
        <v>889005</v>
      </c>
      <c r="V315" s="3">
        <v>46051.591666666667</v>
      </c>
      <c r="W315" t="s">
        <v>1129</v>
      </c>
      <c r="X315" t="s">
        <v>1130</v>
      </c>
      <c r="Y315" t="str">
        <f>"0401723179"</f>
        <v>0401723179</v>
      </c>
      <c r="Z315" t="s">
        <v>123</v>
      </c>
      <c r="AA315" s="1">
        <v>46055</v>
      </c>
      <c r="AB315" t="s">
        <v>96</v>
      </c>
      <c r="AD315" t="s">
        <v>61</v>
      </c>
      <c r="AE315" t="s">
        <v>97</v>
      </c>
      <c r="AF315">
        <v>2010</v>
      </c>
      <c r="AG315" t="s">
        <v>98</v>
      </c>
      <c r="AI315" t="s">
        <v>59</v>
      </c>
      <c r="AL315" t="s">
        <v>1857</v>
      </c>
      <c r="AN315" s="3">
        <v>46055.704861111109</v>
      </c>
      <c r="AO315" t="s">
        <v>1129</v>
      </c>
    </row>
    <row r="316" spans="1:41" x14ac:dyDescent="0.3">
      <c r="A316" t="s">
        <v>168</v>
      </c>
      <c r="B316" t="s">
        <v>1205</v>
      </c>
      <c r="C316" t="s">
        <v>202</v>
      </c>
      <c r="D316" t="s">
        <v>127</v>
      </c>
      <c r="E316" s="1">
        <v>46055</v>
      </c>
      <c r="F316" t="s">
        <v>569</v>
      </c>
      <c r="G316" t="s">
        <v>45</v>
      </c>
      <c r="H316" s="2">
        <v>0.35416666666666669</v>
      </c>
      <c r="I316" s="2">
        <v>0.52083333333333337</v>
      </c>
      <c r="J316" t="s">
        <v>46</v>
      </c>
      <c r="L316" t="s">
        <v>47</v>
      </c>
      <c r="M316" t="s">
        <v>1858</v>
      </c>
      <c r="N316" t="s">
        <v>1859</v>
      </c>
      <c r="O316">
        <v>22247</v>
      </c>
      <c r="Q316" t="s">
        <v>1208</v>
      </c>
      <c r="R316" t="s">
        <v>231</v>
      </c>
      <c r="S316" t="s">
        <v>52</v>
      </c>
      <c r="U316">
        <v>888959</v>
      </c>
      <c r="V316" s="3">
        <v>46042.604861111111</v>
      </c>
      <c r="W316" t="s">
        <v>1860</v>
      </c>
      <c r="X316" t="s">
        <v>1861</v>
      </c>
      <c r="Y316" t="str">
        <f>"0450244995"</f>
        <v>0450244995</v>
      </c>
      <c r="Z316" t="s">
        <v>1862</v>
      </c>
      <c r="AB316" t="s">
        <v>1211</v>
      </c>
      <c r="AD316" t="s">
        <v>168</v>
      </c>
      <c r="AE316" t="s">
        <v>1212</v>
      </c>
      <c r="AF316">
        <v>5045</v>
      </c>
      <c r="AG316" t="s">
        <v>1208</v>
      </c>
      <c r="AI316" t="s">
        <v>59</v>
      </c>
      <c r="AL316" t="s">
        <v>1863</v>
      </c>
      <c r="AN316" s="3">
        <v>46055.538888888892</v>
      </c>
      <c r="AO316" t="s">
        <v>1860</v>
      </c>
    </row>
    <row r="317" spans="1:41" x14ac:dyDescent="0.3">
      <c r="A317" t="s">
        <v>874</v>
      </c>
      <c r="B317" t="s">
        <v>875</v>
      </c>
      <c r="D317" t="s">
        <v>388</v>
      </c>
      <c r="E317" s="1">
        <v>46055</v>
      </c>
      <c r="F317" t="s">
        <v>569</v>
      </c>
      <c r="G317" t="s">
        <v>45</v>
      </c>
      <c r="H317" s="2">
        <v>0.35416666666666669</v>
      </c>
      <c r="I317" s="2">
        <v>0.70833333333333337</v>
      </c>
      <c r="J317" t="s">
        <v>876</v>
      </c>
      <c r="L317" t="s">
        <v>877</v>
      </c>
      <c r="M317" t="s">
        <v>878</v>
      </c>
      <c r="N317" t="s">
        <v>879</v>
      </c>
      <c r="O317">
        <v>5951689</v>
      </c>
      <c r="P317" t="s">
        <v>249</v>
      </c>
      <c r="Q317" t="s">
        <v>880</v>
      </c>
      <c r="R317" t="s">
        <v>392</v>
      </c>
      <c r="S317" t="s">
        <v>52</v>
      </c>
      <c r="T317" t="s">
        <v>252</v>
      </c>
      <c r="U317">
        <v>889585</v>
      </c>
      <c r="V317" s="3">
        <v>46059.589583333334</v>
      </c>
      <c r="W317" t="s">
        <v>881</v>
      </c>
      <c r="X317" t="s">
        <v>882</v>
      </c>
      <c r="Y317" t="str">
        <f>"0474765680"</f>
        <v>0474765680</v>
      </c>
      <c r="Z317" t="s">
        <v>585</v>
      </c>
      <c r="AA317" s="1">
        <v>46110</v>
      </c>
      <c r="AB317" t="s">
        <v>883</v>
      </c>
      <c r="AD317" t="s">
        <v>397</v>
      </c>
      <c r="AE317" t="s">
        <v>884</v>
      </c>
      <c r="AG317" t="s">
        <v>880</v>
      </c>
      <c r="AI317" t="s">
        <v>59</v>
      </c>
      <c r="AJ317" t="str">
        <f>"0090000061"</f>
        <v>0090000061</v>
      </c>
      <c r="AN317" s="3">
        <v>46059.589583333334</v>
      </c>
      <c r="AO317" t="s">
        <v>392</v>
      </c>
    </row>
    <row r="318" spans="1:41" x14ac:dyDescent="0.3">
      <c r="A318" t="s">
        <v>75</v>
      </c>
      <c r="B318" t="s">
        <v>804</v>
      </c>
      <c r="C318" t="s">
        <v>43</v>
      </c>
      <c r="D318" t="s">
        <v>700</v>
      </c>
      <c r="E318" s="1">
        <v>46055</v>
      </c>
      <c r="F318" t="s">
        <v>569</v>
      </c>
      <c r="G318" t="s">
        <v>45</v>
      </c>
      <c r="H318" s="2">
        <v>0.375</v>
      </c>
      <c r="I318" s="2">
        <v>0.75</v>
      </c>
      <c r="J318" t="s">
        <v>46</v>
      </c>
      <c r="K318" t="s">
        <v>77</v>
      </c>
      <c r="L318" t="s">
        <v>47</v>
      </c>
      <c r="M318" t="s">
        <v>924</v>
      </c>
      <c r="N318" t="s">
        <v>925</v>
      </c>
      <c r="O318">
        <v>5951405</v>
      </c>
      <c r="Q318" t="s">
        <v>1864</v>
      </c>
      <c r="R318" t="s">
        <v>81</v>
      </c>
      <c r="S318" t="s">
        <v>52</v>
      </c>
      <c r="U318">
        <v>889097</v>
      </c>
      <c r="V318" s="3">
        <v>46055.43472222222</v>
      </c>
      <c r="W318" t="s">
        <v>927</v>
      </c>
      <c r="X318" t="s">
        <v>928</v>
      </c>
      <c r="Y318" t="str">
        <f>"0406099115"</f>
        <v>0406099115</v>
      </c>
      <c r="Z318" t="s">
        <v>527</v>
      </c>
      <c r="AA318" s="1">
        <v>46055</v>
      </c>
      <c r="AB318" t="s">
        <v>811</v>
      </c>
      <c r="AC318" t="s">
        <v>812</v>
      </c>
      <c r="AD318" t="s">
        <v>75</v>
      </c>
      <c r="AE318" t="s">
        <v>813</v>
      </c>
      <c r="AF318">
        <v>6050</v>
      </c>
      <c r="AG318" t="s">
        <v>808</v>
      </c>
      <c r="AI318" t="s">
        <v>59</v>
      </c>
      <c r="AL318" t="s">
        <v>1865</v>
      </c>
      <c r="AN318" s="3">
        <v>46055.870138888888</v>
      </c>
      <c r="AO318" t="s">
        <v>927</v>
      </c>
    </row>
    <row r="319" spans="1:41" x14ac:dyDescent="0.3">
      <c r="A319" t="s">
        <v>41</v>
      </c>
      <c r="B319" t="s">
        <v>1219</v>
      </c>
      <c r="C319" t="s">
        <v>43</v>
      </c>
      <c r="D319" t="s">
        <v>184</v>
      </c>
      <c r="E319" s="1">
        <v>46055</v>
      </c>
      <c r="F319" t="s">
        <v>569</v>
      </c>
      <c r="G319" t="s">
        <v>45</v>
      </c>
      <c r="H319" s="2">
        <v>0.39583333333333331</v>
      </c>
      <c r="I319" s="2">
        <v>0.75</v>
      </c>
      <c r="J319" t="s">
        <v>46</v>
      </c>
      <c r="L319" t="s">
        <v>47</v>
      </c>
      <c r="M319" t="s">
        <v>1220</v>
      </c>
      <c r="N319" t="s">
        <v>1221</v>
      </c>
      <c r="O319">
        <v>5950857</v>
      </c>
      <c r="Q319" t="s">
        <v>1866</v>
      </c>
      <c r="R319" t="s">
        <v>51</v>
      </c>
      <c r="S319" t="s">
        <v>52</v>
      </c>
      <c r="U319">
        <v>889053</v>
      </c>
      <c r="V319" s="3">
        <v>46052.662499999999</v>
      </c>
      <c r="W319" t="s">
        <v>1223</v>
      </c>
      <c r="X319" t="s">
        <v>1224</v>
      </c>
      <c r="Y319" t="str">
        <f>"0431426020"</f>
        <v>0431426020</v>
      </c>
      <c r="Z319" t="s">
        <v>70</v>
      </c>
      <c r="AA319" s="1">
        <v>46055</v>
      </c>
      <c r="AB319" t="s">
        <v>1226</v>
      </c>
      <c r="AD319" t="s">
        <v>41</v>
      </c>
      <c r="AE319" t="s">
        <v>1227</v>
      </c>
      <c r="AF319">
        <v>4217</v>
      </c>
      <c r="AG319" t="s">
        <v>1866</v>
      </c>
      <c r="AI319" t="s">
        <v>59</v>
      </c>
      <c r="AN319" s="3">
        <v>46055.793055555558</v>
      </c>
      <c r="AO319" t="s">
        <v>1223</v>
      </c>
    </row>
    <row r="320" spans="1:41" x14ac:dyDescent="0.3">
      <c r="A320" t="s">
        <v>61</v>
      </c>
      <c r="B320" t="s">
        <v>62</v>
      </c>
      <c r="C320" t="s">
        <v>100</v>
      </c>
      <c r="D320" t="s">
        <v>63</v>
      </c>
      <c r="E320" s="1">
        <v>46055</v>
      </c>
      <c r="F320" t="s">
        <v>569</v>
      </c>
      <c r="G320" t="s">
        <v>45</v>
      </c>
      <c r="H320" s="2">
        <v>0.41666666666666669</v>
      </c>
      <c r="I320" s="2">
        <v>0.77083333333333337</v>
      </c>
      <c r="J320" t="s">
        <v>100</v>
      </c>
      <c r="L320" t="s">
        <v>100</v>
      </c>
      <c r="M320" t="s">
        <v>101</v>
      </c>
      <c r="N320" t="s">
        <v>102</v>
      </c>
      <c r="O320">
        <v>27</v>
      </c>
      <c r="Q320" t="s">
        <v>103</v>
      </c>
      <c r="R320" t="s">
        <v>67</v>
      </c>
      <c r="S320" t="s">
        <v>52</v>
      </c>
      <c r="U320">
        <v>889012</v>
      </c>
      <c r="V320" s="3">
        <v>46034.648611111108</v>
      </c>
      <c r="W320" t="s">
        <v>104</v>
      </c>
      <c r="X320" t="s">
        <v>105</v>
      </c>
      <c r="Y320" t="str">
        <f>"0403748369"</f>
        <v>0403748369</v>
      </c>
      <c r="Z320" t="s">
        <v>1867</v>
      </c>
      <c r="AB320" t="s">
        <v>71</v>
      </c>
      <c r="AD320" t="s">
        <v>61</v>
      </c>
      <c r="AE320" t="s">
        <v>72</v>
      </c>
      <c r="AF320">
        <v>2747</v>
      </c>
      <c r="AG320" t="s">
        <v>103</v>
      </c>
      <c r="AI320" t="s">
        <v>59</v>
      </c>
      <c r="AL320" t="s">
        <v>1868</v>
      </c>
      <c r="AN320" s="3">
        <v>46055.741666666669</v>
      </c>
      <c r="AO320" t="s">
        <v>104</v>
      </c>
    </row>
    <row r="321" spans="1:41" x14ac:dyDescent="0.3">
      <c r="A321" t="s">
        <v>168</v>
      </c>
      <c r="B321" t="s">
        <v>409</v>
      </c>
      <c r="C321" t="s">
        <v>1869</v>
      </c>
      <c r="D321" t="s">
        <v>309</v>
      </c>
      <c r="E321" s="1">
        <v>46055</v>
      </c>
      <c r="F321" t="s">
        <v>569</v>
      </c>
      <c r="G321" t="s">
        <v>45</v>
      </c>
      <c r="H321" s="2">
        <v>0.41666666666666669</v>
      </c>
      <c r="I321" s="2">
        <v>0.75</v>
      </c>
      <c r="J321" t="s">
        <v>1837</v>
      </c>
      <c r="K321" t="s">
        <v>750</v>
      </c>
      <c r="L321" t="s">
        <v>47</v>
      </c>
      <c r="M321" t="s">
        <v>1597</v>
      </c>
      <c r="N321" t="s">
        <v>1598</v>
      </c>
      <c r="O321">
        <v>5951372</v>
      </c>
      <c r="Q321" t="s">
        <v>705</v>
      </c>
      <c r="R321" t="s">
        <v>145</v>
      </c>
      <c r="S321" t="s">
        <v>119</v>
      </c>
      <c r="T321" t="s">
        <v>414</v>
      </c>
      <c r="U321">
        <v>889722</v>
      </c>
      <c r="V321" s="3">
        <v>46052.740277777775</v>
      </c>
      <c r="W321" t="s">
        <v>1599</v>
      </c>
      <c r="X321" t="s">
        <v>1600</v>
      </c>
      <c r="Y321" t="str">
        <f>"0499117889"</f>
        <v>0499117889</v>
      </c>
      <c r="Z321" t="s">
        <v>70</v>
      </c>
      <c r="AB321" t="s">
        <v>417</v>
      </c>
      <c r="AD321" t="s">
        <v>168</v>
      </c>
      <c r="AE321" t="s">
        <v>384</v>
      </c>
      <c r="AF321">
        <v>5000</v>
      </c>
      <c r="AI321" t="s">
        <v>59</v>
      </c>
      <c r="AL321" t="s">
        <v>1729</v>
      </c>
      <c r="AM321" t="s">
        <v>1870</v>
      </c>
      <c r="AN321" s="3">
        <v>46054.525694444441</v>
      </c>
      <c r="AO321" t="s">
        <v>500</v>
      </c>
    </row>
    <row r="322" spans="1:41" x14ac:dyDescent="0.3">
      <c r="A322" t="s">
        <v>61</v>
      </c>
      <c r="B322" t="s">
        <v>912</v>
      </c>
      <c r="C322" t="s">
        <v>913</v>
      </c>
      <c r="D322" t="s">
        <v>184</v>
      </c>
      <c r="E322" s="1">
        <v>46055</v>
      </c>
      <c r="F322" t="s">
        <v>569</v>
      </c>
      <c r="G322" t="s">
        <v>45</v>
      </c>
      <c r="H322" s="2">
        <v>0.45833333333333331</v>
      </c>
      <c r="I322" s="2">
        <v>0.99861111111111112</v>
      </c>
      <c r="J322" t="s">
        <v>46</v>
      </c>
      <c r="L322" t="s">
        <v>47</v>
      </c>
      <c r="M322" t="s">
        <v>1603</v>
      </c>
      <c r="N322" t="s">
        <v>1871</v>
      </c>
      <c r="O322">
        <v>21717</v>
      </c>
      <c r="Q322" t="s">
        <v>916</v>
      </c>
      <c r="R322" t="s">
        <v>132</v>
      </c>
      <c r="S322" t="s">
        <v>52</v>
      </c>
      <c r="U322">
        <v>889047</v>
      </c>
      <c r="V322" s="3">
        <v>46038.652777777781</v>
      </c>
      <c r="W322" t="s">
        <v>1872</v>
      </c>
      <c r="X322" t="s">
        <v>1873</v>
      </c>
      <c r="Y322" t="str">
        <f>"0432570815"</f>
        <v>0432570815</v>
      </c>
      <c r="Z322" t="s">
        <v>1874</v>
      </c>
      <c r="AB322" t="s">
        <v>920</v>
      </c>
      <c r="AC322" t="s">
        <v>921</v>
      </c>
      <c r="AD322" t="s">
        <v>61</v>
      </c>
      <c r="AE322" t="s">
        <v>922</v>
      </c>
      <c r="AF322">
        <v>2228</v>
      </c>
      <c r="AG322" t="s">
        <v>1807</v>
      </c>
      <c r="AI322" t="s">
        <v>59</v>
      </c>
      <c r="AL322" t="s">
        <v>1649</v>
      </c>
      <c r="AN322" s="3">
        <v>46055.772222222222</v>
      </c>
      <c r="AO322" t="s">
        <v>1872</v>
      </c>
    </row>
    <row r="323" spans="1:41" x14ac:dyDescent="0.3">
      <c r="A323" t="s">
        <v>168</v>
      </c>
      <c r="B323" t="s">
        <v>409</v>
      </c>
      <c r="C323" t="s">
        <v>1727</v>
      </c>
      <c r="D323" t="s">
        <v>309</v>
      </c>
      <c r="E323" s="1">
        <v>46055</v>
      </c>
      <c r="F323" t="s">
        <v>569</v>
      </c>
      <c r="G323" t="s">
        <v>128</v>
      </c>
      <c r="H323" s="2">
        <v>0.5</v>
      </c>
      <c r="I323" s="2">
        <v>0.83333333333333337</v>
      </c>
      <c r="J323" t="s">
        <v>1875</v>
      </c>
      <c r="K323" t="s">
        <v>171</v>
      </c>
      <c r="L323" t="s">
        <v>204</v>
      </c>
      <c r="M323" t="s">
        <v>1876</v>
      </c>
      <c r="N323" t="s">
        <v>1877</v>
      </c>
      <c r="O323">
        <v>22978</v>
      </c>
      <c r="Q323" t="s">
        <v>413</v>
      </c>
      <c r="R323" t="s">
        <v>176</v>
      </c>
      <c r="S323" t="s">
        <v>119</v>
      </c>
      <c r="T323" t="s">
        <v>414</v>
      </c>
      <c r="U323">
        <v>889875</v>
      </c>
      <c r="V323" s="3">
        <v>46052.669444444444</v>
      </c>
      <c r="W323" t="s">
        <v>1878</v>
      </c>
      <c r="X323" t="s">
        <v>1879</v>
      </c>
      <c r="Y323" t="str">
        <f>"0401845401"</f>
        <v>0401845401</v>
      </c>
      <c r="Z323" t="s">
        <v>70</v>
      </c>
      <c r="AB323" t="s">
        <v>417</v>
      </c>
      <c r="AD323" t="s">
        <v>168</v>
      </c>
      <c r="AE323" t="s">
        <v>384</v>
      </c>
      <c r="AF323">
        <v>5000</v>
      </c>
      <c r="AI323" t="s">
        <v>59</v>
      </c>
      <c r="AL323" t="s">
        <v>1880</v>
      </c>
      <c r="AM323" t="s">
        <v>1881</v>
      </c>
      <c r="AN323" s="3">
        <v>46052.671527777777</v>
      </c>
      <c r="AO323" t="s">
        <v>176</v>
      </c>
    </row>
    <row r="324" spans="1:41" x14ac:dyDescent="0.3">
      <c r="A324" t="s">
        <v>61</v>
      </c>
      <c r="B324" t="s">
        <v>126</v>
      </c>
      <c r="C324" t="s">
        <v>43</v>
      </c>
      <c r="D324" t="s">
        <v>127</v>
      </c>
      <c r="E324" s="1">
        <v>46055</v>
      </c>
      <c r="F324" t="s">
        <v>569</v>
      </c>
      <c r="G324" t="s">
        <v>128</v>
      </c>
      <c r="H324" s="2">
        <v>0.5</v>
      </c>
      <c r="I324" s="2">
        <v>0.99861111111111112</v>
      </c>
      <c r="J324" t="s">
        <v>185</v>
      </c>
      <c r="L324" t="s">
        <v>186</v>
      </c>
      <c r="M324" t="s">
        <v>1206</v>
      </c>
      <c r="N324" t="s">
        <v>1882</v>
      </c>
      <c r="O324">
        <v>21051</v>
      </c>
      <c r="Q324" t="s">
        <v>131</v>
      </c>
      <c r="R324" t="s">
        <v>132</v>
      </c>
      <c r="S324" t="s">
        <v>52</v>
      </c>
      <c r="U324">
        <v>889002</v>
      </c>
      <c r="V324" s="3">
        <v>46042.632638888892</v>
      </c>
      <c r="W324" t="s">
        <v>1883</v>
      </c>
      <c r="X324" t="s">
        <v>1884</v>
      </c>
      <c r="Y324" t="str">
        <f>"0403904564"</f>
        <v>0403904564</v>
      </c>
      <c r="Z324" t="s">
        <v>1885</v>
      </c>
      <c r="AB324" t="s">
        <v>136</v>
      </c>
      <c r="AD324" t="s">
        <v>61</v>
      </c>
      <c r="AE324" t="s">
        <v>137</v>
      </c>
      <c r="AF324">
        <v>2032</v>
      </c>
      <c r="AG324" t="s">
        <v>131</v>
      </c>
      <c r="AI324" t="s">
        <v>59</v>
      </c>
      <c r="AL324" t="s">
        <v>1649</v>
      </c>
      <c r="AN324" s="3">
        <v>46055.665972222225</v>
      </c>
      <c r="AO324" t="s">
        <v>1883</v>
      </c>
    </row>
    <row r="325" spans="1:41" x14ac:dyDescent="0.3">
      <c r="A325" t="s">
        <v>168</v>
      </c>
      <c r="B325" t="s">
        <v>409</v>
      </c>
      <c r="C325" t="s">
        <v>1727</v>
      </c>
      <c r="D325" t="s">
        <v>309</v>
      </c>
      <c r="E325" s="1">
        <v>46055</v>
      </c>
      <c r="F325" t="s">
        <v>569</v>
      </c>
      <c r="G325" t="s">
        <v>128</v>
      </c>
      <c r="H325" s="2">
        <v>0.5</v>
      </c>
      <c r="I325" s="2">
        <v>0.83333333333333337</v>
      </c>
      <c r="J325" t="s">
        <v>1728</v>
      </c>
      <c r="K325" t="s">
        <v>1022</v>
      </c>
      <c r="L325" t="s">
        <v>743</v>
      </c>
      <c r="M325" t="s">
        <v>1886</v>
      </c>
      <c r="N325" t="s">
        <v>1887</v>
      </c>
      <c r="O325">
        <v>5952367</v>
      </c>
      <c r="Q325" t="s">
        <v>413</v>
      </c>
      <c r="R325" t="s">
        <v>145</v>
      </c>
      <c r="S325" t="s">
        <v>119</v>
      </c>
      <c r="T325" t="s">
        <v>414</v>
      </c>
      <c r="U325">
        <v>889724</v>
      </c>
      <c r="V325" s="3">
        <v>46052.740277777775</v>
      </c>
      <c r="W325" t="s">
        <v>1888</v>
      </c>
      <c r="X325" t="s">
        <v>1889</v>
      </c>
      <c r="Y325" t="str">
        <f>"0468596772"</f>
        <v>0468596772</v>
      </c>
      <c r="Z325" t="s">
        <v>70</v>
      </c>
      <c r="AB325" t="s">
        <v>417</v>
      </c>
      <c r="AD325" t="s">
        <v>168</v>
      </c>
      <c r="AE325" t="s">
        <v>384</v>
      </c>
      <c r="AF325">
        <v>5000</v>
      </c>
      <c r="AI325" t="s">
        <v>59</v>
      </c>
      <c r="AL325" t="s">
        <v>1729</v>
      </c>
      <c r="AM325" t="s">
        <v>1890</v>
      </c>
      <c r="AN325" s="3">
        <v>46053.322916666664</v>
      </c>
      <c r="AO325" t="s">
        <v>1248</v>
      </c>
    </row>
    <row r="326" spans="1:41" x14ac:dyDescent="0.3">
      <c r="A326" t="s">
        <v>168</v>
      </c>
      <c r="B326" t="s">
        <v>982</v>
      </c>
      <c r="C326" t="s">
        <v>100</v>
      </c>
      <c r="D326" t="s">
        <v>127</v>
      </c>
      <c r="E326" s="1">
        <v>46055</v>
      </c>
      <c r="F326" t="s">
        <v>569</v>
      </c>
      <c r="G326" t="s">
        <v>128</v>
      </c>
      <c r="H326" s="2">
        <v>0.5</v>
      </c>
      <c r="I326" s="2">
        <v>0.83333333333333337</v>
      </c>
      <c r="J326" t="s">
        <v>100</v>
      </c>
      <c r="L326" t="s">
        <v>100</v>
      </c>
      <c r="M326" t="s">
        <v>411</v>
      </c>
      <c r="N326" t="s">
        <v>412</v>
      </c>
      <c r="O326">
        <v>228</v>
      </c>
      <c r="Q326" t="s">
        <v>983</v>
      </c>
      <c r="R326" t="s">
        <v>231</v>
      </c>
      <c r="S326" t="s">
        <v>52</v>
      </c>
      <c r="U326">
        <v>889091</v>
      </c>
      <c r="V326" s="3">
        <v>46030.459027777775</v>
      </c>
      <c r="W326" t="s">
        <v>415</v>
      </c>
      <c r="X326" t="s">
        <v>416</v>
      </c>
      <c r="Y326" t="str">
        <f>"0414869673"</f>
        <v>0414869673</v>
      </c>
      <c r="Z326" t="s">
        <v>1399</v>
      </c>
      <c r="AB326" t="s">
        <v>985</v>
      </c>
      <c r="AD326" t="s">
        <v>168</v>
      </c>
      <c r="AE326" t="s">
        <v>279</v>
      </c>
      <c r="AF326">
        <v>5092</v>
      </c>
      <c r="AG326" t="s">
        <v>986</v>
      </c>
      <c r="AI326" t="s">
        <v>59</v>
      </c>
      <c r="AL326" t="s">
        <v>987</v>
      </c>
      <c r="AN326" s="3">
        <v>46055.852777777778</v>
      </c>
      <c r="AO326" t="s">
        <v>415</v>
      </c>
    </row>
    <row r="327" spans="1:41" x14ac:dyDescent="0.3">
      <c r="A327" t="s">
        <v>75</v>
      </c>
      <c r="B327" t="s">
        <v>1891</v>
      </c>
      <c r="C327" t="s">
        <v>43</v>
      </c>
      <c r="D327" t="s">
        <v>719</v>
      </c>
      <c r="E327" s="1">
        <v>46055</v>
      </c>
      <c r="F327" t="s">
        <v>569</v>
      </c>
      <c r="G327" t="s">
        <v>128</v>
      </c>
      <c r="H327" s="2">
        <v>0.52083333333333337</v>
      </c>
      <c r="I327" s="2">
        <v>0.77083333333333337</v>
      </c>
      <c r="J327" t="s">
        <v>101</v>
      </c>
      <c r="L327" t="s">
        <v>159</v>
      </c>
      <c r="M327" t="s">
        <v>187</v>
      </c>
      <c r="N327" t="s">
        <v>1105</v>
      </c>
      <c r="O327">
        <v>21727</v>
      </c>
      <c r="Q327" t="s">
        <v>1892</v>
      </c>
      <c r="R327" t="s">
        <v>1248</v>
      </c>
      <c r="S327" t="s">
        <v>52</v>
      </c>
      <c r="U327">
        <v>889093</v>
      </c>
      <c r="V327" s="3">
        <v>46044.761111111111</v>
      </c>
      <c r="W327" t="s">
        <v>1107</v>
      </c>
      <c r="X327" t="s">
        <v>1108</v>
      </c>
      <c r="Y327" t="str">
        <f>"0407897784"</f>
        <v>0407897784</v>
      </c>
      <c r="Z327" t="s">
        <v>70</v>
      </c>
      <c r="AA327" s="1">
        <v>46055</v>
      </c>
      <c r="AB327" t="s">
        <v>1893</v>
      </c>
      <c r="AD327" t="s">
        <v>75</v>
      </c>
      <c r="AE327" t="s">
        <v>1894</v>
      </c>
      <c r="AF327">
        <v>6007</v>
      </c>
      <c r="AG327" t="s">
        <v>1892</v>
      </c>
      <c r="AI327" t="s">
        <v>59</v>
      </c>
      <c r="AL327" t="s">
        <v>1895</v>
      </c>
      <c r="AN327" s="3">
        <v>46055.854166666664</v>
      </c>
      <c r="AO327" t="s">
        <v>1107</v>
      </c>
    </row>
    <row r="328" spans="1:41" x14ac:dyDescent="0.3">
      <c r="A328" t="s">
        <v>75</v>
      </c>
      <c r="B328" t="s">
        <v>1896</v>
      </c>
      <c r="C328" t="s">
        <v>43</v>
      </c>
      <c r="D328" t="s">
        <v>184</v>
      </c>
      <c r="E328" s="1">
        <v>46055</v>
      </c>
      <c r="F328" t="s">
        <v>569</v>
      </c>
      <c r="G328" t="s">
        <v>128</v>
      </c>
      <c r="H328" s="2">
        <v>0.52083333333333337</v>
      </c>
      <c r="I328" s="2">
        <v>0.77083333333333337</v>
      </c>
      <c r="J328" t="s">
        <v>185</v>
      </c>
      <c r="K328" t="s">
        <v>667</v>
      </c>
      <c r="L328" t="s">
        <v>186</v>
      </c>
      <c r="M328" t="s">
        <v>1897</v>
      </c>
      <c r="N328" t="s">
        <v>1898</v>
      </c>
      <c r="O328">
        <v>5951775</v>
      </c>
      <c r="Q328" t="s">
        <v>1899</v>
      </c>
      <c r="R328" t="s">
        <v>556</v>
      </c>
      <c r="S328" t="s">
        <v>52</v>
      </c>
      <c r="U328">
        <v>889095</v>
      </c>
      <c r="V328" s="3">
        <v>46051.802083333336</v>
      </c>
      <c r="W328" t="s">
        <v>1900</v>
      </c>
      <c r="X328" t="s">
        <v>1901</v>
      </c>
      <c r="Y328" t="str">
        <f>"0459104328"</f>
        <v>0459104328</v>
      </c>
      <c r="Z328" t="s">
        <v>1201</v>
      </c>
      <c r="AB328" t="s">
        <v>1902</v>
      </c>
      <c r="AD328" t="s">
        <v>75</v>
      </c>
      <c r="AE328" t="s">
        <v>1903</v>
      </c>
      <c r="AF328">
        <v>6023</v>
      </c>
      <c r="AG328" t="s">
        <v>1904</v>
      </c>
      <c r="AI328" t="s">
        <v>59</v>
      </c>
      <c r="AL328" t="s">
        <v>1905</v>
      </c>
      <c r="AN328" s="3">
        <v>46055.855555555558</v>
      </c>
      <c r="AO328" t="s">
        <v>1900</v>
      </c>
    </row>
    <row r="329" spans="1:41" x14ac:dyDescent="0.3">
      <c r="A329" t="s">
        <v>61</v>
      </c>
      <c r="B329" t="s">
        <v>62</v>
      </c>
      <c r="C329" t="s">
        <v>43</v>
      </c>
      <c r="D329" t="s">
        <v>63</v>
      </c>
      <c r="E329" s="1">
        <v>46055</v>
      </c>
      <c r="F329" t="s">
        <v>569</v>
      </c>
      <c r="G329" t="s">
        <v>128</v>
      </c>
      <c r="H329" s="2">
        <v>0.52083333333333337</v>
      </c>
      <c r="I329" s="2">
        <v>0.99861111111111112</v>
      </c>
      <c r="J329" t="s">
        <v>185</v>
      </c>
      <c r="L329" t="s">
        <v>186</v>
      </c>
      <c r="M329" t="s">
        <v>1474</v>
      </c>
      <c r="N329" t="s">
        <v>1475</v>
      </c>
      <c r="O329">
        <v>22552</v>
      </c>
      <c r="Q329" t="s">
        <v>66</v>
      </c>
      <c r="R329" t="s">
        <v>67</v>
      </c>
      <c r="S329" t="s">
        <v>52</v>
      </c>
      <c r="U329">
        <v>889092</v>
      </c>
      <c r="V329" s="3">
        <v>46051.369444444441</v>
      </c>
      <c r="W329" t="s">
        <v>1476</v>
      </c>
      <c r="X329" t="s">
        <v>1477</v>
      </c>
      <c r="Y329" t="str">
        <f>"0421669341"</f>
        <v>0421669341</v>
      </c>
      <c r="Z329" t="s">
        <v>70</v>
      </c>
      <c r="AB329" t="s">
        <v>71</v>
      </c>
      <c r="AD329" t="s">
        <v>61</v>
      </c>
      <c r="AE329" t="s">
        <v>72</v>
      </c>
      <c r="AF329">
        <v>2747</v>
      </c>
      <c r="AG329" t="s">
        <v>73</v>
      </c>
      <c r="AI329" t="s">
        <v>59</v>
      </c>
      <c r="AL329" t="s">
        <v>1906</v>
      </c>
      <c r="AN329" s="3">
        <v>46055.854166666664</v>
      </c>
      <c r="AO329" t="s">
        <v>1476</v>
      </c>
    </row>
    <row r="330" spans="1:41" x14ac:dyDescent="0.3">
      <c r="A330" t="s">
        <v>61</v>
      </c>
      <c r="B330" t="s">
        <v>182</v>
      </c>
      <c r="C330" t="s">
        <v>183</v>
      </c>
      <c r="D330" t="s">
        <v>184</v>
      </c>
      <c r="E330" s="1">
        <v>46055</v>
      </c>
      <c r="F330" t="s">
        <v>569</v>
      </c>
      <c r="G330" t="s">
        <v>128</v>
      </c>
      <c r="H330" s="2">
        <v>0.52083333333333337</v>
      </c>
      <c r="I330" s="2">
        <v>0.99861111111111112</v>
      </c>
      <c r="J330" t="s">
        <v>185</v>
      </c>
      <c r="L330" t="s">
        <v>186</v>
      </c>
      <c r="M330" t="s">
        <v>436</v>
      </c>
      <c r="N330" t="s">
        <v>437</v>
      </c>
      <c r="O330">
        <v>5951773</v>
      </c>
      <c r="Q330" t="s">
        <v>189</v>
      </c>
      <c r="R330" t="s">
        <v>132</v>
      </c>
      <c r="S330" t="s">
        <v>52</v>
      </c>
      <c r="U330">
        <v>889090</v>
      </c>
      <c r="V330" s="3">
        <v>46051.450694444444</v>
      </c>
      <c r="W330" t="s">
        <v>438</v>
      </c>
      <c r="X330" t="s">
        <v>439</v>
      </c>
      <c r="Y330" t="str">
        <f>"0405762113"</f>
        <v>0405762113</v>
      </c>
      <c r="Z330" t="s">
        <v>1907</v>
      </c>
      <c r="AB330" t="s">
        <v>193</v>
      </c>
      <c r="AD330" t="s">
        <v>61</v>
      </c>
      <c r="AE330" t="s">
        <v>194</v>
      </c>
      <c r="AF330">
        <v>2229</v>
      </c>
      <c r="AG330" t="s">
        <v>189</v>
      </c>
      <c r="AI330" t="s">
        <v>59</v>
      </c>
      <c r="AL330" t="s">
        <v>1649</v>
      </c>
      <c r="AN330" s="3">
        <v>46055.851388888892</v>
      </c>
      <c r="AO330" t="s">
        <v>438</v>
      </c>
    </row>
    <row r="331" spans="1:41" x14ac:dyDescent="0.3">
      <c r="A331" t="s">
        <v>61</v>
      </c>
      <c r="B331" t="s">
        <v>182</v>
      </c>
      <c r="C331" t="s">
        <v>183</v>
      </c>
      <c r="D331" t="s">
        <v>184</v>
      </c>
      <c r="E331" s="1">
        <v>46055</v>
      </c>
      <c r="F331" t="s">
        <v>569</v>
      </c>
      <c r="G331" t="s">
        <v>128</v>
      </c>
      <c r="H331" s="2">
        <v>0.52083333333333337</v>
      </c>
      <c r="I331" s="2">
        <v>0.99861111111111112</v>
      </c>
      <c r="J331" t="s">
        <v>185</v>
      </c>
      <c r="L331" t="s">
        <v>186</v>
      </c>
      <c r="M331" t="s">
        <v>1395</v>
      </c>
      <c r="N331" t="s">
        <v>1396</v>
      </c>
      <c r="O331">
        <v>758</v>
      </c>
      <c r="Q331" t="s">
        <v>189</v>
      </c>
      <c r="R331" t="s">
        <v>132</v>
      </c>
      <c r="S331" t="s">
        <v>52</v>
      </c>
      <c r="U331">
        <v>889056</v>
      </c>
      <c r="V331" s="3">
        <v>46051.450694444444</v>
      </c>
      <c r="W331" t="s">
        <v>1397</v>
      </c>
      <c r="X331" t="s">
        <v>1398</v>
      </c>
      <c r="Y331" t="str">
        <f>"0402403886"</f>
        <v>0402403886</v>
      </c>
      <c r="Z331" t="s">
        <v>1750</v>
      </c>
      <c r="AB331" t="s">
        <v>193</v>
      </c>
      <c r="AD331" t="s">
        <v>61</v>
      </c>
      <c r="AE331" t="s">
        <v>194</v>
      </c>
      <c r="AF331">
        <v>2229</v>
      </c>
      <c r="AG331" t="s">
        <v>189</v>
      </c>
      <c r="AI331" t="s">
        <v>59</v>
      </c>
      <c r="AL331" t="s">
        <v>1908</v>
      </c>
      <c r="AN331" s="3">
        <v>46055.803472222222</v>
      </c>
      <c r="AO331" t="s">
        <v>1397</v>
      </c>
    </row>
    <row r="332" spans="1:41" x14ac:dyDescent="0.3">
      <c r="A332" t="s">
        <v>61</v>
      </c>
      <c r="B332" t="s">
        <v>158</v>
      </c>
      <c r="C332" t="s">
        <v>43</v>
      </c>
      <c r="D332" t="s">
        <v>127</v>
      </c>
      <c r="E332" s="1">
        <v>46055</v>
      </c>
      <c r="F332" t="s">
        <v>569</v>
      </c>
      <c r="G332" t="s">
        <v>45</v>
      </c>
      <c r="H332" s="2">
        <v>0.52083333333333337</v>
      </c>
      <c r="I332" s="2">
        <v>0.98958333333333337</v>
      </c>
      <c r="J332" t="s">
        <v>185</v>
      </c>
      <c r="K332" t="s">
        <v>238</v>
      </c>
      <c r="L332" t="s">
        <v>186</v>
      </c>
      <c r="M332" t="s">
        <v>239</v>
      </c>
      <c r="N332" t="s">
        <v>240</v>
      </c>
      <c r="O332">
        <v>22527</v>
      </c>
      <c r="Q332" t="s">
        <v>162</v>
      </c>
      <c r="R332" t="s">
        <v>67</v>
      </c>
      <c r="S332" t="s">
        <v>52</v>
      </c>
      <c r="U332">
        <v>889140</v>
      </c>
      <c r="V332" s="3">
        <v>46050.629861111112</v>
      </c>
      <c r="W332" t="s">
        <v>241</v>
      </c>
      <c r="X332" t="s">
        <v>242</v>
      </c>
      <c r="Y332" t="str">
        <f>"0426409124"</f>
        <v>0426409124</v>
      </c>
      <c r="Z332" t="s">
        <v>1909</v>
      </c>
      <c r="AB332" t="s">
        <v>166</v>
      </c>
      <c r="AD332" t="s">
        <v>61</v>
      </c>
      <c r="AE332" t="s">
        <v>167</v>
      </c>
      <c r="AF332">
        <v>2011</v>
      </c>
      <c r="AG332" t="s">
        <v>162</v>
      </c>
      <c r="AI332" t="s">
        <v>59</v>
      </c>
      <c r="AL332" t="s">
        <v>1649</v>
      </c>
      <c r="AN332" s="3">
        <v>46056.380555555559</v>
      </c>
      <c r="AO332" t="s">
        <v>241</v>
      </c>
    </row>
    <row r="333" spans="1:41" x14ac:dyDescent="0.3">
      <c r="A333" t="s">
        <v>41</v>
      </c>
      <c r="B333" t="s">
        <v>244</v>
      </c>
      <c r="C333" t="s">
        <v>245</v>
      </c>
      <c r="D333" t="s">
        <v>246</v>
      </c>
      <c r="E333" s="1">
        <v>46055</v>
      </c>
      <c r="F333" t="s">
        <v>569</v>
      </c>
      <c r="G333" t="s">
        <v>45</v>
      </c>
      <c r="H333" s="2">
        <v>0.52083333333333337</v>
      </c>
      <c r="I333" s="2">
        <v>0.875</v>
      </c>
      <c r="J333" t="s">
        <v>100</v>
      </c>
      <c r="L333" t="s">
        <v>100</v>
      </c>
      <c r="M333" t="s">
        <v>247</v>
      </c>
      <c r="N333" t="s">
        <v>248</v>
      </c>
      <c r="O333">
        <v>20770</v>
      </c>
      <c r="P333" t="s">
        <v>249</v>
      </c>
      <c r="Q333" t="s">
        <v>250</v>
      </c>
      <c r="R333" t="s">
        <v>251</v>
      </c>
      <c r="S333" t="s">
        <v>52</v>
      </c>
      <c r="T333" t="s">
        <v>252</v>
      </c>
      <c r="U333">
        <v>889761</v>
      </c>
      <c r="V333" s="3">
        <v>46062.351388888892</v>
      </c>
      <c r="W333" t="s">
        <v>251</v>
      </c>
      <c r="X333" t="s">
        <v>253</v>
      </c>
      <c r="Y333" t="str">
        <f>"0429586658"</f>
        <v>0429586658</v>
      </c>
      <c r="Z333" t="s">
        <v>585</v>
      </c>
      <c r="AA333" s="1">
        <v>46068</v>
      </c>
      <c r="AB333" t="s">
        <v>255</v>
      </c>
      <c r="AD333" t="s">
        <v>41</v>
      </c>
      <c r="AE333" t="s">
        <v>256</v>
      </c>
      <c r="AF333">
        <v>4655</v>
      </c>
      <c r="AG333" t="s">
        <v>1910</v>
      </c>
      <c r="AI333" t="s">
        <v>59</v>
      </c>
      <c r="AJ333" t="str">
        <f>"0050076900"</f>
        <v>0050076900</v>
      </c>
      <c r="AN333" s="3">
        <v>46062.351388888892</v>
      </c>
      <c r="AO333" t="s">
        <v>251</v>
      </c>
    </row>
    <row r="334" spans="1:41" x14ac:dyDescent="0.3">
      <c r="A334" t="s">
        <v>168</v>
      </c>
      <c r="B334" t="s">
        <v>215</v>
      </c>
      <c r="C334" t="s">
        <v>43</v>
      </c>
      <c r="D334" t="s">
        <v>127</v>
      </c>
      <c r="E334" s="1">
        <v>46055</v>
      </c>
      <c r="F334" t="s">
        <v>569</v>
      </c>
      <c r="G334" t="s">
        <v>128</v>
      </c>
      <c r="H334" s="2">
        <v>0.52083333333333337</v>
      </c>
      <c r="I334" s="2">
        <v>0.85416666666666663</v>
      </c>
      <c r="J334" t="s">
        <v>258</v>
      </c>
      <c r="K334" t="s">
        <v>259</v>
      </c>
      <c r="L334" t="s">
        <v>186</v>
      </c>
      <c r="M334" t="s">
        <v>798</v>
      </c>
      <c r="N334" t="s">
        <v>799</v>
      </c>
      <c r="O334">
        <v>20875</v>
      </c>
      <c r="Q334" t="s">
        <v>219</v>
      </c>
      <c r="R334" t="s">
        <v>176</v>
      </c>
      <c r="S334" t="s">
        <v>52</v>
      </c>
      <c r="U334">
        <v>889096</v>
      </c>
      <c r="V334" s="3">
        <v>46043.772222222222</v>
      </c>
      <c r="W334" t="s">
        <v>800</v>
      </c>
      <c r="X334" t="s">
        <v>801</v>
      </c>
      <c r="Y334" t="str">
        <f>"0417001267"</f>
        <v>0417001267</v>
      </c>
      <c r="Z334" t="s">
        <v>1911</v>
      </c>
      <c r="AB334" t="s">
        <v>222</v>
      </c>
      <c r="AD334" t="s">
        <v>168</v>
      </c>
      <c r="AE334" t="s">
        <v>223</v>
      </c>
      <c r="AF334">
        <v>5069</v>
      </c>
      <c r="AG334" t="s">
        <v>219</v>
      </c>
      <c r="AI334" t="s">
        <v>59</v>
      </c>
      <c r="AL334" t="s">
        <v>1720</v>
      </c>
      <c r="AN334" s="3">
        <v>46055.863194444442</v>
      </c>
      <c r="AO334" t="s">
        <v>800</v>
      </c>
    </row>
    <row r="335" spans="1:41" x14ac:dyDescent="0.3">
      <c r="A335" t="s">
        <v>61</v>
      </c>
      <c r="B335" t="s">
        <v>182</v>
      </c>
      <c r="C335" t="s">
        <v>100</v>
      </c>
      <c r="D335" t="s">
        <v>184</v>
      </c>
      <c r="E335" s="1">
        <v>46055</v>
      </c>
      <c r="F335" t="s">
        <v>569</v>
      </c>
      <c r="G335" t="s">
        <v>128</v>
      </c>
      <c r="H335" s="2">
        <v>0.54166666666666663</v>
      </c>
      <c r="I335" s="2">
        <v>0.89583333333333337</v>
      </c>
      <c r="J335" t="s">
        <v>100</v>
      </c>
      <c r="L335" t="s">
        <v>100</v>
      </c>
      <c r="M335" t="s">
        <v>1912</v>
      </c>
      <c r="N335" t="s">
        <v>1913</v>
      </c>
      <c r="O335">
        <v>21784</v>
      </c>
      <c r="Q335" t="s">
        <v>1190</v>
      </c>
      <c r="R335" t="s">
        <v>67</v>
      </c>
      <c r="S335" t="s">
        <v>52</v>
      </c>
      <c r="U335">
        <v>889094</v>
      </c>
      <c r="V335" s="3">
        <v>46044.34097222222</v>
      </c>
      <c r="W335" t="s">
        <v>1914</v>
      </c>
      <c r="X335" t="s">
        <v>1915</v>
      </c>
      <c r="Y335" t="str">
        <f>"0433077068"</f>
        <v>0433077068</v>
      </c>
      <c r="Z335" t="s">
        <v>1916</v>
      </c>
      <c r="AB335" t="s">
        <v>193</v>
      </c>
      <c r="AD335" t="s">
        <v>61</v>
      </c>
      <c r="AE335" t="s">
        <v>194</v>
      </c>
      <c r="AF335">
        <v>2229</v>
      </c>
      <c r="AG335" t="s">
        <v>1045</v>
      </c>
      <c r="AI335" t="s">
        <v>59</v>
      </c>
      <c r="AL335" t="s">
        <v>1649</v>
      </c>
      <c r="AN335" s="3">
        <v>46055.855555555558</v>
      </c>
      <c r="AO335" t="s">
        <v>1914</v>
      </c>
    </row>
    <row r="336" spans="1:41" x14ac:dyDescent="0.3">
      <c r="A336" t="s">
        <v>168</v>
      </c>
      <c r="B336" t="s">
        <v>326</v>
      </c>
      <c r="C336" t="s">
        <v>1150</v>
      </c>
      <c r="D336" t="s">
        <v>127</v>
      </c>
      <c r="E336" s="1">
        <v>46055</v>
      </c>
      <c r="F336" t="s">
        <v>569</v>
      </c>
      <c r="G336" t="s">
        <v>128</v>
      </c>
      <c r="H336" s="2">
        <v>0.54166666666666663</v>
      </c>
      <c r="I336" s="2">
        <v>0.79166666666666663</v>
      </c>
      <c r="J336" t="s">
        <v>101</v>
      </c>
      <c r="L336" t="s">
        <v>159</v>
      </c>
      <c r="M336" t="s">
        <v>1151</v>
      </c>
      <c r="N336" t="s">
        <v>1152</v>
      </c>
      <c r="O336">
        <v>13</v>
      </c>
      <c r="Q336" t="s">
        <v>676</v>
      </c>
      <c r="R336" t="s">
        <v>176</v>
      </c>
      <c r="S336" t="s">
        <v>52</v>
      </c>
      <c r="U336">
        <v>889057</v>
      </c>
      <c r="V336" s="3">
        <v>46043.688888888886</v>
      </c>
      <c r="W336" t="s">
        <v>1153</v>
      </c>
      <c r="X336" t="s">
        <v>1154</v>
      </c>
      <c r="Y336" t="str">
        <f>"0424485060"</f>
        <v>0424485060</v>
      </c>
      <c r="Z336" t="s">
        <v>1917</v>
      </c>
      <c r="AB336" t="s">
        <v>333</v>
      </c>
      <c r="AD336" t="s">
        <v>168</v>
      </c>
      <c r="AE336" t="s">
        <v>334</v>
      </c>
      <c r="AF336">
        <v>5034</v>
      </c>
      <c r="AG336" t="s">
        <v>676</v>
      </c>
      <c r="AI336" t="s">
        <v>59</v>
      </c>
      <c r="AL336" t="s">
        <v>87</v>
      </c>
      <c r="AN336" s="3">
        <v>46055.804166666669</v>
      </c>
      <c r="AO336" t="s">
        <v>1153</v>
      </c>
    </row>
    <row r="337" spans="1:41" x14ac:dyDescent="0.3">
      <c r="A337" t="s">
        <v>168</v>
      </c>
      <c r="B337" t="s">
        <v>326</v>
      </c>
      <c r="C337" t="s">
        <v>43</v>
      </c>
      <c r="D337" t="s">
        <v>127</v>
      </c>
      <c r="E337" s="1">
        <v>46055</v>
      </c>
      <c r="F337" t="s">
        <v>569</v>
      </c>
      <c r="G337" t="s">
        <v>128</v>
      </c>
      <c r="H337" s="2">
        <v>0.54166666666666663</v>
      </c>
      <c r="I337" s="2">
        <v>0.79166666666666663</v>
      </c>
      <c r="J337" t="s">
        <v>185</v>
      </c>
      <c r="L337" t="s">
        <v>186</v>
      </c>
      <c r="M337" t="s">
        <v>1918</v>
      </c>
      <c r="N337" t="s">
        <v>1919</v>
      </c>
      <c r="O337">
        <v>21455</v>
      </c>
      <c r="Q337" t="s">
        <v>676</v>
      </c>
      <c r="R337" t="s">
        <v>176</v>
      </c>
      <c r="S337" t="s">
        <v>52</v>
      </c>
      <c r="U337">
        <v>889054</v>
      </c>
      <c r="V337" s="3">
        <v>46043.53125</v>
      </c>
      <c r="W337" t="s">
        <v>1920</v>
      </c>
      <c r="X337" t="s">
        <v>1921</v>
      </c>
      <c r="Y337" t="str">
        <f>"0431412572"</f>
        <v>0431412572</v>
      </c>
      <c r="Z337" t="s">
        <v>1917</v>
      </c>
      <c r="AB337" t="s">
        <v>333</v>
      </c>
      <c r="AD337" t="s">
        <v>168</v>
      </c>
      <c r="AE337" t="s">
        <v>334</v>
      </c>
      <c r="AF337">
        <v>5034</v>
      </c>
      <c r="AG337" t="s">
        <v>676</v>
      </c>
      <c r="AI337" t="s">
        <v>59</v>
      </c>
      <c r="AL337" t="s">
        <v>1922</v>
      </c>
      <c r="AN337" s="3">
        <v>46055.79583333333</v>
      </c>
      <c r="AO337" t="s">
        <v>1920</v>
      </c>
    </row>
    <row r="338" spans="1:41" x14ac:dyDescent="0.3">
      <c r="A338" t="s">
        <v>168</v>
      </c>
      <c r="B338" t="s">
        <v>376</v>
      </c>
      <c r="C338" t="s">
        <v>216</v>
      </c>
      <c r="D338" t="s">
        <v>1386</v>
      </c>
      <c r="E338" s="1">
        <v>46055</v>
      </c>
      <c r="F338" t="s">
        <v>569</v>
      </c>
      <c r="G338" t="s">
        <v>128</v>
      </c>
      <c r="H338" s="2">
        <v>0.54166666666666663</v>
      </c>
      <c r="I338" s="2">
        <v>0.875</v>
      </c>
      <c r="J338" t="s">
        <v>101</v>
      </c>
      <c r="L338" t="s">
        <v>159</v>
      </c>
      <c r="M338" t="s">
        <v>1206</v>
      </c>
      <c r="N338" t="s">
        <v>1207</v>
      </c>
      <c r="O338">
        <v>21307</v>
      </c>
      <c r="Q338" t="s">
        <v>1605</v>
      </c>
      <c r="R338" t="s">
        <v>1923</v>
      </c>
      <c r="S338" t="s">
        <v>52</v>
      </c>
      <c r="U338">
        <v>889015</v>
      </c>
      <c r="V338" s="3">
        <v>46052.541666666664</v>
      </c>
      <c r="W338" t="s">
        <v>1209</v>
      </c>
      <c r="X338" t="s">
        <v>1210</v>
      </c>
      <c r="Y338" t="str">
        <f>"0421122070"</f>
        <v>0421122070</v>
      </c>
      <c r="Z338" t="s">
        <v>70</v>
      </c>
      <c r="AA338" s="1">
        <v>46055</v>
      </c>
      <c r="AB338" t="s">
        <v>383</v>
      </c>
      <c r="AD338" t="s">
        <v>168</v>
      </c>
      <c r="AE338" t="s">
        <v>384</v>
      </c>
      <c r="AF338">
        <v>5000</v>
      </c>
      <c r="AI338" t="s">
        <v>59</v>
      </c>
      <c r="AL338" t="s">
        <v>385</v>
      </c>
      <c r="AN338" s="3">
        <v>46055.755555555559</v>
      </c>
      <c r="AO338" t="s">
        <v>1209</v>
      </c>
    </row>
    <row r="339" spans="1:41" x14ac:dyDescent="0.3">
      <c r="A339" t="s">
        <v>168</v>
      </c>
      <c r="B339" t="s">
        <v>376</v>
      </c>
      <c r="C339" t="s">
        <v>43</v>
      </c>
      <c r="D339" t="s">
        <v>127</v>
      </c>
      <c r="E339" s="1">
        <v>46055</v>
      </c>
      <c r="F339" t="s">
        <v>569</v>
      </c>
      <c r="G339" t="s">
        <v>128</v>
      </c>
      <c r="H339" s="2">
        <v>0.54166666666666663</v>
      </c>
      <c r="I339" s="2">
        <v>0.875</v>
      </c>
      <c r="J339" t="s">
        <v>185</v>
      </c>
      <c r="L339" t="s">
        <v>186</v>
      </c>
      <c r="M339" t="s">
        <v>835</v>
      </c>
      <c r="N339" t="s">
        <v>836</v>
      </c>
      <c r="O339">
        <v>22947</v>
      </c>
      <c r="Q339" t="s">
        <v>1924</v>
      </c>
      <c r="R339" t="s">
        <v>231</v>
      </c>
      <c r="S339" t="s">
        <v>52</v>
      </c>
      <c r="U339">
        <v>889098</v>
      </c>
      <c r="V339" s="3">
        <v>46008.606944444444</v>
      </c>
      <c r="W339" t="s">
        <v>837</v>
      </c>
      <c r="X339" t="s">
        <v>838</v>
      </c>
      <c r="Y339" t="str">
        <f>"0415626656"</f>
        <v>0415626656</v>
      </c>
      <c r="Z339" t="s">
        <v>1925</v>
      </c>
      <c r="AB339" t="s">
        <v>383</v>
      </c>
      <c r="AD339" t="s">
        <v>168</v>
      </c>
      <c r="AE339" t="s">
        <v>384</v>
      </c>
      <c r="AF339">
        <v>5000</v>
      </c>
      <c r="AG339" t="s">
        <v>674</v>
      </c>
      <c r="AI339" t="s">
        <v>59</v>
      </c>
      <c r="AL339" t="s">
        <v>385</v>
      </c>
      <c r="AM339" t="s">
        <v>1926</v>
      </c>
      <c r="AN339" s="3">
        <v>46055.880555555559</v>
      </c>
      <c r="AO339" t="s">
        <v>837</v>
      </c>
    </row>
    <row r="340" spans="1:41" x14ac:dyDescent="0.3">
      <c r="A340" t="s">
        <v>168</v>
      </c>
      <c r="B340" t="s">
        <v>326</v>
      </c>
      <c r="C340" t="s">
        <v>43</v>
      </c>
      <c r="D340" t="s">
        <v>127</v>
      </c>
      <c r="E340" s="1">
        <v>46055</v>
      </c>
      <c r="F340" t="s">
        <v>569</v>
      </c>
      <c r="G340" t="s">
        <v>128</v>
      </c>
      <c r="H340" s="2">
        <v>0.54166666666666663</v>
      </c>
      <c r="I340" s="2">
        <v>0.79166666666666663</v>
      </c>
      <c r="J340" t="s">
        <v>185</v>
      </c>
      <c r="K340" t="s">
        <v>327</v>
      </c>
      <c r="L340" t="s">
        <v>186</v>
      </c>
      <c r="M340" t="s">
        <v>1927</v>
      </c>
      <c r="N340" t="s">
        <v>1928</v>
      </c>
      <c r="O340">
        <v>5951825</v>
      </c>
      <c r="Q340" t="s">
        <v>676</v>
      </c>
      <c r="R340" t="s">
        <v>176</v>
      </c>
      <c r="S340" t="s">
        <v>52</v>
      </c>
      <c r="U340">
        <v>889055</v>
      </c>
      <c r="V340" s="3">
        <v>46043.393750000003</v>
      </c>
      <c r="W340" t="s">
        <v>1929</v>
      </c>
      <c r="X340" t="s">
        <v>1930</v>
      </c>
      <c r="Y340" t="str">
        <f>"0439336812"</f>
        <v>0439336812</v>
      </c>
      <c r="Z340" t="s">
        <v>503</v>
      </c>
      <c r="AB340" t="s">
        <v>333</v>
      </c>
      <c r="AD340" t="s">
        <v>168</v>
      </c>
      <c r="AE340" t="s">
        <v>334</v>
      </c>
      <c r="AF340">
        <v>5034</v>
      </c>
      <c r="AG340" t="s">
        <v>676</v>
      </c>
      <c r="AI340" t="s">
        <v>59</v>
      </c>
      <c r="AL340" t="s">
        <v>1931</v>
      </c>
      <c r="AN340" s="3">
        <v>46055.797222222223</v>
      </c>
      <c r="AO340" t="s">
        <v>1929</v>
      </c>
    </row>
    <row r="341" spans="1:41" x14ac:dyDescent="0.3">
      <c r="A341" t="s">
        <v>168</v>
      </c>
      <c r="B341" t="s">
        <v>441</v>
      </c>
      <c r="C341" t="s">
        <v>202</v>
      </c>
      <c r="E341" s="1">
        <v>46055</v>
      </c>
      <c r="F341" t="s">
        <v>569</v>
      </c>
      <c r="G341" t="s">
        <v>128</v>
      </c>
      <c r="H341" s="2">
        <v>0.54166666666666663</v>
      </c>
      <c r="I341" s="2">
        <v>0.875</v>
      </c>
      <c r="J341" t="s">
        <v>46</v>
      </c>
      <c r="L341" t="s">
        <v>204</v>
      </c>
      <c r="M341" t="s">
        <v>205</v>
      </c>
      <c r="N341" t="s">
        <v>206</v>
      </c>
      <c r="O341">
        <v>21706</v>
      </c>
      <c r="Q341" t="s">
        <v>944</v>
      </c>
      <c r="R341" t="s">
        <v>556</v>
      </c>
      <c r="S341" t="s">
        <v>52</v>
      </c>
      <c r="U341">
        <v>889013</v>
      </c>
      <c r="V341" s="3">
        <v>46050.931944444441</v>
      </c>
      <c r="W341" t="s">
        <v>209</v>
      </c>
      <c r="X341" t="s">
        <v>210</v>
      </c>
      <c r="Y341" t="str">
        <f>"0415862070"</f>
        <v>0415862070</v>
      </c>
      <c r="Z341" t="s">
        <v>70</v>
      </c>
      <c r="AA341" s="1">
        <v>46055</v>
      </c>
      <c r="AB341" t="s">
        <v>448</v>
      </c>
      <c r="AD341" t="s">
        <v>168</v>
      </c>
      <c r="AE341" t="s">
        <v>180</v>
      </c>
      <c r="AF341">
        <v>5063</v>
      </c>
      <c r="AG341" t="s">
        <v>944</v>
      </c>
      <c r="AI341" t="s">
        <v>59</v>
      </c>
      <c r="AL341" t="s">
        <v>1720</v>
      </c>
      <c r="AN341" s="3">
        <v>46055.74722222222</v>
      </c>
      <c r="AO341" t="s">
        <v>209</v>
      </c>
    </row>
    <row r="342" spans="1:41" x14ac:dyDescent="0.3">
      <c r="A342" t="s">
        <v>61</v>
      </c>
      <c r="B342" t="s">
        <v>88</v>
      </c>
      <c r="C342" t="s">
        <v>1856</v>
      </c>
      <c r="D342" t="s">
        <v>90</v>
      </c>
      <c r="E342" s="1">
        <v>46055</v>
      </c>
      <c r="F342" t="s">
        <v>569</v>
      </c>
      <c r="G342" t="s">
        <v>128</v>
      </c>
      <c r="H342" s="2">
        <v>0.54166666666666663</v>
      </c>
      <c r="I342" s="2">
        <v>0.89583333333333337</v>
      </c>
      <c r="J342" t="s">
        <v>46</v>
      </c>
      <c r="L342" t="s">
        <v>47</v>
      </c>
      <c r="M342" t="s">
        <v>1080</v>
      </c>
      <c r="N342" t="s">
        <v>1081</v>
      </c>
      <c r="O342">
        <v>5951255</v>
      </c>
      <c r="P342">
        <v>11585839</v>
      </c>
      <c r="Q342" t="s">
        <v>1245</v>
      </c>
      <c r="R342" t="s">
        <v>67</v>
      </c>
      <c r="S342" t="s">
        <v>52</v>
      </c>
      <c r="U342">
        <v>889016</v>
      </c>
      <c r="V342" s="3">
        <v>46050.609027777777</v>
      </c>
      <c r="W342" t="s">
        <v>1083</v>
      </c>
      <c r="X342" t="s">
        <v>1084</v>
      </c>
      <c r="Y342" t="str">
        <f>"0451307044"</f>
        <v>0451307044</v>
      </c>
      <c r="Z342" t="s">
        <v>123</v>
      </c>
      <c r="AB342" t="s">
        <v>96</v>
      </c>
      <c r="AD342" t="s">
        <v>61</v>
      </c>
      <c r="AE342" t="s">
        <v>97</v>
      </c>
      <c r="AF342">
        <v>2010</v>
      </c>
      <c r="AG342" t="s">
        <v>98</v>
      </c>
      <c r="AI342" t="s">
        <v>59</v>
      </c>
      <c r="AL342" t="s">
        <v>1857</v>
      </c>
      <c r="AN342" s="3">
        <v>46055.761805555558</v>
      </c>
      <c r="AO342" t="s">
        <v>1083</v>
      </c>
    </row>
    <row r="343" spans="1:41" x14ac:dyDescent="0.3">
      <c r="A343" t="s">
        <v>168</v>
      </c>
      <c r="B343" t="s">
        <v>409</v>
      </c>
      <c r="C343" t="s">
        <v>1869</v>
      </c>
      <c r="D343" t="s">
        <v>309</v>
      </c>
      <c r="E343" s="1">
        <v>46055</v>
      </c>
      <c r="F343" t="s">
        <v>569</v>
      </c>
      <c r="G343" t="s">
        <v>128</v>
      </c>
      <c r="H343" s="2">
        <v>0.54166666666666663</v>
      </c>
      <c r="I343" s="2">
        <v>0.875</v>
      </c>
      <c r="J343" t="s">
        <v>1837</v>
      </c>
      <c r="K343" t="s">
        <v>750</v>
      </c>
      <c r="L343" t="s">
        <v>47</v>
      </c>
      <c r="M343" t="s">
        <v>1089</v>
      </c>
      <c r="N343" t="s">
        <v>1024</v>
      </c>
      <c r="O343">
        <v>20963</v>
      </c>
      <c r="Q343" t="s">
        <v>705</v>
      </c>
      <c r="R343" t="s">
        <v>145</v>
      </c>
      <c r="S343" t="s">
        <v>119</v>
      </c>
      <c r="T343" t="s">
        <v>1932</v>
      </c>
      <c r="U343">
        <v>889719</v>
      </c>
      <c r="V343" s="3">
        <v>46052.740972222222</v>
      </c>
      <c r="W343" t="s">
        <v>1091</v>
      </c>
      <c r="X343" t="s">
        <v>1092</v>
      </c>
      <c r="Y343" t="str">
        <f>"0430222501"</f>
        <v>0430222501</v>
      </c>
      <c r="Z343" t="s">
        <v>70</v>
      </c>
      <c r="AB343" t="s">
        <v>417</v>
      </c>
      <c r="AD343" t="s">
        <v>168</v>
      </c>
      <c r="AE343" t="s">
        <v>384</v>
      </c>
      <c r="AF343">
        <v>5000</v>
      </c>
      <c r="AI343" t="s">
        <v>59</v>
      </c>
      <c r="AL343" t="s">
        <v>1933</v>
      </c>
      <c r="AM343" t="s">
        <v>1933</v>
      </c>
      <c r="AN343" s="3">
        <v>46055.478472222225</v>
      </c>
      <c r="AO343" t="s">
        <v>231</v>
      </c>
    </row>
    <row r="344" spans="1:41" x14ac:dyDescent="0.3">
      <c r="A344" t="s">
        <v>168</v>
      </c>
      <c r="B344" t="s">
        <v>441</v>
      </c>
      <c r="C344" t="s">
        <v>100</v>
      </c>
      <c r="E344" s="1">
        <v>46055</v>
      </c>
      <c r="F344" t="s">
        <v>569</v>
      </c>
      <c r="G344" t="s">
        <v>128</v>
      </c>
      <c r="H344" s="2">
        <v>0.54166666666666663</v>
      </c>
      <c r="I344" s="2">
        <v>0.875</v>
      </c>
      <c r="J344" t="s">
        <v>100</v>
      </c>
      <c r="L344" t="s">
        <v>100</v>
      </c>
      <c r="M344" t="s">
        <v>402</v>
      </c>
      <c r="N344" t="s">
        <v>403</v>
      </c>
      <c r="O344">
        <v>21398</v>
      </c>
      <c r="Q344" t="s">
        <v>981</v>
      </c>
      <c r="R344" t="s">
        <v>1934</v>
      </c>
      <c r="S344" t="s">
        <v>52</v>
      </c>
      <c r="U344">
        <v>889101</v>
      </c>
      <c r="V344" s="3">
        <v>46036.410416666666</v>
      </c>
      <c r="W344" t="s">
        <v>405</v>
      </c>
      <c r="X344" t="s">
        <v>406</v>
      </c>
      <c r="Y344" t="str">
        <f>"0423877972"</f>
        <v>0423877972</v>
      </c>
      <c r="Z344" t="s">
        <v>1935</v>
      </c>
      <c r="AB344" t="s">
        <v>448</v>
      </c>
      <c r="AD344" t="s">
        <v>168</v>
      </c>
      <c r="AE344" t="s">
        <v>180</v>
      </c>
      <c r="AF344">
        <v>5063</v>
      </c>
      <c r="AG344" t="s">
        <v>981</v>
      </c>
      <c r="AI344" t="s">
        <v>59</v>
      </c>
      <c r="AL344" t="s">
        <v>1720</v>
      </c>
      <c r="AN344" s="3">
        <v>46055.890972222223</v>
      </c>
      <c r="AO344" t="s">
        <v>405</v>
      </c>
    </row>
    <row r="345" spans="1:41" x14ac:dyDescent="0.3">
      <c r="A345" t="s">
        <v>168</v>
      </c>
      <c r="B345" t="s">
        <v>376</v>
      </c>
      <c r="C345" t="s">
        <v>43</v>
      </c>
      <c r="D345" t="s">
        <v>127</v>
      </c>
      <c r="E345" s="1">
        <v>46055</v>
      </c>
      <c r="F345" t="s">
        <v>569</v>
      </c>
      <c r="G345" t="s">
        <v>128</v>
      </c>
      <c r="H345" s="2">
        <v>0.54236111111111107</v>
      </c>
      <c r="I345" s="2">
        <v>0.875</v>
      </c>
      <c r="J345" t="s">
        <v>185</v>
      </c>
      <c r="L345" t="s">
        <v>186</v>
      </c>
      <c r="M345" t="s">
        <v>285</v>
      </c>
      <c r="N345" t="s">
        <v>286</v>
      </c>
      <c r="O345">
        <v>5951416</v>
      </c>
      <c r="Q345" t="s">
        <v>1936</v>
      </c>
      <c r="R345" t="s">
        <v>231</v>
      </c>
      <c r="S345" t="s">
        <v>52</v>
      </c>
      <c r="U345">
        <v>889011</v>
      </c>
      <c r="V345" s="3">
        <v>46052.415277777778</v>
      </c>
      <c r="W345" t="s">
        <v>288</v>
      </c>
      <c r="X345" t="s">
        <v>289</v>
      </c>
      <c r="Y345" t="str">
        <f>"0423562542"</f>
        <v>0423562542</v>
      </c>
      <c r="Z345" t="s">
        <v>70</v>
      </c>
      <c r="AB345" t="s">
        <v>383</v>
      </c>
      <c r="AD345" t="s">
        <v>168</v>
      </c>
      <c r="AE345" t="s">
        <v>384</v>
      </c>
      <c r="AF345">
        <v>5000</v>
      </c>
      <c r="AG345" t="s">
        <v>674</v>
      </c>
      <c r="AI345" t="s">
        <v>59</v>
      </c>
      <c r="AL345" t="s">
        <v>1726</v>
      </c>
      <c r="AN345" s="3">
        <v>46055.731249999997</v>
      </c>
      <c r="AO345" t="s">
        <v>288</v>
      </c>
    </row>
    <row r="346" spans="1:41" x14ac:dyDescent="0.3">
      <c r="A346" t="s">
        <v>61</v>
      </c>
      <c r="B346" t="s">
        <v>1937</v>
      </c>
      <c r="C346" t="s">
        <v>100</v>
      </c>
      <c r="D346" t="s">
        <v>184</v>
      </c>
      <c r="E346" s="1">
        <v>46055</v>
      </c>
      <c r="F346" t="s">
        <v>569</v>
      </c>
      <c r="G346" t="s">
        <v>128</v>
      </c>
      <c r="H346" s="2">
        <v>0.5625</v>
      </c>
      <c r="I346" s="2">
        <v>0.91666666666666663</v>
      </c>
      <c r="J346" t="s">
        <v>100</v>
      </c>
      <c r="L346" t="s">
        <v>100</v>
      </c>
      <c r="M346" t="s">
        <v>1938</v>
      </c>
      <c r="N346" t="s">
        <v>1939</v>
      </c>
      <c r="O346">
        <v>5951653</v>
      </c>
      <c r="Q346" t="s">
        <v>1087</v>
      </c>
      <c r="R346" t="s">
        <v>67</v>
      </c>
      <c r="S346" t="s">
        <v>52</v>
      </c>
      <c r="U346">
        <v>889103</v>
      </c>
      <c r="V346" s="3">
        <v>46051.433333333334</v>
      </c>
      <c r="W346" t="s">
        <v>1940</v>
      </c>
      <c r="X346" t="s">
        <v>1941</v>
      </c>
      <c r="Y346" t="str">
        <f>"0422928911"</f>
        <v>0422928911</v>
      </c>
      <c r="Z346" t="s">
        <v>1225</v>
      </c>
      <c r="AB346" t="s">
        <v>1942</v>
      </c>
      <c r="AD346" t="s">
        <v>61</v>
      </c>
      <c r="AE346" t="s">
        <v>1943</v>
      </c>
      <c r="AF346">
        <v>2065</v>
      </c>
      <c r="AG346" t="s">
        <v>1087</v>
      </c>
      <c r="AI346" t="s">
        <v>59</v>
      </c>
      <c r="AL346" t="s">
        <v>1649</v>
      </c>
      <c r="AN346" s="3">
        <v>46055.914583333331</v>
      </c>
      <c r="AO346" t="s">
        <v>1940</v>
      </c>
    </row>
    <row r="347" spans="1:41" x14ac:dyDescent="0.3">
      <c r="A347" t="s">
        <v>61</v>
      </c>
      <c r="B347" t="s">
        <v>578</v>
      </c>
      <c r="D347" t="s">
        <v>579</v>
      </c>
      <c r="E347" s="1">
        <v>46055</v>
      </c>
      <c r="F347" t="s">
        <v>569</v>
      </c>
      <c r="G347" t="s">
        <v>128</v>
      </c>
      <c r="H347" s="2">
        <v>0.5625</v>
      </c>
      <c r="I347" s="2">
        <v>0.91666666666666663</v>
      </c>
      <c r="J347" t="s">
        <v>269</v>
      </c>
      <c r="L347" t="s">
        <v>172</v>
      </c>
      <c r="M347" t="s">
        <v>580</v>
      </c>
      <c r="N347" t="s">
        <v>581</v>
      </c>
      <c r="O347">
        <v>5951721</v>
      </c>
      <c r="P347" t="s">
        <v>571</v>
      </c>
      <c r="Q347" t="s">
        <v>582</v>
      </c>
      <c r="R347" t="s">
        <v>573</v>
      </c>
      <c r="S347" t="s">
        <v>52</v>
      </c>
      <c r="T347" t="s">
        <v>252</v>
      </c>
      <c r="U347">
        <v>890600</v>
      </c>
      <c r="V347" s="3">
        <v>46069.394444444442</v>
      </c>
      <c r="W347" t="s">
        <v>583</v>
      </c>
      <c r="X347" t="s">
        <v>584</v>
      </c>
      <c r="Y347" t="str">
        <f>"0456677559"</f>
        <v>0456677559</v>
      </c>
      <c r="Z347" t="s">
        <v>123</v>
      </c>
      <c r="AA347" s="1">
        <v>46066</v>
      </c>
      <c r="AB347" t="s">
        <v>586</v>
      </c>
      <c r="AD347" t="s">
        <v>61</v>
      </c>
      <c r="AE347" t="s">
        <v>587</v>
      </c>
      <c r="AF347">
        <v>2320</v>
      </c>
      <c r="AG347" t="s">
        <v>588</v>
      </c>
      <c r="AI347" t="s">
        <v>59</v>
      </c>
      <c r="AJ347" t="str">
        <f>"0010193654"</f>
        <v>0010193654</v>
      </c>
      <c r="AN347" s="3">
        <v>46069.394444444442</v>
      </c>
      <c r="AO347" t="s">
        <v>573</v>
      </c>
    </row>
    <row r="348" spans="1:41" x14ac:dyDescent="0.3">
      <c r="A348" t="s">
        <v>168</v>
      </c>
      <c r="B348" t="s">
        <v>376</v>
      </c>
      <c r="C348" t="s">
        <v>202</v>
      </c>
      <c r="D348" t="s">
        <v>127</v>
      </c>
      <c r="E348" s="1">
        <v>46055</v>
      </c>
      <c r="F348" t="s">
        <v>569</v>
      </c>
      <c r="G348" t="s">
        <v>128</v>
      </c>
      <c r="H348" s="2">
        <v>0.58333333333333337</v>
      </c>
      <c r="I348" s="2">
        <v>0.91666666666666663</v>
      </c>
      <c r="J348" t="s">
        <v>46</v>
      </c>
      <c r="L348" t="s">
        <v>47</v>
      </c>
      <c r="M348" t="s">
        <v>1401</v>
      </c>
      <c r="N348" t="s">
        <v>1944</v>
      </c>
      <c r="O348">
        <v>22123</v>
      </c>
      <c r="Q348" t="s">
        <v>1389</v>
      </c>
      <c r="R348" t="s">
        <v>231</v>
      </c>
      <c r="S348" t="s">
        <v>52</v>
      </c>
      <c r="U348">
        <v>889106</v>
      </c>
      <c r="V348" s="3">
        <v>46051.607638888891</v>
      </c>
      <c r="W348" t="s">
        <v>1945</v>
      </c>
      <c r="X348" t="s">
        <v>1946</v>
      </c>
      <c r="Y348" t="str">
        <f>"0439908622"</f>
        <v>0439908622</v>
      </c>
      <c r="Z348" t="s">
        <v>1793</v>
      </c>
      <c r="AB348" t="s">
        <v>383</v>
      </c>
      <c r="AD348" t="s">
        <v>168</v>
      </c>
      <c r="AE348" t="s">
        <v>384</v>
      </c>
      <c r="AF348">
        <v>5000</v>
      </c>
      <c r="AG348" t="s">
        <v>1389</v>
      </c>
      <c r="AI348" t="s">
        <v>59</v>
      </c>
      <c r="AL348" t="s">
        <v>385</v>
      </c>
      <c r="AN348" s="3">
        <v>46055.935416666667</v>
      </c>
      <c r="AO348" t="s">
        <v>1945</v>
      </c>
    </row>
    <row r="349" spans="1:41" x14ac:dyDescent="0.3">
      <c r="A349" t="s">
        <v>168</v>
      </c>
      <c r="B349" t="s">
        <v>1947</v>
      </c>
      <c r="C349" t="s">
        <v>1948</v>
      </c>
      <c r="D349" t="s">
        <v>127</v>
      </c>
      <c r="E349" s="1">
        <v>46055</v>
      </c>
      <c r="F349" t="s">
        <v>569</v>
      </c>
      <c r="G349" t="s">
        <v>128</v>
      </c>
      <c r="H349" s="2">
        <v>0.59375</v>
      </c>
      <c r="I349" s="2">
        <v>0.9375</v>
      </c>
      <c r="J349" t="s">
        <v>296</v>
      </c>
      <c r="K349" t="s">
        <v>750</v>
      </c>
      <c r="L349" t="s">
        <v>298</v>
      </c>
      <c r="M349" t="s">
        <v>1949</v>
      </c>
      <c r="N349" t="s">
        <v>1950</v>
      </c>
      <c r="O349">
        <v>5951104</v>
      </c>
      <c r="Q349" t="s">
        <v>1951</v>
      </c>
      <c r="R349" t="s">
        <v>231</v>
      </c>
      <c r="S349" t="s">
        <v>52</v>
      </c>
      <c r="U349">
        <v>889107</v>
      </c>
      <c r="V349" s="3">
        <v>46055.426388888889</v>
      </c>
      <c r="W349" t="s">
        <v>1952</v>
      </c>
      <c r="X349" t="s">
        <v>1953</v>
      </c>
      <c r="Y349" t="str">
        <f>"0475604092"</f>
        <v>0475604092</v>
      </c>
      <c r="Z349" t="s">
        <v>70</v>
      </c>
      <c r="AB349" t="s">
        <v>1954</v>
      </c>
      <c r="AD349" t="s">
        <v>168</v>
      </c>
      <c r="AE349" t="s">
        <v>1001</v>
      </c>
      <c r="AF349">
        <v>5074</v>
      </c>
      <c r="AG349" t="s">
        <v>1955</v>
      </c>
      <c r="AI349" t="s">
        <v>59</v>
      </c>
      <c r="AL349" t="s">
        <v>1956</v>
      </c>
      <c r="AN349" s="3">
        <v>46055.944444444445</v>
      </c>
      <c r="AO349" t="s">
        <v>1952</v>
      </c>
    </row>
    <row r="350" spans="1:41" x14ac:dyDescent="0.3">
      <c r="A350" t="s">
        <v>61</v>
      </c>
      <c r="B350" t="s">
        <v>768</v>
      </c>
      <c r="C350" t="s">
        <v>296</v>
      </c>
      <c r="D350" t="s">
        <v>769</v>
      </c>
      <c r="E350" s="1">
        <v>46055</v>
      </c>
      <c r="F350" t="s">
        <v>569</v>
      </c>
      <c r="G350" t="s">
        <v>128</v>
      </c>
      <c r="H350" s="2">
        <v>0.60416666666666663</v>
      </c>
      <c r="I350" s="2">
        <v>0.91666666666666663</v>
      </c>
      <c r="J350" t="s">
        <v>296</v>
      </c>
      <c r="L350" t="s">
        <v>298</v>
      </c>
      <c r="M350" t="s">
        <v>770</v>
      </c>
      <c r="N350" t="s">
        <v>771</v>
      </c>
      <c r="O350">
        <v>5952291</v>
      </c>
      <c r="Q350" t="s">
        <v>1957</v>
      </c>
      <c r="R350" t="s">
        <v>67</v>
      </c>
      <c r="S350" t="s">
        <v>52</v>
      </c>
      <c r="U350">
        <v>889105</v>
      </c>
      <c r="V350" s="3">
        <v>46050.375</v>
      </c>
      <c r="W350" t="s">
        <v>773</v>
      </c>
      <c r="X350" t="s">
        <v>774</v>
      </c>
      <c r="Y350" t="str">
        <f>"0432174467"</f>
        <v>0432174467</v>
      </c>
      <c r="Z350" t="s">
        <v>1201</v>
      </c>
      <c r="AB350" t="s">
        <v>775</v>
      </c>
      <c r="AD350" t="s">
        <v>61</v>
      </c>
      <c r="AE350" t="s">
        <v>776</v>
      </c>
      <c r="AF350">
        <v>2076</v>
      </c>
      <c r="AG350" t="s">
        <v>500</v>
      </c>
      <c r="AI350" t="s">
        <v>59</v>
      </c>
      <c r="AL350" t="s">
        <v>1649</v>
      </c>
      <c r="AN350" s="3">
        <v>46055.92291666667</v>
      </c>
      <c r="AO350" t="s">
        <v>773</v>
      </c>
    </row>
    <row r="351" spans="1:41" x14ac:dyDescent="0.3">
      <c r="A351" t="s">
        <v>168</v>
      </c>
      <c r="B351" t="s">
        <v>1958</v>
      </c>
      <c r="C351" t="s">
        <v>745</v>
      </c>
      <c r="D351" t="s">
        <v>309</v>
      </c>
      <c r="E351" s="1">
        <v>46055</v>
      </c>
      <c r="F351" t="s">
        <v>569</v>
      </c>
      <c r="G351" t="s">
        <v>128</v>
      </c>
      <c r="H351" s="2">
        <v>0.60416666666666663</v>
      </c>
      <c r="I351" s="2">
        <v>0.9375</v>
      </c>
      <c r="J351" t="s">
        <v>1314</v>
      </c>
      <c r="K351" t="s">
        <v>360</v>
      </c>
      <c r="L351" t="s">
        <v>1453</v>
      </c>
      <c r="M351" t="s">
        <v>78</v>
      </c>
      <c r="N351" t="s">
        <v>1024</v>
      </c>
      <c r="O351">
        <v>22911</v>
      </c>
      <c r="Q351" t="s">
        <v>705</v>
      </c>
      <c r="R351" t="s">
        <v>500</v>
      </c>
      <c r="S351" t="s">
        <v>119</v>
      </c>
      <c r="T351" t="s">
        <v>414</v>
      </c>
      <c r="U351">
        <v>889723</v>
      </c>
      <c r="V351" s="3">
        <v>46054.745833333334</v>
      </c>
      <c r="W351" t="s">
        <v>1959</v>
      </c>
      <c r="X351" t="s">
        <v>1960</v>
      </c>
      <c r="Y351" t="str">
        <f>"0401056624"</f>
        <v>0401056624</v>
      </c>
      <c r="Z351" t="s">
        <v>70</v>
      </c>
      <c r="AB351" t="s">
        <v>1961</v>
      </c>
      <c r="AD351" t="s">
        <v>168</v>
      </c>
      <c r="AE351" t="s">
        <v>856</v>
      </c>
      <c r="AF351">
        <v>5112</v>
      </c>
      <c r="AI351" t="s">
        <v>59</v>
      </c>
      <c r="AL351" t="s">
        <v>1729</v>
      </c>
      <c r="AM351" t="s">
        <v>1962</v>
      </c>
      <c r="AN351" s="3">
        <v>46054.773611111108</v>
      </c>
      <c r="AO351" t="s">
        <v>500</v>
      </c>
    </row>
    <row r="352" spans="1:41" x14ac:dyDescent="0.3">
      <c r="A352" t="s">
        <v>168</v>
      </c>
      <c r="B352" t="s">
        <v>1963</v>
      </c>
      <c r="C352" t="s">
        <v>1964</v>
      </c>
      <c r="D352" t="s">
        <v>401</v>
      </c>
      <c r="E352" s="1">
        <v>46055</v>
      </c>
      <c r="F352" t="s">
        <v>569</v>
      </c>
      <c r="G352" t="s">
        <v>128</v>
      </c>
      <c r="H352" s="2">
        <v>0.60416666666666663</v>
      </c>
      <c r="I352" s="2">
        <v>0.9375</v>
      </c>
      <c r="J352" t="s">
        <v>296</v>
      </c>
      <c r="K352" t="s">
        <v>1965</v>
      </c>
      <c r="L352" t="s">
        <v>298</v>
      </c>
      <c r="M352" t="s">
        <v>442</v>
      </c>
      <c r="N352" t="s">
        <v>443</v>
      </c>
      <c r="O352">
        <v>22456</v>
      </c>
      <c r="Q352" t="s">
        <v>1966</v>
      </c>
      <c r="R352" t="s">
        <v>145</v>
      </c>
      <c r="S352" t="s">
        <v>52</v>
      </c>
      <c r="U352">
        <v>889125</v>
      </c>
      <c r="V352" s="3">
        <v>46054.915972222225</v>
      </c>
      <c r="W352" t="s">
        <v>446</v>
      </c>
      <c r="X352" t="s">
        <v>447</v>
      </c>
      <c r="Y352" t="str">
        <f>"0452566250"</f>
        <v>0452566250</v>
      </c>
      <c r="Z352" t="s">
        <v>70</v>
      </c>
      <c r="AA352" s="1">
        <v>46055</v>
      </c>
      <c r="AB352" t="s">
        <v>1967</v>
      </c>
      <c r="AD352" t="s">
        <v>168</v>
      </c>
      <c r="AE352" t="s">
        <v>1968</v>
      </c>
      <c r="AF352">
        <v>5000</v>
      </c>
      <c r="AG352" t="s">
        <v>1969</v>
      </c>
      <c r="AI352" t="s">
        <v>59</v>
      </c>
      <c r="AL352" t="s">
        <v>1970</v>
      </c>
      <c r="AN352" s="3">
        <v>46055.96597222222</v>
      </c>
      <c r="AO352" t="s">
        <v>446</v>
      </c>
    </row>
    <row r="353" spans="1:41" x14ac:dyDescent="0.3">
      <c r="A353" t="s">
        <v>75</v>
      </c>
      <c r="B353" t="s">
        <v>1971</v>
      </c>
      <c r="C353" t="s">
        <v>1972</v>
      </c>
      <c r="D353" t="s">
        <v>1971</v>
      </c>
      <c r="E353" s="1">
        <v>46055</v>
      </c>
      <c r="F353" t="s">
        <v>569</v>
      </c>
      <c r="G353" t="s">
        <v>128</v>
      </c>
      <c r="H353" s="2">
        <v>0.66666666666666663</v>
      </c>
      <c r="I353" s="2">
        <v>0.85416666666666663</v>
      </c>
      <c r="J353" t="s">
        <v>112</v>
      </c>
      <c r="K353" t="s">
        <v>1973</v>
      </c>
      <c r="L353" t="s">
        <v>114</v>
      </c>
      <c r="M353" t="s">
        <v>1974</v>
      </c>
      <c r="N353" t="s">
        <v>1975</v>
      </c>
      <c r="O353">
        <v>22383</v>
      </c>
      <c r="Q353" t="s">
        <v>1976</v>
      </c>
      <c r="R353" t="s">
        <v>118</v>
      </c>
      <c r="S353" t="s">
        <v>52</v>
      </c>
      <c r="U353">
        <v>889244</v>
      </c>
      <c r="V353" s="3">
        <v>46056.445833333331</v>
      </c>
      <c r="W353" t="s">
        <v>1977</v>
      </c>
      <c r="X353" t="s">
        <v>1978</v>
      </c>
      <c r="Y353" t="str">
        <f>"0405795510"</f>
        <v>0405795510</v>
      </c>
      <c r="Z353" t="s">
        <v>123</v>
      </c>
      <c r="AB353" t="s">
        <v>1979</v>
      </c>
      <c r="AD353" t="s">
        <v>75</v>
      </c>
      <c r="AE353" t="s">
        <v>125</v>
      </c>
      <c r="AF353">
        <v>6017</v>
      </c>
      <c r="AG353" t="s">
        <v>1976</v>
      </c>
      <c r="AI353" t="s">
        <v>59</v>
      </c>
      <c r="AN353" s="3">
        <v>46056.808333333334</v>
      </c>
      <c r="AO353" t="s">
        <v>1977</v>
      </c>
    </row>
    <row r="354" spans="1:41" x14ac:dyDescent="0.3">
      <c r="A354" t="s">
        <v>306</v>
      </c>
      <c r="B354" t="s">
        <v>450</v>
      </c>
      <c r="C354" t="s">
        <v>100</v>
      </c>
      <c r="D354" t="s">
        <v>63</v>
      </c>
      <c r="E354" s="1">
        <v>46055</v>
      </c>
      <c r="F354" t="s">
        <v>569</v>
      </c>
      <c r="G354" t="s">
        <v>128</v>
      </c>
      <c r="H354" s="2">
        <v>0.66666666666666663</v>
      </c>
      <c r="I354" s="2">
        <v>0.91666666666666663</v>
      </c>
      <c r="J354" t="s">
        <v>451</v>
      </c>
      <c r="L354" t="s">
        <v>452</v>
      </c>
      <c r="M354" t="s">
        <v>1980</v>
      </c>
      <c r="N354" t="s">
        <v>1981</v>
      </c>
      <c r="O354">
        <v>21297</v>
      </c>
      <c r="Q354" t="s">
        <v>1982</v>
      </c>
      <c r="R354" t="s">
        <v>145</v>
      </c>
      <c r="S354" t="s">
        <v>52</v>
      </c>
      <c r="U354">
        <v>889104</v>
      </c>
      <c r="V354" s="3">
        <v>46052.904861111114</v>
      </c>
      <c r="W354" t="s">
        <v>1983</v>
      </c>
      <c r="X354" t="s">
        <v>1984</v>
      </c>
      <c r="Y354" t="str">
        <f>"0434131195"</f>
        <v>0434131195</v>
      </c>
      <c r="Z354" t="s">
        <v>70</v>
      </c>
      <c r="AA354" s="1">
        <v>46055</v>
      </c>
      <c r="AB354" t="s">
        <v>459</v>
      </c>
      <c r="AD354" t="s">
        <v>306</v>
      </c>
      <c r="AE354" t="s">
        <v>460</v>
      </c>
      <c r="AF354">
        <v>3058</v>
      </c>
      <c r="AG354" t="s">
        <v>455</v>
      </c>
      <c r="AI354" t="s">
        <v>59</v>
      </c>
      <c r="AL354" t="s">
        <v>1985</v>
      </c>
      <c r="AN354" s="3">
        <v>46055.914583333331</v>
      </c>
      <c r="AO354" t="s">
        <v>1983</v>
      </c>
    </row>
    <row r="355" spans="1:41" x14ac:dyDescent="0.3">
      <c r="A355" t="s">
        <v>75</v>
      </c>
      <c r="B355" t="s">
        <v>1972</v>
      </c>
      <c r="C355" t="s">
        <v>590</v>
      </c>
      <c r="D355" t="s">
        <v>700</v>
      </c>
      <c r="E355" s="1">
        <v>46055</v>
      </c>
      <c r="F355" t="s">
        <v>569</v>
      </c>
      <c r="G355" t="s">
        <v>128</v>
      </c>
      <c r="H355" s="2">
        <v>0.6875</v>
      </c>
      <c r="I355" s="2">
        <v>0.89583333333333337</v>
      </c>
      <c r="J355" t="s">
        <v>590</v>
      </c>
      <c r="L355" t="s">
        <v>1986</v>
      </c>
      <c r="M355" t="s">
        <v>1987</v>
      </c>
      <c r="N355" t="s">
        <v>1988</v>
      </c>
      <c r="O355">
        <v>5952393</v>
      </c>
      <c r="Q355" t="s">
        <v>1989</v>
      </c>
      <c r="R355" t="s">
        <v>81</v>
      </c>
      <c r="S355" t="s">
        <v>52</v>
      </c>
      <c r="U355">
        <v>889129</v>
      </c>
      <c r="V355" s="3">
        <v>46055.558333333334</v>
      </c>
      <c r="W355" t="s">
        <v>1990</v>
      </c>
      <c r="X355" t="s">
        <v>1991</v>
      </c>
      <c r="Y355" t="str">
        <f>"0466108824"</f>
        <v>0466108824</v>
      </c>
      <c r="Z355" t="s">
        <v>70</v>
      </c>
      <c r="AA355" s="1">
        <v>46055</v>
      </c>
      <c r="AB355" t="s">
        <v>811</v>
      </c>
      <c r="AC355" t="s">
        <v>1992</v>
      </c>
      <c r="AD355" t="s">
        <v>75</v>
      </c>
      <c r="AE355" t="s">
        <v>1993</v>
      </c>
      <c r="AF355">
        <v>6008</v>
      </c>
      <c r="AG355" t="s">
        <v>1994</v>
      </c>
      <c r="AI355" t="s">
        <v>59</v>
      </c>
      <c r="AL355" t="s">
        <v>1995</v>
      </c>
      <c r="AN355" s="3">
        <v>46056.023611111108</v>
      </c>
      <c r="AO355" t="s">
        <v>1990</v>
      </c>
    </row>
    <row r="356" spans="1:41" x14ac:dyDescent="0.3">
      <c r="A356" t="s">
        <v>61</v>
      </c>
      <c r="B356" t="s">
        <v>182</v>
      </c>
      <c r="C356" t="s">
        <v>484</v>
      </c>
      <c r="D356" t="s">
        <v>184</v>
      </c>
      <c r="E356" s="1">
        <v>46055</v>
      </c>
      <c r="F356" t="s">
        <v>569</v>
      </c>
      <c r="G356" t="s">
        <v>485</v>
      </c>
      <c r="H356" s="2">
        <v>0.77083333333333337</v>
      </c>
      <c r="I356" s="2">
        <v>0.29166666666666669</v>
      </c>
      <c r="J356" t="s">
        <v>590</v>
      </c>
      <c r="L356" t="s">
        <v>487</v>
      </c>
      <c r="M356" t="s">
        <v>1645</v>
      </c>
      <c r="N356" t="s">
        <v>1646</v>
      </c>
      <c r="O356">
        <v>5951065</v>
      </c>
      <c r="Q356" t="s">
        <v>129</v>
      </c>
      <c r="R356" t="s">
        <v>132</v>
      </c>
      <c r="S356" t="s">
        <v>52</v>
      </c>
      <c r="U356">
        <v>889131</v>
      </c>
      <c r="V356" s="3">
        <v>46038.606249999997</v>
      </c>
      <c r="W356" t="s">
        <v>1647</v>
      </c>
      <c r="X356" t="s">
        <v>1648</v>
      </c>
      <c r="Y356" t="str">
        <f>"0408979009"</f>
        <v>0408979009</v>
      </c>
      <c r="Z356" t="s">
        <v>1155</v>
      </c>
      <c r="AB356" t="s">
        <v>193</v>
      </c>
      <c r="AD356" t="s">
        <v>61</v>
      </c>
      <c r="AE356" t="s">
        <v>194</v>
      </c>
      <c r="AF356">
        <v>2229</v>
      </c>
      <c r="AG356" t="s">
        <v>129</v>
      </c>
      <c r="AI356" t="s">
        <v>59</v>
      </c>
      <c r="AL356" t="s">
        <v>1649</v>
      </c>
      <c r="AN356" s="3">
        <v>46056.275694444441</v>
      </c>
      <c r="AO356" t="s">
        <v>1647</v>
      </c>
    </row>
    <row r="357" spans="1:41" x14ac:dyDescent="0.3">
      <c r="A357" t="s">
        <v>61</v>
      </c>
      <c r="B357" t="s">
        <v>1462</v>
      </c>
      <c r="C357" t="s">
        <v>296</v>
      </c>
      <c r="D357" t="s">
        <v>90</v>
      </c>
      <c r="E357" s="1">
        <v>46055</v>
      </c>
      <c r="F357" t="s">
        <v>569</v>
      </c>
      <c r="G357" t="s">
        <v>485</v>
      </c>
      <c r="H357" s="2">
        <v>0.79097222222222219</v>
      </c>
      <c r="I357" s="2">
        <v>0.29097222222222224</v>
      </c>
      <c r="J357" t="s">
        <v>464</v>
      </c>
      <c r="L357" t="s">
        <v>1996</v>
      </c>
      <c r="M357" t="s">
        <v>1997</v>
      </c>
      <c r="N357" t="s">
        <v>933</v>
      </c>
      <c r="O357">
        <v>5952317</v>
      </c>
      <c r="Q357" t="s">
        <v>1744</v>
      </c>
      <c r="R357" t="s">
        <v>67</v>
      </c>
      <c r="S357" t="s">
        <v>119</v>
      </c>
      <c r="U357">
        <v>889887</v>
      </c>
      <c r="V357" s="3">
        <v>46055.579861111109</v>
      </c>
      <c r="W357" t="s">
        <v>1998</v>
      </c>
      <c r="X357" t="s">
        <v>1999</v>
      </c>
      <c r="Y357" t="str">
        <f>"1111111111"</f>
        <v>1111111111</v>
      </c>
      <c r="Z357" t="s">
        <v>2000</v>
      </c>
      <c r="AB357" t="s">
        <v>1468</v>
      </c>
      <c r="AD357" t="s">
        <v>61</v>
      </c>
      <c r="AE357" t="s">
        <v>1469</v>
      </c>
      <c r="AF357">
        <v>2060</v>
      </c>
      <c r="AG357" t="s">
        <v>1744</v>
      </c>
      <c r="AI357" t="s">
        <v>59</v>
      </c>
      <c r="AL357" t="s">
        <v>2001</v>
      </c>
      <c r="AN357" s="3">
        <v>46055.679861111108</v>
      </c>
      <c r="AO357" t="s">
        <v>67</v>
      </c>
    </row>
    <row r="358" spans="1:41" x14ac:dyDescent="0.3">
      <c r="A358" t="s">
        <v>41</v>
      </c>
      <c r="B358" t="s">
        <v>1228</v>
      </c>
      <c r="C358" t="s">
        <v>2002</v>
      </c>
      <c r="D358" t="s">
        <v>246</v>
      </c>
      <c r="E358" s="1">
        <v>46055</v>
      </c>
      <c r="F358" t="s">
        <v>569</v>
      </c>
      <c r="G358" t="s">
        <v>485</v>
      </c>
      <c r="H358" s="2">
        <v>0.875</v>
      </c>
      <c r="I358" s="2">
        <v>0.3125</v>
      </c>
      <c r="J358" t="s">
        <v>269</v>
      </c>
      <c r="K358" t="s">
        <v>2003</v>
      </c>
      <c r="L358" t="s">
        <v>2004</v>
      </c>
      <c r="M358" t="s">
        <v>1558</v>
      </c>
      <c r="N358" t="s">
        <v>2005</v>
      </c>
      <c r="O358">
        <v>5952314</v>
      </c>
      <c r="Q358" t="s">
        <v>2006</v>
      </c>
      <c r="R358" t="s">
        <v>1472</v>
      </c>
      <c r="S358" t="s">
        <v>52</v>
      </c>
      <c r="U358">
        <v>889139</v>
      </c>
      <c r="V358" s="3">
        <v>46055.686805555553</v>
      </c>
      <c r="W358" t="s">
        <v>2007</v>
      </c>
      <c r="X358" t="s">
        <v>2008</v>
      </c>
      <c r="Y358" t="str">
        <f>"0467719543"</f>
        <v>0467719543</v>
      </c>
      <c r="Z358" t="s">
        <v>70</v>
      </c>
      <c r="AA358" s="1">
        <v>46055</v>
      </c>
      <c r="AB358" t="s">
        <v>1235</v>
      </c>
      <c r="AD358" t="s">
        <v>41</v>
      </c>
      <c r="AE358" t="s">
        <v>1236</v>
      </c>
      <c r="AF358">
        <v>4215</v>
      </c>
      <c r="AG358" t="s">
        <v>2009</v>
      </c>
      <c r="AI358" t="s">
        <v>59</v>
      </c>
      <c r="AL358" t="s">
        <v>87</v>
      </c>
      <c r="AN358" s="3">
        <v>46056.352083333331</v>
      </c>
      <c r="AO358" t="s">
        <v>2007</v>
      </c>
    </row>
    <row r="359" spans="1:41" x14ac:dyDescent="0.3">
      <c r="A359" t="s">
        <v>41</v>
      </c>
      <c r="B359" t="s">
        <v>1168</v>
      </c>
      <c r="D359" t="s">
        <v>246</v>
      </c>
      <c r="E359" s="1">
        <v>46055</v>
      </c>
      <c r="F359" t="s">
        <v>569</v>
      </c>
      <c r="G359" t="s">
        <v>485</v>
      </c>
      <c r="H359" s="2">
        <v>0.875</v>
      </c>
      <c r="I359" s="2">
        <v>0.3125</v>
      </c>
      <c r="J359" t="s">
        <v>296</v>
      </c>
      <c r="L359" t="s">
        <v>1169</v>
      </c>
      <c r="M359" t="s">
        <v>1170</v>
      </c>
      <c r="N359" t="s">
        <v>1171</v>
      </c>
      <c r="O359">
        <v>5952274</v>
      </c>
      <c r="Q359" t="s">
        <v>1172</v>
      </c>
      <c r="R359" t="s">
        <v>573</v>
      </c>
      <c r="S359" t="s">
        <v>52</v>
      </c>
      <c r="T359" t="s">
        <v>252</v>
      </c>
      <c r="U359">
        <v>889945</v>
      </c>
      <c r="V359" s="3">
        <v>46063.345138888886</v>
      </c>
      <c r="W359" t="s">
        <v>1173</v>
      </c>
      <c r="X359" t="s">
        <v>1174</v>
      </c>
      <c r="Y359" t="str">
        <f>"0432261353"</f>
        <v>0432261353</v>
      </c>
      <c r="Z359" t="s">
        <v>585</v>
      </c>
      <c r="AA359" s="1">
        <v>46083</v>
      </c>
      <c r="AB359" t="s">
        <v>1175</v>
      </c>
      <c r="AD359" t="s">
        <v>41</v>
      </c>
      <c r="AE359" t="s">
        <v>1176</v>
      </c>
      <c r="AF359">
        <v>4680</v>
      </c>
      <c r="AG359" t="s">
        <v>1172</v>
      </c>
      <c r="AI359" t="s">
        <v>59</v>
      </c>
      <c r="AJ359" t="str">
        <f>"0050076336"</f>
        <v>0050076336</v>
      </c>
      <c r="AN359" s="3">
        <v>46063.345138888886</v>
      </c>
      <c r="AO359" t="s">
        <v>573</v>
      </c>
    </row>
    <row r="360" spans="1:41" x14ac:dyDescent="0.3">
      <c r="A360" t="s">
        <v>168</v>
      </c>
      <c r="B360" t="s">
        <v>336</v>
      </c>
      <c r="D360" t="s">
        <v>268</v>
      </c>
      <c r="E360" s="1">
        <v>46055</v>
      </c>
      <c r="F360" t="s">
        <v>569</v>
      </c>
      <c r="G360" t="s">
        <v>485</v>
      </c>
      <c r="H360" s="2">
        <v>0.875</v>
      </c>
      <c r="I360" s="2">
        <v>0.3125</v>
      </c>
      <c r="J360" t="s">
        <v>296</v>
      </c>
      <c r="K360" t="s">
        <v>338</v>
      </c>
      <c r="L360" t="s">
        <v>339</v>
      </c>
      <c r="M360" t="s">
        <v>806</v>
      </c>
      <c r="N360" t="s">
        <v>1671</v>
      </c>
      <c r="O360">
        <v>5951069</v>
      </c>
      <c r="P360" t="s">
        <v>338</v>
      </c>
      <c r="Q360" t="s">
        <v>342</v>
      </c>
      <c r="R360" t="s">
        <v>176</v>
      </c>
      <c r="S360" t="s">
        <v>52</v>
      </c>
      <c r="U360">
        <v>889102</v>
      </c>
      <c r="V360" s="3">
        <v>46042.580555555556</v>
      </c>
      <c r="W360" t="s">
        <v>1672</v>
      </c>
      <c r="X360" t="s">
        <v>1673</v>
      </c>
      <c r="Y360" t="str">
        <f>"0402344127"</f>
        <v>0402344127</v>
      </c>
      <c r="Z360" t="s">
        <v>1862</v>
      </c>
      <c r="AB360" t="s">
        <v>346</v>
      </c>
      <c r="AD360" t="s">
        <v>168</v>
      </c>
      <c r="AE360" t="s">
        <v>347</v>
      </c>
      <c r="AF360">
        <v>5042</v>
      </c>
      <c r="AG360" t="s">
        <v>342</v>
      </c>
      <c r="AI360" t="s">
        <v>59</v>
      </c>
      <c r="AL360" t="s">
        <v>2010</v>
      </c>
      <c r="AM360" t="s">
        <v>349</v>
      </c>
      <c r="AN360" s="3">
        <v>46055.897916666669</v>
      </c>
      <c r="AO360" t="s">
        <v>1672</v>
      </c>
    </row>
    <row r="361" spans="1:41" x14ac:dyDescent="0.3">
      <c r="A361" t="s">
        <v>61</v>
      </c>
      <c r="B361" t="s">
        <v>1462</v>
      </c>
      <c r="C361" t="s">
        <v>296</v>
      </c>
      <c r="D361" t="s">
        <v>90</v>
      </c>
      <c r="E361" s="1">
        <v>46055</v>
      </c>
      <c r="F361" t="s">
        <v>569</v>
      </c>
      <c r="G361" t="s">
        <v>485</v>
      </c>
      <c r="H361" s="2">
        <v>0.89583333333333337</v>
      </c>
      <c r="I361" s="2">
        <v>0.3125</v>
      </c>
      <c r="J361" t="s">
        <v>296</v>
      </c>
      <c r="L361" t="s">
        <v>298</v>
      </c>
      <c r="M361" t="s">
        <v>2011</v>
      </c>
      <c r="N361" t="s">
        <v>933</v>
      </c>
      <c r="O361">
        <v>5952316</v>
      </c>
      <c r="Q361" t="s">
        <v>2012</v>
      </c>
      <c r="R361" t="s">
        <v>67</v>
      </c>
      <c r="S361" t="s">
        <v>119</v>
      </c>
      <c r="T361" t="s">
        <v>414</v>
      </c>
      <c r="U361">
        <v>889879</v>
      </c>
      <c r="V361" s="3">
        <v>46055.579861111109</v>
      </c>
      <c r="W361" t="s">
        <v>2013</v>
      </c>
      <c r="X361" t="s">
        <v>2014</v>
      </c>
      <c r="Y361" t="str">
        <f>"1111111111"</f>
        <v>1111111111</v>
      </c>
      <c r="Z361" t="s">
        <v>1225</v>
      </c>
      <c r="AB361" t="s">
        <v>1468</v>
      </c>
      <c r="AD361" t="s">
        <v>61</v>
      </c>
      <c r="AE361" t="s">
        <v>1469</v>
      </c>
      <c r="AF361">
        <v>2060</v>
      </c>
      <c r="AG361" t="s">
        <v>1744</v>
      </c>
      <c r="AI361" t="s">
        <v>59</v>
      </c>
      <c r="AL361" t="s">
        <v>2015</v>
      </c>
      <c r="AN361" s="3">
        <v>46055.582638888889</v>
      </c>
      <c r="AO361" t="s">
        <v>67</v>
      </c>
    </row>
    <row r="362" spans="1:41" x14ac:dyDescent="0.3">
      <c r="A362" t="s">
        <v>306</v>
      </c>
      <c r="B362" t="s">
        <v>528</v>
      </c>
      <c r="C362" t="s">
        <v>2002</v>
      </c>
      <c r="D362" t="s">
        <v>63</v>
      </c>
      <c r="E362" s="1">
        <v>46055</v>
      </c>
      <c r="F362" t="s">
        <v>569</v>
      </c>
      <c r="G362" t="s">
        <v>485</v>
      </c>
      <c r="H362" s="2">
        <v>0.89583333333333337</v>
      </c>
      <c r="I362" s="2">
        <v>0.3125</v>
      </c>
      <c r="J362" t="s">
        <v>269</v>
      </c>
      <c r="K362" t="s">
        <v>530</v>
      </c>
      <c r="L362" t="s">
        <v>1327</v>
      </c>
      <c r="M362" t="s">
        <v>1328</v>
      </c>
      <c r="N362" t="s">
        <v>1329</v>
      </c>
      <c r="O362">
        <v>20185</v>
      </c>
      <c r="Q362" t="s">
        <v>2016</v>
      </c>
      <c r="R362" t="s">
        <v>500</v>
      </c>
      <c r="S362" t="s">
        <v>52</v>
      </c>
      <c r="U362">
        <v>889135</v>
      </c>
      <c r="V362" s="3">
        <v>46054.672222222223</v>
      </c>
      <c r="W362" t="s">
        <v>1331</v>
      </c>
      <c r="X362" t="s">
        <v>1332</v>
      </c>
      <c r="Y362" t="str">
        <f>"0422616195"</f>
        <v>0422616195</v>
      </c>
      <c r="Z362" t="s">
        <v>1635</v>
      </c>
      <c r="AB362" t="s">
        <v>537</v>
      </c>
      <c r="AD362" t="s">
        <v>306</v>
      </c>
      <c r="AE362" t="s">
        <v>538</v>
      </c>
      <c r="AF362">
        <v>3152</v>
      </c>
      <c r="AG362" t="s">
        <v>2016</v>
      </c>
      <c r="AI362" t="s">
        <v>59</v>
      </c>
      <c r="AN362" s="3">
        <v>46056.318749999999</v>
      </c>
      <c r="AO362" t="s">
        <v>1331</v>
      </c>
    </row>
    <row r="363" spans="1:41" x14ac:dyDescent="0.3">
      <c r="A363" t="s">
        <v>61</v>
      </c>
      <c r="B363" t="s">
        <v>182</v>
      </c>
      <c r="C363" t="s">
        <v>484</v>
      </c>
      <c r="D363" t="s">
        <v>184</v>
      </c>
      <c r="E363" s="1">
        <v>46055</v>
      </c>
      <c r="F363" t="s">
        <v>569</v>
      </c>
      <c r="G363" t="s">
        <v>485</v>
      </c>
      <c r="H363" s="2">
        <v>0.89583333333333337</v>
      </c>
      <c r="I363" s="2">
        <v>0.29166666666666669</v>
      </c>
      <c r="J363" t="s">
        <v>486</v>
      </c>
      <c r="L363" t="s">
        <v>487</v>
      </c>
      <c r="M363" t="s">
        <v>596</v>
      </c>
      <c r="N363" t="s">
        <v>1280</v>
      </c>
      <c r="O363">
        <v>5952187</v>
      </c>
      <c r="Q363" t="s">
        <v>490</v>
      </c>
      <c r="R363" t="s">
        <v>132</v>
      </c>
      <c r="S363" t="s">
        <v>52</v>
      </c>
      <c r="U363">
        <v>889132</v>
      </c>
      <c r="V363" s="3">
        <v>46038.620138888888</v>
      </c>
      <c r="W363" t="s">
        <v>1281</v>
      </c>
      <c r="X363" t="s">
        <v>1282</v>
      </c>
      <c r="Y363" t="str">
        <f>"0417203844"</f>
        <v>0417203844</v>
      </c>
      <c r="Z363" t="s">
        <v>192</v>
      </c>
      <c r="AB363" t="s">
        <v>193</v>
      </c>
      <c r="AD363" t="s">
        <v>61</v>
      </c>
      <c r="AE363" t="s">
        <v>194</v>
      </c>
      <c r="AF363">
        <v>2229</v>
      </c>
      <c r="AG363" t="s">
        <v>129</v>
      </c>
      <c r="AI363" t="s">
        <v>59</v>
      </c>
      <c r="AL363" t="s">
        <v>1649</v>
      </c>
      <c r="AN363" s="3">
        <v>46056.298611111109</v>
      </c>
      <c r="AO363" t="s">
        <v>1281</v>
      </c>
    </row>
    <row r="364" spans="1:41" x14ac:dyDescent="0.3">
      <c r="A364" t="s">
        <v>306</v>
      </c>
      <c r="B364" t="s">
        <v>2017</v>
      </c>
      <c r="C364" t="s">
        <v>2018</v>
      </c>
      <c r="D364" t="s">
        <v>700</v>
      </c>
      <c r="E364" s="1">
        <v>46055</v>
      </c>
      <c r="F364" t="s">
        <v>569</v>
      </c>
      <c r="G364" t="s">
        <v>485</v>
      </c>
      <c r="H364" s="2">
        <v>0.91666666666666663</v>
      </c>
      <c r="I364" s="2">
        <v>0.29166666666666669</v>
      </c>
      <c r="J364" t="s">
        <v>2019</v>
      </c>
      <c r="L364" t="s">
        <v>464</v>
      </c>
      <c r="M364" t="s">
        <v>1638</v>
      </c>
      <c r="N364" t="s">
        <v>1639</v>
      </c>
      <c r="O364">
        <v>5952325</v>
      </c>
      <c r="Q364" t="s">
        <v>2020</v>
      </c>
      <c r="R364" t="s">
        <v>500</v>
      </c>
      <c r="S364" t="s">
        <v>52</v>
      </c>
      <c r="U364">
        <v>889134</v>
      </c>
      <c r="V364" s="3">
        <v>46055.741666666669</v>
      </c>
      <c r="W364" t="s">
        <v>1640</v>
      </c>
      <c r="X364" t="s">
        <v>1641</v>
      </c>
      <c r="Y364" t="str">
        <f>"0413340060"</f>
        <v>0413340060</v>
      </c>
      <c r="Z364" t="s">
        <v>70</v>
      </c>
      <c r="AA364" s="1">
        <v>46055</v>
      </c>
      <c r="AB364" t="s">
        <v>2021</v>
      </c>
      <c r="AD364" t="s">
        <v>306</v>
      </c>
      <c r="AE364" t="s">
        <v>2022</v>
      </c>
      <c r="AF364">
        <v>3220</v>
      </c>
      <c r="AI364" t="s">
        <v>59</v>
      </c>
      <c r="AL364" t="s">
        <v>2023</v>
      </c>
      <c r="AM364" t="s">
        <v>2024</v>
      </c>
      <c r="AN364" s="3">
        <v>46056.30972222222</v>
      </c>
      <c r="AO364" t="s">
        <v>1640</v>
      </c>
    </row>
    <row r="365" spans="1:41" x14ac:dyDescent="0.3">
      <c r="A365" t="s">
        <v>168</v>
      </c>
      <c r="B365" t="s">
        <v>607</v>
      </c>
      <c r="C365" t="s">
        <v>267</v>
      </c>
      <c r="D365" t="s">
        <v>268</v>
      </c>
      <c r="E365" s="1">
        <v>46055</v>
      </c>
      <c r="F365" t="s">
        <v>569</v>
      </c>
      <c r="G365" t="s">
        <v>45</v>
      </c>
      <c r="H365" s="2">
        <v>0.91666666666666663</v>
      </c>
      <c r="I365" s="2">
        <v>0.35416666666666669</v>
      </c>
      <c r="J365" t="s">
        <v>269</v>
      </c>
      <c r="K365" t="s">
        <v>608</v>
      </c>
      <c r="L365" t="s">
        <v>609</v>
      </c>
      <c r="M365" t="s">
        <v>610</v>
      </c>
      <c r="N365" t="s">
        <v>611</v>
      </c>
      <c r="O365">
        <v>5952121</v>
      </c>
      <c r="P365" t="s">
        <v>249</v>
      </c>
      <c r="Q365" t="s">
        <v>612</v>
      </c>
      <c r="R365" t="s">
        <v>613</v>
      </c>
      <c r="S365" t="s">
        <v>52</v>
      </c>
      <c r="T365" t="s">
        <v>252</v>
      </c>
      <c r="U365">
        <v>889742</v>
      </c>
      <c r="V365" s="3">
        <v>46062.01666666667</v>
      </c>
      <c r="W365" t="s">
        <v>613</v>
      </c>
      <c r="X365" t="s">
        <v>614</v>
      </c>
      <c r="Y365" t="str">
        <f>"0412297150"</f>
        <v>0412297150</v>
      </c>
      <c r="Z365" t="s">
        <v>585</v>
      </c>
      <c r="AA365" s="1">
        <v>46077</v>
      </c>
      <c r="AB365" t="s">
        <v>615</v>
      </c>
      <c r="AC365" t="s">
        <v>616</v>
      </c>
      <c r="AD365" t="s">
        <v>168</v>
      </c>
      <c r="AE365" t="s">
        <v>617</v>
      </c>
      <c r="AF365">
        <v>5290</v>
      </c>
      <c r="AG365" t="s">
        <v>618</v>
      </c>
      <c r="AI365" t="s">
        <v>59</v>
      </c>
      <c r="AJ365" t="str">
        <f>"0020171780"</f>
        <v>0020171780</v>
      </c>
      <c r="AM365" t="s">
        <v>2025</v>
      </c>
      <c r="AN365" s="3">
        <v>46062.01666666667</v>
      </c>
      <c r="AO365" t="s">
        <v>613</v>
      </c>
    </row>
    <row r="366" spans="1:41" x14ac:dyDescent="0.3">
      <c r="A366" t="s">
        <v>168</v>
      </c>
      <c r="B366" t="s">
        <v>1963</v>
      </c>
      <c r="C366" t="s">
        <v>2026</v>
      </c>
      <c r="D366" t="s">
        <v>401</v>
      </c>
      <c r="E366" s="1">
        <v>46055</v>
      </c>
      <c r="F366" t="s">
        <v>569</v>
      </c>
      <c r="G366" t="s">
        <v>485</v>
      </c>
      <c r="H366" s="2">
        <v>0.92708333333333337</v>
      </c>
      <c r="I366" s="2">
        <v>0.30208333333333331</v>
      </c>
      <c r="J366" t="s">
        <v>2027</v>
      </c>
      <c r="L366" t="s">
        <v>47</v>
      </c>
      <c r="M366" t="s">
        <v>2028</v>
      </c>
      <c r="N366" t="s">
        <v>2029</v>
      </c>
      <c r="O366">
        <v>22243</v>
      </c>
      <c r="Q366" t="s">
        <v>1966</v>
      </c>
      <c r="R366" t="s">
        <v>231</v>
      </c>
      <c r="S366" t="s">
        <v>52</v>
      </c>
      <c r="U366">
        <v>889136</v>
      </c>
      <c r="V366" s="3">
        <v>46055.456250000003</v>
      </c>
      <c r="W366" t="s">
        <v>2030</v>
      </c>
      <c r="X366" t="s">
        <v>2031</v>
      </c>
      <c r="Y366" t="str">
        <f>"0425554764"</f>
        <v>0425554764</v>
      </c>
      <c r="Z366" t="s">
        <v>70</v>
      </c>
      <c r="AA366" s="1">
        <v>46055</v>
      </c>
      <c r="AB366" t="s">
        <v>1967</v>
      </c>
      <c r="AD366" t="s">
        <v>168</v>
      </c>
      <c r="AE366" t="s">
        <v>1968</v>
      </c>
      <c r="AF366">
        <v>5000</v>
      </c>
      <c r="AG366" t="s">
        <v>1966</v>
      </c>
      <c r="AI366" t="s">
        <v>59</v>
      </c>
      <c r="AL366" t="s">
        <v>2032</v>
      </c>
      <c r="AN366" s="3">
        <v>46056.322222222225</v>
      </c>
      <c r="AO366" t="s">
        <v>2030</v>
      </c>
    </row>
    <row r="367" spans="1:41" x14ac:dyDescent="0.3">
      <c r="A367" t="s">
        <v>41</v>
      </c>
      <c r="B367" t="s">
        <v>551</v>
      </c>
      <c r="C367" t="s">
        <v>296</v>
      </c>
      <c r="D367" t="s">
        <v>246</v>
      </c>
      <c r="E367" s="1">
        <v>46055</v>
      </c>
      <c r="F367" t="s">
        <v>569</v>
      </c>
      <c r="G367" t="s">
        <v>485</v>
      </c>
      <c r="H367" s="2">
        <v>0.94791666666666663</v>
      </c>
      <c r="I367" s="2">
        <v>0.30208333333333331</v>
      </c>
      <c r="J367" t="s">
        <v>296</v>
      </c>
      <c r="K367" t="s">
        <v>427</v>
      </c>
      <c r="L367" t="s">
        <v>428</v>
      </c>
      <c r="M367" t="s">
        <v>554</v>
      </c>
      <c r="N367" t="s">
        <v>555</v>
      </c>
      <c r="O367">
        <v>5950685</v>
      </c>
      <c r="Q367" t="s">
        <v>2033</v>
      </c>
      <c r="R367" t="s">
        <v>500</v>
      </c>
      <c r="S367" t="s">
        <v>52</v>
      </c>
      <c r="U367">
        <v>889133</v>
      </c>
      <c r="V367" s="3">
        <v>46054.724999999999</v>
      </c>
      <c r="W367" t="s">
        <v>557</v>
      </c>
      <c r="X367" t="s">
        <v>558</v>
      </c>
      <c r="Y367" t="str">
        <f>"0431966228"</f>
        <v>0431966228</v>
      </c>
      <c r="Z367" t="s">
        <v>55</v>
      </c>
      <c r="AB367" t="s">
        <v>559</v>
      </c>
      <c r="AD367" t="s">
        <v>41</v>
      </c>
      <c r="AE367" t="s">
        <v>560</v>
      </c>
      <c r="AF367">
        <v>4131</v>
      </c>
      <c r="AG367" t="s">
        <v>1740</v>
      </c>
      <c r="AI367" t="s">
        <v>59</v>
      </c>
      <c r="AL367" t="s">
        <v>2034</v>
      </c>
      <c r="AM367" t="s">
        <v>2035</v>
      </c>
      <c r="AN367" s="3">
        <v>46056.306944444441</v>
      </c>
      <c r="AO367" t="s">
        <v>557</v>
      </c>
    </row>
    <row r="368" spans="1:41" x14ac:dyDescent="0.3">
      <c r="A368" t="s">
        <v>61</v>
      </c>
      <c r="B368" t="s">
        <v>1937</v>
      </c>
      <c r="C368" t="s">
        <v>100</v>
      </c>
      <c r="D368" t="s">
        <v>184</v>
      </c>
      <c r="E368" s="1">
        <v>46065</v>
      </c>
      <c r="F368" t="s">
        <v>621</v>
      </c>
      <c r="G368" t="s">
        <v>128</v>
      </c>
      <c r="H368" s="2">
        <v>0.5625</v>
      </c>
      <c r="I368" s="2">
        <v>0.91666666666666663</v>
      </c>
      <c r="J368" t="s">
        <v>100</v>
      </c>
      <c r="L368" t="s">
        <v>100</v>
      </c>
      <c r="M368" t="s">
        <v>1938</v>
      </c>
      <c r="N368" t="s">
        <v>1939</v>
      </c>
      <c r="O368">
        <v>5951653</v>
      </c>
      <c r="Q368" t="s">
        <v>1087</v>
      </c>
      <c r="R368" t="s">
        <v>67</v>
      </c>
      <c r="S368" t="s">
        <v>52</v>
      </c>
      <c r="U368">
        <v>890287</v>
      </c>
      <c r="V368" s="3">
        <v>46051.433333333334</v>
      </c>
      <c r="W368" t="s">
        <v>1940</v>
      </c>
      <c r="X368" t="s">
        <v>1941</v>
      </c>
      <c r="Y368" t="str">
        <f>"0422928911"</f>
        <v>0422928911</v>
      </c>
      <c r="Z368" t="s">
        <v>2036</v>
      </c>
      <c r="AB368" t="s">
        <v>1942</v>
      </c>
      <c r="AD368" t="s">
        <v>61</v>
      </c>
      <c r="AE368" t="s">
        <v>1943</v>
      </c>
      <c r="AF368">
        <v>2065</v>
      </c>
      <c r="AG368" t="s">
        <v>1087</v>
      </c>
      <c r="AI368" t="s">
        <v>59</v>
      </c>
      <c r="AL368" t="s">
        <v>631</v>
      </c>
      <c r="AN368" s="3">
        <v>46065.931944444441</v>
      </c>
      <c r="AO368" t="s">
        <v>1940</v>
      </c>
    </row>
    <row r="369" spans="1:41" x14ac:dyDescent="0.3">
      <c r="A369" t="s">
        <v>61</v>
      </c>
      <c r="B369" t="s">
        <v>1079</v>
      </c>
      <c r="C369" t="s">
        <v>2037</v>
      </c>
      <c r="D369" t="s">
        <v>63</v>
      </c>
      <c r="E369" s="1">
        <v>46065</v>
      </c>
      <c r="F369" t="s">
        <v>621</v>
      </c>
      <c r="G369" t="s">
        <v>128</v>
      </c>
      <c r="H369" s="2">
        <v>0.5625</v>
      </c>
      <c r="I369" s="2">
        <v>0.91666666666666663</v>
      </c>
      <c r="J369" t="s">
        <v>46</v>
      </c>
      <c r="L369" t="s">
        <v>47</v>
      </c>
      <c r="M369" t="s">
        <v>1080</v>
      </c>
      <c r="N369" t="s">
        <v>1081</v>
      </c>
      <c r="O369">
        <v>5951255</v>
      </c>
      <c r="Q369" t="s">
        <v>1087</v>
      </c>
      <c r="R369" t="s">
        <v>67</v>
      </c>
      <c r="S369" t="s">
        <v>52</v>
      </c>
      <c r="U369">
        <v>890281</v>
      </c>
      <c r="V369" s="3">
        <v>46064.552777777775</v>
      </c>
      <c r="W369" t="s">
        <v>1083</v>
      </c>
      <c r="X369" t="s">
        <v>1084</v>
      </c>
      <c r="Y369" t="str">
        <f>"0451307044"</f>
        <v>0451307044</v>
      </c>
      <c r="Z369" t="s">
        <v>70</v>
      </c>
      <c r="AA369" s="1">
        <v>46065</v>
      </c>
      <c r="AB369" t="s">
        <v>1085</v>
      </c>
      <c r="AD369" t="s">
        <v>61</v>
      </c>
      <c r="AE369" t="s">
        <v>1086</v>
      </c>
      <c r="AF369">
        <v>2031</v>
      </c>
      <c r="AG369" t="s">
        <v>1087</v>
      </c>
      <c r="AI369" t="s">
        <v>59</v>
      </c>
      <c r="AL369" t="s">
        <v>2038</v>
      </c>
      <c r="AN369" s="3">
        <v>46065.897222222222</v>
      </c>
      <c r="AO369" t="s">
        <v>1083</v>
      </c>
    </row>
    <row r="370" spans="1:41" x14ac:dyDescent="0.3">
      <c r="A370" t="s">
        <v>306</v>
      </c>
      <c r="B370" t="s">
        <v>1238</v>
      </c>
      <c r="C370" t="s">
        <v>2039</v>
      </c>
      <c r="D370" t="s">
        <v>90</v>
      </c>
      <c r="E370" s="1">
        <v>46065</v>
      </c>
      <c r="F370" t="s">
        <v>621</v>
      </c>
      <c r="G370" t="s">
        <v>128</v>
      </c>
      <c r="H370" s="2">
        <v>0.58333333333333337</v>
      </c>
      <c r="I370" s="2">
        <v>0.91666666666666663</v>
      </c>
      <c r="J370" t="s">
        <v>296</v>
      </c>
      <c r="L370" t="s">
        <v>310</v>
      </c>
      <c r="M370" t="s">
        <v>311</v>
      </c>
      <c r="N370" t="s">
        <v>312</v>
      </c>
      <c r="O370">
        <v>5952174</v>
      </c>
      <c r="Q370" t="s">
        <v>2040</v>
      </c>
      <c r="R370" t="s">
        <v>314</v>
      </c>
      <c r="S370" t="s">
        <v>52</v>
      </c>
      <c r="U370">
        <v>890285</v>
      </c>
      <c r="V370" s="3">
        <v>46065.392361111109</v>
      </c>
      <c r="W370" t="s">
        <v>315</v>
      </c>
      <c r="X370" t="s">
        <v>316</v>
      </c>
      <c r="Y370" t="str">
        <f>"0452621529"</f>
        <v>0452621529</v>
      </c>
      <c r="Z370" t="s">
        <v>70</v>
      </c>
      <c r="AA370" s="1">
        <v>46065</v>
      </c>
      <c r="AB370" t="s">
        <v>1243</v>
      </c>
      <c r="AD370" t="s">
        <v>306</v>
      </c>
      <c r="AE370" t="s">
        <v>1244</v>
      </c>
      <c r="AF370">
        <v>3065</v>
      </c>
      <c r="AG370" t="s">
        <v>2040</v>
      </c>
      <c r="AI370" t="s">
        <v>59</v>
      </c>
      <c r="AL370" t="s">
        <v>87</v>
      </c>
      <c r="AN370" s="3">
        <v>46065.918749999997</v>
      </c>
      <c r="AO370" t="s">
        <v>315</v>
      </c>
    </row>
    <row r="371" spans="1:41" x14ac:dyDescent="0.3">
      <c r="A371" t="s">
        <v>168</v>
      </c>
      <c r="B371" t="s">
        <v>376</v>
      </c>
      <c r="C371" t="s">
        <v>100</v>
      </c>
      <c r="D371" t="s">
        <v>127</v>
      </c>
      <c r="E371" s="1">
        <v>46065</v>
      </c>
      <c r="F371" t="s">
        <v>621</v>
      </c>
      <c r="G371" t="s">
        <v>128</v>
      </c>
      <c r="H371" s="2">
        <v>0.58333333333333337</v>
      </c>
      <c r="I371" s="2">
        <v>0.875</v>
      </c>
      <c r="J371" t="s">
        <v>100</v>
      </c>
      <c r="L371" t="s">
        <v>100</v>
      </c>
      <c r="M371" t="s">
        <v>1253</v>
      </c>
      <c r="N371" t="s">
        <v>1254</v>
      </c>
      <c r="O371">
        <v>5951043</v>
      </c>
      <c r="Q371" t="s">
        <v>379</v>
      </c>
      <c r="R371" t="s">
        <v>380</v>
      </c>
      <c r="S371" t="s">
        <v>52</v>
      </c>
      <c r="U371">
        <v>890266</v>
      </c>
      <c r="V371" s="3">
        <v>46045.365972222222</v>
      </c>
      <c r="W371" t="s">
        <v>1256</v>
      </c>
      <c r="X371" t="s">
        <v>1257</v>
      </c>
      <c r="Y371" t="str">
        <f>"0431343551"</f>
        <v>0431343551</v>
      </c>
      <c r="Z371" t="s">
        <v>290</v>
      </c>
      <c r="AA371" s="1">
        <v>46065</v>
      </c>
      <c r="AB371" t="s">
        <v>383</v>
      </c>
      <c r="AD371" t="s">
        <v>168</v>
      </c>
      <c r="AE371" t="s">
        <v>384</v>
      </c>
      <c r="AF371">
        <v>5000</v>
      </c>
      <c r="AG371" t="s">
        <v>379</v>
      </c>
      <c r="AI371" t="s">
        <v>59</v>
      </c>
      <c r="AN371" s="3">
        <v>46065.816666666666</v>
      </c>
      <c r="AO371" t="s">
        <v>1256</v>
      </c>
    </row>
    <row r="372" spans="1:41" x14ac:dyDescent="0.3">
      <c r="A372" t="s">
        <v>168</v>
      </c>
      <c r="B372" t="s">
        <v>1178</v>
      </c>
      <c r="C372" t="s">
        <v>1150</v>
      </c>
      <c r="D372" t="s">
        <v>127</v>
      </c>
      <c r="E372" s="1">
        <v>46065</v>
      </c>
      <c r="F372" t="s">
        <v>621</v>
      </c>
      <c r="G372" t="s">
        <v>128</v>
      </c>
      <c r="H372" s="2">
        <v>0.58333333333333337</v>
      </c>
      <c r="I372" s="2">
        <v>0.875</v>
      </c>
      <c r="J372" t="s">
        <v>101</v>
      </c>
      <c r="L372" t="s">
        <v>2041</v>
      </c>
      <c r="M372" t="s">
        <v>2042</v>
      </c>
      <c r="N372" t="s">
        <v>2043</v>
      </c>
      <c r="O372">
        <v>5952455</v>
      </c>
      <c r="Q372" t="s">
        <v>2044</v>
      </c>
      <c r="R372" t="s">
        <v>176</v>
      </c>
      <c r="S372" t="s">
        <v>52</v>
      </c>
      <c r="U372">
        <v>890277</v>
      </c>
      <c r="V372" s="3">
        <v>46041.809027777781</v>
      </c>
      <c r="W372" t="s">
        <v>2045</v>
      </c>
      <c r="X372" t="s">
        <v>2046</v>
      </c>
      <c r="Y372" t="str">
        <f>"0434123460"</f>
        <v>0434123460</v>
      </c>
      <c r="Z372" t="s">
        <v>366</v>
      </c>
      <c r="AB372" t="s">
        <v>1184</v>
      </c>
      <c r="AD372" t="s">
        <v>168</v>
      </c>
      <c r="AE372" t="s">
        <v>1185</v>
      </c>
      <c r="AF372">
        <v>5066</v>
      </c>
      <c r="AG372" t="s">
        <v>2047</v>
      </c>
      <c r="AI372" t="s">
        <v>59</v>
      </c>
      <c r="AL372" t="s">
        <v>2048</v>
      </c>
      <c r="AN372" s="3">
        <v>46065.855555555558</v>
      </c>
      <c r="AO372" t="s">
        <v>2045</v>
      </c>
    </row>
    <row r="373" spans="1:41" x14ac:dyDescent="0.3">
      <c r="A373" t="s">
        <v>61</v>
      </c>
      <c r="B373" t="s">
        <v>182</v>
      </c>
      <c r="C373" t="s">
        <v>484</v>
      </c>
      <c r="D373" t="s">
        <v>184</v>
      </c>
      <c r="E373" s="1">
        <v>46065</v>
      </c>
      <c r="F373" t="s">
        <v>621</v>
      </c>
      <c r="G373" t="s">
        <v>128</v>
      </c>
      <c r="H373" s="2">
        <v>0.60416666666666663</v>
      </c>
      <c r="I373" s="2">
        <v>0.79166666666666663</v>
      </c>
      <c r="J373" t="s">
        <v>590</v>
      </c>
      <c r="L373" t="s">
        <v>487</v>
      </c>
      <c r="M373" t="s">
        <v>2049</v>
      </c>
      <c r="N373" t="s">
        <v>2050</v>
      </c>
      <c r="O373">
        <v>5951002</v>
      </c>
      <c r="Q373" t="s">
        <v>1179</v>
      </c>
      <c r="R373" t="s">
        <v>67</v>
      </c>
      <c r="S373" t="s">
        <v>52</v>
      </c>
      <c r="U373">
        <v>890262</v>
      </c>
      <c r="V373" s="3">
        <v>46051.534722222219</v>
      </c>
      <c r="W373" t="s">
        <v>2051</v>
      </c>
      <c r="X373" t="s">
        <v>2052</v>
      </c>
      <c r="Y373" t="str">
        <f>"0421386436"</f>
        <v>0421386436</v>
      </c>
      <c r="Z373" t="s">
        <v>1907</v>
      </c>
      <c r="AB373" t="s">
        <v>193</v>
      </c>
      <c r="AD373" t="s">
        <v>61</v>
      </c>
      <c r="AE373" t="s">
        <v>194</v>
      </c>
      <c r="AF373">
        <v>2229</v>
      </c>
      <c r="AG373" t="s">
        <v>129</v>
      </c>
      <c r="AI373" t="s">
        <v>59</v>
      </c>
      <c r="AL373" t="s">
        <v>2053</v>
      </c>
      <c r="AN373" s="3">
        <v>46065.797222222223</v>
      </c>
      <c r="AO373" t="s">
        <v>2051</v>
      </c>
    </row>
    <row r="374" spans="1:41" x14ac:dyDescent="0.3">
      <c r="A374" t="s">
        <v>168</v>
      </c>
      <c r="B374" t="s">
        <v>1021</v>
      </c>
      <c r="C374" t="s">
        <v>202</v>
      </c>
      <c r="D374" t="s">
        <v>127</v>
      </c>
      <c r="E374" s="1">
        <v>46065</v>
      </c>
      <c r="F374" t="s">
        <v>621</v>
      </c>
      <c r="G374" t="s">
        <v>128</v>
      </c>
      <c r="H374" s="2">
        <v>0.625</v>
      </c>
      <c r="I374" s="2">
        <v>0.875</v>
      </c>
      <c r="J374" t="s">
        <v>46</v>
      </c>
      <c r="L374" t="s">
        <v>47</v>
      </c>
      <c r="M374" t="s">
        <v>420</v>
      </c>
      <c r="N374" t="s">
        <v>421</v>
      </c>
      <c r="O374">
        <v>21332</v>
      </c>
      <c r="Q374" t="s">
        <v>2054</v>
      </c>
      <c r="R374" t="s">
        <v>176</v>
      </c>
      <c r="S374" t="s">
        <v>52</v>
      </c>
      <c r="U374">
        <v>890280</v>
      </c>
      <c r="V374" s="3">
        <v>46063.533333333333</v>
      </c>
      <c r="W374" t="s">
        <v>422</v>
      </c>
      <c r="X374" t="s">
        <v>423</v>
      </c>
      <c r="Y374" t="str">
        <f>"0481793381"</f>
        <v>0481793381</v>
      </c>
      <c r="Z374" t="s">
        <v>70</v>
      </c>
      <c r="AA374" s="1">
        <v>46065</v>
      </c>
      <c r="AB374" t="s">
        <v>1029</v>
      </c>
      <c r="AD374" t="s">
        <v>168</v>
      </c>
      <c r="AE374" t="s">
        <v>1030</v>
      </c>
      <c r="AF374">
        <v>5022</v>
      </c>
      <c r="AG374" t="s">
        <v>2054</v>
      </c>
      <c r="AI374" t="s">
        <v>59</v>
      </c>
      <c r="AL374" t="s">
        <v>2055</v>
      </c>
      <c r="AN374" s="3">
        <v>46065.88958333333</v>
      </c>
      <c r="AO374" t="s">
        <v>422</v>
      </c>
    </row>
    <row r="375" spans="1:41" x14ac:dyDescent="0.3">
      <c r="A375" t="s">
        <v>41</v>
      </c>
      <c r="B375" t="s">
        <v>1168</v>
      </c>
      <c r="D375" t="s">
        <v>246</v>
      </c>
      <c r="E375" s="1">
        <v>46065</v>
      </c>
      <c r="F375" t="s">
        <v>621</v>
      </c>
      <c r="G375" t="s">
        <v>128</v>
      </c>
      <c r="H375" s="2">
        <v>0.625</v>
      </c>
      <c r="I375" s="2">
        <v>0.89583333333333337</v>
      </c>
      <c r="J375" t="s">
        <v>296</v>
      </c>
      <c r="L375" t="s">
        <v>1169</v>
      </c>
      <c r="M375" t="s">
        <v>1170</v>
      </c>
      <c r="N375" t="s">
        <v>1171</v>
      </c>
      <c r="O375">
        <v>5952274</v>
      </c>
      <c r="Q375" t="s">
        <v>1172</v>
      </c>
      <c r="R375" t="s">
        <v>573</v>
      </c>
      <c r="S375" t="s">
        <v>52</v>
      </c>
      <c r="T375" t="s">
        <v>252</v>
      </c>
      <c r="U375">
        <v>890647</v>
      </c>
      <c r="V375" s="3">
        <v>46069.606944444444</v>
      </c>
      <c r="W375" t="s">
        <v>1173</v>
      </c>
      <c r="X375" t="s">
        <v>1174</v>
      </c>
      <c r="Y375" t="str">
        <f>"0432261353"</f>
        <v>0432261353</v>
      </c>
      <c r="Z375" t="s">
        <v>1635</v>
      </c>
      <c r="AA375" s="1">
        <v>46083</v>
      </c>
      <c r="AB375" t="s">
        <v>1175</v>
      </c>
      <c r="AD375" t="s">
        <v>41</v>
      </c>
      <c r="AE375" t="s">
        <v>1176</v>
      </c>
      <c r="AF375">
        <v>4680</v>
      </c>
      <c r="AG375" t="s">
        <v>1172</v>
      </c>
      <c r="AI375" t="s">
        <v>59</v>
      </c>
      <c r="AJ375" t="str">
        <f>"0050076336"</f>
        <v>0050076336</v>
      </c>
      <c r="AN375" s="3">
        <v>46069.606944444444</v>
      </c>
      <c r="AO375" t="s">
        <v>573</v>
      </c>
    </row>
    <row r="376" spans="1:41" x14ac:dyDescent="0.3">
      <c r="A376" t="s">
        <v>306</v>
      </c>
      <c r="B376" t="s">
        <v>450</v>
      </c>
      <c r="C376" t="s">
        <v>100</v>
      </c>
      <c r="D376" t="s">
        <v>63</v>
      </c>
      <c r="E376" s="1">
        <v>46065</v>
      </c>
      <c r="F376" t="s">
        <v>621</v>
      </c>
      <c r="G376" t="s">
        <v>128</v>
      </c>
      <c r="H376" s="2">
        <v>0.625</v>
      </c>
      <c r="I376" s="2">
        <v>0.91666666666666663</v>
      </c>
      <c r="J376" t="s">
        <v>451</v>
      </c>
      <c r="L376" t="s">
        <v>100</v>
      </c>
      <c r="M376" t="s">
        <v>554</v>
      </c>
      <c r="N376" t="s">
        <v>2056</v>
      </c>
      <c r="O376">
        <v>5951890</v>
      </c>
      <c r="Q376" t="s">
        <v>2057</v>
      </c>
      <c r="R376" t="s">
        <v>314</v>
      </c>
      <c r="S376" t="s">
        <v>52</v>
      </c>
      <c r="U376">
        <v>890283</v>
      </c>
      <c r="V376" s="3">
        <v>46063.48541666667</v>
      </c>
      <c r="W376" t="s">
        <v>2058</v>
      </c>
      <c r="X376" t="s">
        <v>2059</v>
      </c>
      <c r="Y376" t="str">
        <f>"0450488053"</f>
        <v>0450488053</v>
      </c>
      <c r="Z376" t="s">
        <v>70</v>
      </c>
      <c r="AA376" s="1">
        <v>46065</v>
      </c>
      <c r="AB376" t="s">
        <v>459</v>
      </c>
      <c r="AD376" t="s">
        <v>306</v>
      </c>
      <c r="AE376" t="s">
        <v>460</v>
      </c>
      <c r="AF376">
        <v>3058</v>
      </c>
      <c r="AG376" t="s">
        <v>461</v>
      </c>
      <c r="AI376" t="s">
        <v>59</v>
      </c>
      <c r="AL376" t="s">
        <v>87</v>
      </c>
      <c r="AN376" s="3">
        <v>46065.914583333331</v>
      </c>
      <c r="AO376" t="s">
        <v>2058</v>
      </c>
    </row>
    <row r="377" spans="1:41" x14ac:dyDescent="0.3">
      <c r="A377" t="s">
        <v>61</v>
      </c>
      <c r="B377" t="s">
        <v>1271</v>
      </c>
      <c r="C377" t="s">
        <v>1272</v>
      </c>
      <c r="D377" t="s">
        <v>184</v>
      </c>
      <c r="E377" s="1">
        <v>46065</v>
      </c>
      <c r="F377" t="s">
        <v>621</v>
      </c>
      <c r="G377" t="s">
        <v>128</v>
      </c>
      <c r="H377" s="2">
        <v>0.625</v>
      </c>
      <c r="I377" s="2">
        <v>0.97916666666666663</v>
      </c>
      <c r="J377" t="s">
        <v>486</v>
      </c>
      <c r="L377" t="s">
        <v>487</v>
      </c>
      <c r="M377" t="s">
        <v>596</v>
      </c>
      <c r="N377" t="s">
        <v>1280</v>
      </c>
      <c r="O377">
        <v>5952187</v>
      </c>
      <c r="Q377" t="s">
        <v>1190</v>
      </c>
      <c r="R377" t="s">
        <v>132</v>
      </c>
      <c r="S377" t="s">
        <v>52</v>
      </c>
      <c r="U377">
        <v>890289</v>
      </c>
      <c r="V377" s="3">
        <v>46057.565972222219</v>
      </c>
      <c r="W377" t="s">
        <v>1281</v>
      </c>
      <c r="X377" t="s">
        <v>1282</v>
      </c>
      <c r="Y377" t="str">
        <f>"0417203844"</f>
        <v>0417203844</v>
      </c>
      <c r="Z377" t="s">
        <v>2060</v>
      </c>
      <c r="AB377" t="s">
        <v>1278</v>
      </c>
      <c r="AD377" t="s">
        <v>61</v>
      </c>
      <c r="AE377" t="s">
        <v>1279</v>
      </c>
      <c r="AF377">
        <v>2145</v>
      </c>
      <c r="AG377" t="s">
        <v>1190</v>
      </c>
      <c r="AI377" t="s">
        <v>59</v>
      </c>
      <c r="AL377" t="s">
        <v>2061</v>
      </c>
      <c r="AN377" s="3">
        <v>46065.993750000001</v>
      </c>
      <c r="AO377" t="s">
        <v>1281</v>
      </c>
    </row>
    <row r="378" spans="1:41" x14ac:dyDescent="0.3">
      <c r="A378" t="s">
        <v>306</v>
      </c>
      <c r="B378" t="s">
        <v>450</v>
      </c>
      <c r="C378" t="s">
        <v>100</v>
      </c>
      <c r="D378" t="s">
        <v>63</v>
      </c>
      <c r="E378" s="1">
        <v>46065</v>
      </c>
      <c r="F378" t="s">
        <v>621</v>
      </c>
      <c r="G378" t="s">
        <v>128</v>
      </c>
      <c r="H378" s="2">
        <v>0.70833333333333337</v>
      </c>
      <c r="I378" s="2">
        <v>0.91666666666666663</v>
      </c>
      <c r="J378" t="s">
        <v>451</v>
      </c>
      <c r="L378" t="s">
        <v>452</v>
      </c>
      <c r="M378" t="s">
        <v>1980</v>
      </c>
      <c r="N378" t="s">
        <v>1981</v>
      </c>
      <c r="O378">
        <v>21297</v>
      </c>
      <c r="Q378" t="s">
        <v>455</v>
      </c>
      <c r="R378" t="s">
        <v>476</v>
      </c>
      <c r="S378" t="s">
        <v>52</v>
      </c>
      <c r="U378">
        <v>890282</v>
      </c>
      <c r="V378" s="3">
        <v>46062.375</v>
      </c>
      <c r="W378" t="s">
        <v>1983</v>
      </c>
      <c r="X378" t="s">
        <v>1984</v>
      </c>
      <c r="Y378" t="str">
        <f>"0434131195"</f>
        <v>0434131195</v>
      </c>
      <c r="Z378" t="s">
        <v>70</v>
      </c>
      <c r="AA378" s="1">
        <v>46065</v>
      </c>
      <c r="AB378" t="s">
        <v>459</v>
      </c>
      <c r="AD378" t="s">
        <v>306</v>
      </c>
      <c r="AE378" t="s">
        <v>460</v>
      </c>
      <c r="AF378">
        <v>3058</v>
      </c>
      <c r="AG378" t="s">
        <v>455</v>
      </c>
      <c r="AI378" t="s">
        <v>59</v>
      </c>
      <c r="AL378" t="s">
        <v>87</v>
      </c>
      <c r="AN378" s="3">
        <v>46065.911805555559</v>
      </c>
      <c r="AO378" t="s">
        <v>1983</v>
      </c>
    </row>
    <row r="379" spans="1:41" x14ac:dyDescent="0.3">
      <c r="A379" t="s">
        <v>61</v>
      </c>
      <c r="B379" t="s">
        <v>182</v>
      </c>
      <c r="C379" t="s">
        <v>484</v>
      </c>
      <c r="D379" t="s">
        <v>184</v>
      </c>
      <c r="E379" s="1">
        <v>46065</v>
      </c>
      <c r="F379" t="s">
        <v>621</v>
      </c>
      <c r="G379" t="s">
        <v>485</v>
      </c>
      <c r="H379" s="2">
        <v>0.77083333333333337</v>
      </c>
      <c r="I379" s="2">
        <v>0.29166666666666669</v>
      </c>
      <c r="J379" t="s">
        <v>486</v>
      </c>
      <c r="L379" t="s">
        <v>487</v>
      </c>
      <c r="M379" t="s">
        <v>488</v>
      </c>
      <c r="N379" t="s">
        <v>489</v>
      </c>
      <c r="O379">
        <v>5951809</v>
      </c>
      <c r="Q379" t="s">
        <v>490</v>
      </c>
      <c r="R379" t="s">
        <v>67</v>
      </c>
      <c r="S379" t="s">
        <v>52</v>
      </c>
      <c r="U379">
        <v>890293</v>
      </c>
      <c r="V379" s="3">
        <v>46051.538194444445</v>
      </c>
      <c r="W379" t="s">
        <v>491</v>
      </c>
      <c r="X379" t="s">
        <v>492</v>
      </c>
      <c r="Y379" t="str">
        <f>"0431000508"</f>
        <v>0431000508</v>
      </c>
      <c r="Z379" t="s">
        <v>2062</v>
      </c>
      <c r="AB379" t="s">
        <v>193</v>
      </c>
      <c r="AD379" t="s">
        <v>61</v>
      </c>
      <c r="AE379" t="s">
        <v>194</v>
      </c>
      <c r="AF379">
        <v>2229</v>
      </c>
      <c r="AG379" t="s">
        <v>129</v>
      </c>
      <c r="AI379" t="s">
        <v>59</v>
      </c>
      <c r="AL379" t="s">
        <v>2063</v>
      </c>
      <c r="AN379" s="3">
        <v>46066.282638888886</v>
      </c>
      <c r="AO379" t="s">
        <v>491</v>
      </c>
    </row>
    <row r="380" spans="1:41" x14ac:dyDescent="0.3">
      <c r="A380" t="s">
        <v>61</v>
      </c>
      <c r="B380" t="s">
        <v>182</v>
      </c>
      <c r="C380" t="s">
        <v>484</v>
      </c>
      <c r="D380" t="s">
        <v>184</v>
      </c>
      <c r="E380" s="1">
        <v>46065</v>
      </c>
      <c r="F380" t="s">
        <v>621</v>
      </c>
      <c r="G380" t="s">
        <v>485</v>
      </c>
      <c r="H380" s="2">
        <v>0.77083333333333337</v>
      </c>
      <c r="I380" s="2">
        <v>0.3125</v>
      </c>
      <c r="J380" t="s">
        <v>486</v>
      </c>
      <c r="L380" t="s">
        <v>487</v>
      </c>
      <c r="M380" t="s">
        <v>2064</v>
      </c>
      <c r="N380" t="s">
        <v>2065</v>
      </c>
      <c r="O380">
        <v>5952410</v>
      </c>
      <c r="Q380" t="s">
        <v>2066</v>
      </c>
      <c r="R380" t="s">
        <v>132</v>
      </c>
      <c r="S380" t="s">
        <v>52</v>
      </c>
      <c r="U380">
        <v>890294</v>
      </c>
      <c r="V380" s="3">
        <v>46057.598611111112</v>
      </c>
      <c r="W380" t="s">
        <v>2067</v>
      </c>
      <c r="X380" t="s">
        <v>2068</v>
      </c>
      <c r="Y380" t="str">
        <f>"0410100247"</f>
        <v>0410100247</v>
      </c>
      <c r="Z380" t="s">
        <v>70</v>
      </c>
      <c r="AB380" t="s">
        <v>193</v>
      </c>
      <c r="AD380" t="s">
        <v>61</v>
      </c>
      <c r="AE380" t="s">
        <v>194</v>
      </c>
      <c r="AF380">
        <v>2229</v>
      </c>
      <c r="AG380" t="s">
        <v>129</v>
      </c>
      <c r="AI380" t="s">
        <v>59</v>
      </c>
      <c r="AL380" t="s">
        <v>2069</v>
      </c>
      <c r="AN380" s="3">
        <v>46066.283333333333</v>
      </c>
      <c r="AO380" t="s">
        <v>2067</v>
      </c>
    </row>
    <row r="381" spans="1:41" x14ac:dyDescent="0.3">
      <c r="A381" t="s">
        <v>41</v>
      </c>
      <c r="B381" t="s">
        <v>1452</v>
      </c>
      <c r="D381" t="s">
        <v>246</v>
      </c>
      <c r="E381" s="1">
        <v>46065</v>
      </c>
      <c r="F381" t="s">
        <v>621</v>
      </c>
      <c r="G381" t="s">
        <v>485</v>
      </c>
      <c r="H381" s="2">
        <v>0.875</v>
      </c>
      <c r="I381" s="2">
        <v>0.3125</v>
      </c>
      <c r="J381" t="s">
        <v>296</v>
      </c>
      <c r="L381" t="s">
        <v>1453</v>
      </c>
      <c r="M381" t="s">
        <v>1454</v>
      </c>
      <c r="N381" t="s">
        <v>1455</v>
      </c>
      <c r="O381">
        <v>5951941</v>
      </c>
      <c r="Q381" t="s">
        <v>1456</v>
      </c>
      <c r="R381" t="s">
        <v>573</v>
      </c>
      <c r="S381" t="s">
        <v>52</v>
      </c>
      <c r="T381" t="s">
        <v>252</v>
      </c>
      <c r="U381">
        <v>890651</v>
      </c>
      <c r="V381" s="3">
        <v>46069.638888888891</v>
      </c>
      <c r="W381" t="s">
        <v>1457</v>
      </c>
      <c r="X381" t="s">
        <v>1458</v>
      </c>
      <c r="Y381" t="str">
        <f>"0413847722"</f>
        <v>0413847722</v>
      </c>
      <c r="Z381" t="s">
        <v>254</v>
      </c>
      <c r="AA381" s="1">
        <v>46097</v>
      </c>
      <c r="AB381" t="s">
        <v>1459</v>
      </c>
      <c r="AD381" t="s">
        <v>41</v>
      </c>
      <c r="AE381" t="s">
        <v>1460</v>
      </c>
      <c r="AF381">
        <v>4740</v>
      </c>
      <c r="AG381" t="s">
        <v>1456</v>
      </c>
      <c r="AI381" t="s">
        <v>59</v>
      </c>
      <c r="AJ381" t="str">
        <f>"0050076628"</f>
        <v>0050076628</v>
      </c>
      <c r="AN381" s="3">
        <v>46069.638888888891</v>
      </c>
      <c r="AO381" t="s">
        <v>573</v>
      </c>
    </row>
    <row r="382" spans="1:41" x14ac:dyDescent="0.3">
      <c r="A382" t="s">
        <v>168</v>
      </c>
      <c r="B382" t="s">
        <v>266</v>
      </c>
      <c r="D382" t="s">
        <v>268</v>
      </c>
      <c r="E382" s="1">
        <v>46065</v>
      </c>
      <c r="F382" t="s">
        <v>621</v>
      </c>
      <c r="G382" t="s">
        <v>485</v>
      </c>
      <c r="H382" s="2">
        <v>0.875</v>
      </c>
      <c r="I382" s="2">
        <v>0.3125</v>
      </c>
      <c r="J382" t="s">
        <v>296</v>
      </c>
      <c r="K382" t="s">
        <v>297</v>
      </c>
      <c r="L382" t="s">
        <v>713</v>
      </c>
      <c r="M382" t="s">
        <v>2070</v>
      </c>
      <c r="N382" t="s">
        <v>2071</v>
      </c>
      <c r="O382">
        <v>5951614</v>
      </c>
      <c r="Q382" t="s">
        <v>274</v>
      </c>
      <c r="R382" t="s">
        <v>176</v>
      </c>
      <c r="S382" t="s">
        <v>52</v>
      </c>
      <c r="U382">
        <v>890300</v>
      </c>
      <c r="V382" s="3">
        <v>45993.595138888886</v>
      </c>
      <c r="W382" t="s">
        <v>2072</v>
      </c>
      <c r="X382" t="s">
        <v>2073</v>
      </c>
      <c r="Y382" t="str">
        <f>"0432595856"</f>
        <v>0432595856</v>
      </c>
      <c r="Z382" t="s">
        <v>70</v>
      </c>
      <c r="AB382" t="s">
        <v>277</v>
      </c>
      <c r="AC382" t="s">
        <v>278</v>
      </c>
      <c r="AD382" t="s">
        <v>168</v>
      </c>
      <c r="AE382" t="s">
        <v>279</v>
      </c>
      <c r="AF382">
        <v>5092</v>
      </c>
      <c r="AG382" t="s">
        <v>274</v>
      </c>
      <c r="AI382" t="s">
        <v>59</v>
      </c>
      <c r="AL382" t="s">
        <v>305</v>
      </c>
      <c r="AM382" t="s">
        <v>281</v>
      </c>
      <c r="AN382" s="3">
        <v>46066.338194444441</v>
      </c>
      <c r="AO382" t="s">
        <v>2072</v>
      </c>
    </row>
    <row r="383" spans="1:41" x14ac:dyDescent="0.3">
      <c r="A383" t="s">
        <v>168</v>
      </c>
      <c r="B383" t="s">
        <v>336</v>
      </c>
      <c r="D383" t="s">
        <v>268</v>
      </c>
      <c r="E383" s="1">
        <v>46065</v>
      </c>
      <c r="F383" t="s">
        <v>621</v>
      </c>
      <c r="G383" t="s">
        <v>485</v>
      </c>
      <c r="H383" s="2">
        <v>0.875</v>
      </c>
      <c r="I383" s="2">
        <v>0.3125</v>
      </c>
      <c r="J383" t="s">
        <v>296</v>
      </c>
      <c r="K383" t="s">
        <v>338</v>
      </c>
      <c r="L383" t="s">
        <v>522</v>
      </c>
      <c r="M383" t="s">
        <v>523</v>
      </c>
      <c r="N383" t="s">
        <v>524</v>
      </c>
      <c r="O383">
        <v>5951086</v>
      </c>
      <c r="P383" t="s">
        <v>338</v>
      </c>
      <c r="Q383" t="s">
        <v>342</v>
      </c>
      <c r="R383" t="s">
        <v>176</v>
      </c>
      <c r="S383" t="s">
        <v>52</v>
      </c>
      <c r="U383">
        <v>890295</v>
      </c>
      <c r="V383" s="3">
        <v>46050.414583333331</v>
      </c>
      <c r="W383" t="s">
        <v>525</v>
      </c>
      <c r="X383" t="s">
        <v>526</v>
      </c>
      <c r="Y383" t="str">
        <f>"0415251474"</f>
        <v>0415251474</v>
      </c>
      <c r="Z383" t="s">
        <v>1375</v>
      </c>
      <c r="AB383" t="s">
        <v>346</v>
      </c>
      <c r="AD383" t="s">
        <v>168</v>
      </c>
      <c r="AE383" t="s">
        <v>347</v>
      </c>
      <c r="AF383">
        <v>5042</v>
      </c>
      <c r="AG383" t="s">
        <v>342</v>
      </c>
      <c r="AI383" t="s">
        <v>59</v>
      </c>
      <c r="AL383" t="s">
        <v>2074</v>
      </c>
      <c r="AM383" t="s">
        <v>349</v>
      </c>
      <c r="AN383" s="3">
        <v>46066.309027777781</v>
      </c>
      <c r="AO383" t="s">
        <v>525</v>
      </c>
    </row>
    <row r="384" spans="1:41" x14ac:dyDescent="0.3">
      <c r="A384" t="s">
        <v>306</v>
      </c>
      <c r="B384" t="s">
        <v>528</v>
      </c>
      <c r="C384" t="s">
        <v>529</v>
      </c>
      <c r="D384" t="s">
        <v>63</v>
      </c>
      <c r="E384" s="1">
        <v>46065</v>
      </c>
      <c r="F384" t="s">
        <v>621</v>
      </c>
      <c r="G384" t="s">
        <v>485</v>
      </c>
      <c r="H384" s="2">
        <v>0.89583333333333337</v>
      </c>
      <c r="I384" s="2">
        <v>0.3125</v>
      </c>
      <c r="J384" t="s">
        <v>529</v>
      </c>
      <c r="L384" t="s">
        <v>531</v>
      </c>
      <c r="M384" t="s">
        <v>532</v>
      </c>
      <c r="N384" t="s">
        <v>533</v>
      </c>
      <c r="O384">
        <v>20495</v>
      </c>
      <c r="Q384" t="s">
        <v>2075</v>
      </c>
      <c r="R384" t="s">
        <v>1248</v>
      </c>
      <c r="S384" t="s">
        <v>52</v>
      </c>
      <c r="U384">
        <v>890291</v>
      </c>
      <c r="V384" s="3">
        <v>46065.829861111109</v>
      </c>
      <c r="W384" t="s">
        <v>535</v>
      </c>
      <c r="X384" t="s">
        <v>536</v>
      </c>
      <c r="Y384" t="str">
        <f>"0447625522"</f>
        <v>0447625522</v>
      </c>
      <c r="Z384" t="s">
        <v>70</v>
      </c>
      <c r="AA384" s="1">
        <v>46065</v>
      </c>
      <c r="AB384" t="s">
        <v>537</v>
      </c>
      <c r="AD384" t="s">
        <v>306</v>
      </c>
      <c r="AE384" t="s">
        <v>538</v>
      </c>
      <c r="AF384">
        <v>3152</v>
      </c>
      <c r="AG384" t="s">
        <v>2076</v>
      </c>
      <c r="AI384" t="s">
        <v>59</v>
      </c>
      <c r="AL384" t="s">
        <v>2077</v>
      </c>
      <c r="AN384" s="3">
        <v>46066.270138888889</v>
      </c>
      <c r="AO384" t="s">
        <v>535</v>
      </c>
    </row>
    <row r="385" spans="1:41" x14ac:dyDescent="0.3">
      <c r="A385" t="s">
        <v>306</v>
      </c>
      <c r="B385" t="s">
        <v>1238</v>
      </c>
      <c r="C385" t="s">
        <v>2078</v>
      </c>
      <c r="D385" t="s">
        <v>90</v>
      </c>
      <c r="E385" s="1">
        <v>46065</v>
      </c>
      <c r="F385" t="s">
        <v>621</v>
      </c>
      <c r="G385" t="s">
        <v>485</v>
      </c>
      <c r="H385" s="2">
        <v>0.89583333333333337</v>
      </c>
      <c r="I385" s="2">
        <v>0.3125</v>
      </c>
      <c r="J385" t="s">
        <v>296</v>
      </c>
      <c r="L385" t="s">
        <v>2079</v>
      </c>
      <c r="M385" t="s">
        <v>1395</v>
      </c>
      <c r="N385" t="s">
        <v>2080</v>
      </c>
      <c r="O385">
        <v>5952104</v>
      </c>
      <c r="Q385" t="s">
        <v>1245</v>
      </c>
      <c r="R385" t="s">
        <v>314</v>
      </c>
      <c r="S385" t="s">
        <v>52</v>
      </c>
      <c r="U385">
        <v>890296</v>
      </c>
      <c r="V385" s="3">
        <v>46065.395138888889</v>
      </c>
      <c r="W385" t="s">
        <v>2081</v>
      </c>
      <c r="X385" t="s">
        <v>2082</v>
      </c>
      <c r="Y385" t="str">
        <f>"0410043499"</f>
        <v>0410043499</v>
      </c>
      <c r="Z385" t="s">
        <v>70</v>
      </c>
      <c r="AA385" s="1">
        <v>46065</v>
      </c>
      <c r="AB385" t="s">
        <v>1243</v>
      </c>
      <c r="AD385" t="s">
        <v>306</v>
      </c>
      <c r="AE385" t="s">
        <v>1244</v>
      </c>
      <c r="AF385">
        <v>3065</v>
      </c>
      <c r="AG385" t="s">
        <v>1245</v>
      </c>
      <c r="AI385" t="s">
        <v>59</v>
      </c>
      <c r="AL385" t="s">
        <v>87</v>
      </c>
      <c r="AN385" s="3">
        <v>46066.311805555553</v>
      </c>
      <c r="AO385" t="s">
        <v>2081</v>
      </c>
    </row>
    <row r="386" spans="1:41" x14ac:dyDescent="0.3">
      <c r="A386" t="s">
        <v>168</v>
      </c>
      <c r="B386" t="s">
        <v>1963</v>
      </c>
      <c r="C386" t="s">
        <v>484</v>
      </c>
      <c r="D386" t="s">
        <v>401</v>
      </c>
      <c r="E386" s="1">
        <v>46065</v>
      </c>
      <c r="F386" t="s">
        <v>621</v>
      </c>
      <c r="G386" t="s">
        <v>485</v>
      </c>
      <c r="H386" s="2">
        <v>0.92708333333333337</v>
      </c>
      <c r="I386" s="2">
        <v>0.30208333333333331</v>
      </c>
      <c r="J386" t="s">
        <v>486</v>
      </c>
      <c r="K386" t="s">
        <v>2083</v>
      </c>
      <c r="L386" t="s">
        <v>487</v>
      </c>
      <c r="M386" t="s">
        <v>2084</v>
      </c>
      <c r="N386" t="s">
        <v>2085</v>
      </c>
      <c r="O386">
        <v>5951992</v>
      </c>
      <c r="Q386" t="s">
        <v>2086</v>
      </c>
      <c r="R386" t="s">
        <v>231</v>
      </c>
      <c r="S386" t="s">
        <v>52</v>
      </c>
      <c r="U386">
        <v>890292</v>
      </c>
      <c r="V386" s="3">
        <v>46064.492361111108</v>
      </c>
      <c r="W386" t="s">
        <v>2087</v>
      </c>
      <c r="X386" t="s">
        <v>2088</v>
      </c>
      <c r="Y386" t="str">
        <f>"0433995501"</f>
        <v>0433995501</v>
      </c>
      <c r="Z386" t="s">
        <v>55</v>
      </c>
      <c r="AA386" s="1">
        <v>46065</v>
      </c>
      <c r="AB386" t="s">
        <v>1967</v>
      </c>
      <c r="AD386" t="s">
        <v>168</v>
      </c>
      <c r="AE386" t="s">
        <v>1968</v>
      </c>
      <c r="AF386">
        <v>5000</v>
      </c>
      <c r="AG386" t="s">
        <v>2086</v>
      </c>
      <c r="AI386" t="s">
        <v>59</v>
      </c>
      <c r="AL386" t="s">
        <v>2089</v>
      </c>
      <c r="AN386" s="3">
        <v>46066.279861111114</v>
      </c>
      <c r="AO386" t="s">
        <v>2087</v>
      </c>
    </row>
    <row r="387" spans="1:41" x14ac:dyDescent="0.3">
      <c r="A387" t="s">
        <v>41</v>
      </c>
      <c r="B387" t="s">
        <v>632</v>
      </c>
      <c r="D387" t="s">
        <v>246</v>
      </c>
      <c r="E387" s="1">
        <v>46065</v>
      </c>
      <c r="F387" t="s">
        <v>621</v>
      </c>
      <c r="G387" t="s">
        <v>485</v>
      </c>
      <c r="H387" s="2">
        <v>0.9375</v>
      </c>
      <c r="I387" s="2">
        <v>0.29166666666666669</v>
      </c>
      <c r="J387" t="s">
        <v>296</v>
      </c>
      <c r="K387" t="s">
        <v>427</v>
      </c>
      <c r="L387" t="s">
        <v>633</v>
      </c>
      <c r="M387" t="s">
        <v>2090</v>
      </c>
      <c r="N387" t="s">
        <v>1396</v>
      </c>
      <c r="O387">
        <v>402502</v>
      </c>
      <c r="Q387" t="s">
        <v>2091</v>
      </c>
      <c r="R387" t="s">
        <v>145</v>
      </c>
      <c r="S387" t="s">
        <v>52</v>
      </c>
      <c r="U387">
        <v>890299</v>
      </c>
      <c r="V387" s="3">
        <v>46025.955555555556</v>
      </c>
      <c r="W387" t="s">
        <v>2092</v>
      </c>
      <c r="X387" t="s">
        <v>2093</v>
      </c>
      <c r="Y387" t="str">
        <f>"0413242523"</f>
        <v>0413242523</v>
      </c>
      <c r="Z387" t="s">
        <v>2094</v>
      </c>
      <c r="AB387" t="s">
        <v>640</v>
      </c>
      <c r="AD387" t="s">
        <v>41</v>
      </c>
      <c r="AE387" t="s">
        <v>641</v>
      </c>
      <c r="AF387">
        <v>4305</v>
      </c>
      <c r="AG387" t="s">
        <v>642</v>
      </c>
      <c r="AI387" t="s">
        <v>59</v>
      </c>
      <c r="AL387" t="s">
        <v>2095</v>
      </c>
      <c r="AM387" t="s">
        <v>644</v>
      </c>
      <c r="AN387" s="3">
        <v>46066.334722222222</v>
      </c>
      <c r="AO387" t="s">
        <v>2092</v>
      </c>
    </row>
    <row r="388" spans="1:41" x14ac:dyDescent="0.3">
      <c r="A388" t="s">
        <v>41</v>
      </c>
      <c r="B388" t="s">
        <v>632</v>
      </c>
      <c r="C388" t="s">
        <v>296</v>
      </c>
      <c r="D388" t="s">
        <v>246</v>
      </c>
      <c r="E388" s="1">
        <v>46065</v>
      </c>
      <c r="F388" t="s">
        <v>621</v>
      </c>
      <c r="G388" t="s">
        <v>485</v>
      </c>
      <c r="H388" s="2">
        <v>0.9375</v>
      </c>
      <c r="I388" s="2">
        <v>0.29166666666666669</v>
      </c>
      <c r="J388" t="s">
        <v>296</v>
      </c>
      <c r="K388" t="s">
        <v>2096</v>
      </c>
      <c r="L388" t="s">
        <v>428</v>
      </c>
      <c r="M388" t="s">
        <v>554</v>
      </c>
      <c r="N388" t="s">
        <v>555</v>
      </c>
      <c r="O388">
        <v>5950685</v>
      </c>
      <c r="Q388" t="s">
        <v>2097</v>
      </c>
      <c r="R388" t="s">
        <v>51</v>
      </c>
      <c r="S388" t="s">
        <v>52</v>
      </c>
      <c r="U388">
        <v>890302</v>
      </c>
      <c r="V388" s="3">
        <v>46056.49722222222</v>
      </c>
      <c r="W388" t="s">
        <v>557</v>
      </c>
      <c r="X388" t="s">
        <v>558</v>
      </c>
      <c r="Y388" t="str">
        <f>"0431966228"</f>
        <v>0431966228</v>
      </c>
      <c r="Z388" t="s">
        <v>527</v>
      </c>
      <c r="AB388" t="s">
        <v>640</v>
      </c>
      <c r="AD388" t="s">
        <v>41</v>
      </c>
      <c r="AE388" t="s">
        <v>641</v>
      </c>
      <c r="AF388">
        <v>4305</v>
      </c>
      <c r="AG388" t="s">
        <v>2098</v>
      </c>
      <c r="AI388" t="s">
        <v>59</v>
      </c>
      <c r="AL388" t="s">
        <v>2099</v>
      </c>
      <c r="AN388" s="3">
        <v>46066.345833333333</v>
      </c>
      <c r="AO388" t="s">
        <v>557</v>
      </c>
    </row>
    <row r="389" spans="1:41" x14ac:dyDescent="0.3">
      <c r="A389" t="s">
        <v>41</v>
      </c>
      <c r="B389" t="s">
        <v>426</v>
      </c>
      <c r="C389" t="s">
        <v>296</v>
      </c>
      <c r="D389" t="s">
        <v>246</v>
      </c>
      <c r="E389" s="1">
        <v>46065</v>
      </c>
      <c r="F389" t="s">
        <v>621</v>
      </c>
      <c r="G389" t="s">
        <v>485</v>
      </c>
      <c r="H389" s="2">
        <v>0.94791666666666663</v>
      </c>
      <c r="I389" s="2">
        <v>0.30208333333333331</v>
      </c>
      <c r="J389" t="s">
        <v>464</v>
      </c>
      <c r="L389" t="s">
        <v>464</v>
      </c>
      <c r="M389" t="s">
        <v>546</v>
      </c>
      <c r="N389" t="s">
        <v>547</v>
      </c>
      <c r="O389">
        <v>5952134</v>
      </c>
      <c r="Q389" t="s">
        <v>2100</v>
      </c>
      <c r="R389" t="s">
        <v>556</v>
      </c>
      <c r="S389" t="s">
        <v>52</v>
      </c>
      <c r="U389">
        <v>890297</v>
      </c>
      <c r="V389" s="3">
        <v>46065.787499999999</v>
      </c>
      <c r="W389" t="s">
        <v>548</v>
      </c>
      <c r="X389" t="s">
        <v>549</v>
      </c>
      <c r="Y389" t="str">
        <f>"0481487167"</f>
        <v>0481487167</v>
      </c>
      <c r="Z389" t="s">
        <v>70</v>
      </c>
      <c r="AA389" s="1">
        <v>46065</v>
      </c>
      <c r="AB389" t="s">
        <v>434</v>
      </c>
      <c r="AD389" t="s">
        <v>41</v>
      </c>
      <c r="AE389" t="s">
        <v>435</v>
      </c>
      <c r="AF389">
        <v>4163</v>
      </c>
      <c r="AG389" t="s">
        <v>2101</v>
      </c>
      <c r="AI389" t="s">
        <v>59</v>
      </c>
      <c r="AL389" t="s">
        <v>87</v>
      </c>
      <c r="AN389" s="3">
        <v>46066.326388888891</v>
      </c>
      <c r="AO389" t="s">
        <v>548</v>
      </c>
    </row>
    <row r="390" spans="1:41" x14ac:dyDescent="0.3">
      <c r="A390" t="s">
        <v>41</v>
      </c>
      <c r="B390" t="s">
        <v>2102</v>
      </c>
      <c r="D390" t="s">
        <v>1286</v>
      </c>
      <c r="E390" s="1">
        <v>46065</v>
      </c>
      <c r="F390" t="s">
        <v>621</v>
      </c>
      <c r="G390" t="s">
        <v>485</v>
      </c>
      <c r="H390" s="2">
        <v>0.94791666666666663</v>
      </c>
      <c r="I390" s="2">
        <v>0.30208333333333331</v>
      </c>
      <c r="J390" t="s">
        <v>464</v>
      </c>
      <c r="L390" t="s">
        <v>464</v>
      </c>
      <c r="M390" t="s">
        <v>2103</v>
      </c>
      <c r="N390" t="s">
        <v>2104</v>
      </c>
      <c r="O390">
        <v>22702</v>
      </c>
      <c r="Q390" t="s">
        <v>1245</v>
      </c>
      <c r="R390" t="s">
        <v>1248</v>
      </c>
      <c r="S390" t="s">
        <v>52</v>
      </c>
      <c r="U390">
        <v>890301</v>
      </c>
      <c r="V390" s="3">
        <v>46065.959027777775</v>
      </c>
      <c r="W390" t="s">
        <v>2105</v>
      </c>
      <c r="X390" t="s">
        <v>2106</v>
      </c>
      <c r="Y390" t="str">
        <f>"0412413526"</f>
        <v>0412413526</v>
      </c>
      <c r="Z390" t="s">
        <v>70</v>
      </c>
      <c r="AA390" s="1">
        <v>46065</v>
      </c>
      <c r="AB390" t="s">
        <v>2107</v>
      </c>
      <c r="AD390" t="s">
        <v>41</v>
      </c>
      <c r="AE390" t="s">
        <v>2108</v>
      </c>
      <c r="AF390">
        <v>4066</v>
      </c>
      <c r="AG390" t="s">
        <v>1245</v>
      </c>
      <c r="AI390" t="s">
        <v>59</v>
      </c>
      <c r="AL390" t="s">
        <v>2109</v>
      </c>
      <c r="AN390" s="3">
        <v>46066.340277777781</v>
      </c>
      <c r="AO390" t="s">
        <v>2105</v>
      </c>
    </row>
    <row r="391" spans="1:41" x14ac:dyDescent="0.3">
      <c r="A391" t="s">
        <v>41</v>
      </c>
      <c r="B391" t="s">
        <v>632</v>
      </c>
      <c r="C391" t="s">
        <v>296</v>
      </c>
      <c r="D391" t="s">
        <v>246</v>
      </c>
      <c r="E391" s="1">
        <v>46065</v>
      </c>
      <c r="F391" t="s">
        <v>621</v>
      </c>
      <c r="G391" t="s">
        <v>485</v>
      </c>
      <c r="H391" s="2">
        <v>0.95833333333333337</v>
      </c>
      <c r="I391" s="2">
        <v>0.29166666666666669</v>
      </c>
      <c r="J391" t="s">
        <v>464</v>
      </c>
      <c r="K391" t="s">
        <v>2096</v>
      </c>
      <c r="L391" t="s">
        <v>540</v>
      </c>
      <c r="M391" t="s">
        <v>1365</v>
      </c>
      <c r="N391" t="s">
        <v>1366</v>
      </c>
      <c r="O391">
        <v>5952403</v>
      </c>
      <c r="Q391" t="s">
        <v>2097</v>
      </c>
      <c r="R391" t="s">
        <v>51</v>
      </c>
      <c r="S391" t="s">
        <v>52</v>
      </c>
      <c r="U391">
        <v>890298</v>
      </c>
      <c r="V391" s="3">
        <v>46056.49722222222</v>
      </c>
      <c r="W391" t="s">
        <v>1368</v>
      </c>
      <c r="X391" t="s">
        <v>1369</v>
      </c>
      <c r="Y391" t="str">
        <f>"0426350044"</f>
        <v>0426350044</v>
      </c>
      <c r="Z391" t="s">
        <v>527</v>
      </c>
      <c r="AB391" t="s">
        <v>640</v>
      </c>
      <c r="AD391" t="s">
        <v>41</v>
      </c>
      <c r="AE391" t="s">
        <v>641</v>
      </c>
      <c r="AF391">
        <v>4305</v>
      </c>
      <c r="AG391" t="s">
        <v>2098</v>
      </c>
      <c r="AI391" t="s">
        <v>59</v>
      </c>
      <c r="AL391" t="s">
        <v>1407</v>
      </c>
      <c r="AN391" s="3">
        <v>46066.32916666667</v>
      </c>
      <c r="AO391" t="s">
        <v>1368</v>
      </c>
    </row>
    <row r="392" spans="1:41" x14ac:dyDescent="0.3">
      <c r="A392" t="s">
        <v>41</v>
      </c>
      <c r="B392" t="s">
        <v>568</v>
      </c>
      <c r="D392" t="s">
        <v>246</v>
      </c>
      <c r="E392" s="1">
        <v>46035</v>
      </c>
      <c r="F392" t="s">
        <v>1376</v>
      </c>
      <c r="G392" t="s">
        <v>45</v>
      </c>
      <c r="H392" s="2">
        <v>0.29166666666666669</v>
      </c>
      <c r="I392" s="2">
        <v>0.8125</v>
      </c>
      <c r="J392" t="s">
        <v>269</v>
      </c>
      <c r="L392" t="s">
        <v>172</v>
      </c>
      <c r="M392" t="s">
        <v>311</v>
      </c>
      <c r="N392" t="s">
        <v>570</v>
      </c>
      <c r="O392">
        <v>5951685</v>
      </c>
      <c r="P392" t="s">
        <v>571</v>
      </c>
      <c r="Q392" t="s">
        <v>572</v>
      </c>
      <c r="R392" t="s">
        <v>573</v>
      </c>
      <c r="S392" t="s">
        <v>52</v>
      </c>
      <c r="T392" t="s">
        <v>252</v>
      </c>
      <c r="U392">
        <v>887542</v>
      </c>
      <c r="V392" s="3">
        <v>46041.582638888889</v>
      </c>
      <c r="W392" t="s">
        <v>574</v>
      </c>
      <c r="X392" t="s">
        <v>575</v>
      </c>
      <c r="Y392" t="str">
        <f>"0407007024"</f>
        <v>0407007024</v>
      </c>
      <c r="Z392" t="s">
        <v>1201</v>
      </c>
      <c r="AA392" s="1">
        <v>46075</v>
      </c>
      <c r="AB392" t="s">
        <v>576</v>
      </c>
      <c r="AD392" t="s">
        <v>41</v>
      </c>
      <c r="AE392" t="s">
        <v>577</v>
      </c>
      <c r="AF392">
        <v>4700</v>
      </c>
      <c r="AG392" t="s">
        <v>572</v>
      </c>
      <c r="AI392" t="s">
        <v>59</v>
      </c>
      <c r="AJ392" t="str">
        <f>"0050076113"</f>
        <v>0050076113</v>
      </c>
      <c r="AN392" s="3">
        <v>46041.582638888889</v>
      </c>
      <c r="AO392" t="s">
        <v>573</v>
      </c>
    </row>
    <row r="393" spans="1:41" x14ac:dyDescent="0.3">
      <c r="A393" t="s">
        <v>168</v>
      </c>
      <c r="B393" t="s">
        <v>689</v>
      </c>
      <c r="C393" t="s">
        <v>43</v>
      </c>
      <c r="D393" t="s">
        <v>268</v>
      </c>
      <c r="E393" s="1">
        <v>46035</v>
      </c>
      <c r="F393" t="s">
        <v>1376</v>
      </c>
      <c r="G393" t="s">
        <v>45</v>
      </c>
      <c r="H393" s="2">
        <v>0.33333333333333331</v>
      </c>
      <c r="I393" s="2">
        <v>0.6875</v>
      </c>
      <c r="J393" t="s">
        <v>100</v>
      </c>
      <c r="L393" t="s">
        <v>100</v>
      </c>
      <c r="M393" t="s">
        <v>402</v>
      </c>
      <c r="N393" t="s">
        <v>403</v>
      </c>
      <c r="O393">
        <v>21398</v>
      </c>
      <c r="P393" t="s">
        <v>249</v>
      </c>
      <c r="Q393" t="s">
        <v>2110</v>
      </c>
      <c r="R393" t="s">
        <v>405</v>
      </c>
      <c r="S393" t="s">
        <v>52</v>
      </c>
      <c r="T393" t="s">
        <v>252</v>
      </c>
      <c r="U393">
        <v>887486</v>
      </c>
      <c r="V393" s="3">
        <v>46041.392361111109</v>
      </c>
      <c r="W393" t="s">
        <v>405</v>
      </c>
      <c r="X393" t="s">
        <v>406</v>
      </c>
      <c r="Y393" t="str">
        <f>"0423877972"</f>
        <v>0423877972</v>
      </c>
      <c r="Z393" t="s">
        <v>84</v>
      </c>
      <c r="AA393" s="1">
        <v>46075</v>
      </c>
      <c r="AB393" t="s">
        <v>695</v>
      </c>
      <c r="AD393" t="s">
        <v>168</v>
      </c>
      <c r="AE393" t="s">
        <v>696</v>
      </c>
      <c r="AF393">
        <v>5606</v>
      </c>
      <c r="AG393" t="s">
        <v>2111</v>
      </c>
      <c r="AI393" t="s">
        <v>59</v>
      </c>
      <c r="AJ393" t="str">
        <f>"0020185674"</f>
        <v>0020185674</v>
      </c>
      <c r="AN393" s="3">
        <v>46041.392361111109</v>
      </c>
      <c r="AO393" t="s">
        <v>405</v>
      </c>
    </row>
    <row r="394" spans="1:41" x14ac:dyDescent="0.3">
      <c r="A394" t="s">
        <v>41</v>
      </c>
      <c r="B394" t="s">
        <v>589</v>
      </c>
      <c r="C394" t="s">
        <v>590</v>
      </c>
      <c r="D394" t="s">
        <v>246</v>
      </c>
      <c r="E394" s="1">
        <v>46035</v>
      </c>
      <c r="F394" t="s">
        <v>1376</v>
      </c>
      <c r="G394" t="s">
        <v>128</v>
      </c>
      <c r="H394" s="2">
        <v>0.60416666666666663</v>
      </c>
      <c r="I394" s="2">
        <v>0.30208333333333331</v>
      </c>
      <c r="J394" t="s">
        <v>591</v>
      </c>
      <c r="L394" t="s">
        <v>592</v>
      </c>
      <c r="M394" t="s">
        <v>593</v>
      </c>
      <c r="N394" t="s">
        <v>594</v>
      </c>
      <c r="O394">
        <v>5952427</v>
      </c>
      <c r="P394" t="s">
        <v>595</v>
      </c>
      <c r="Q394" t="s">
        <v>596</v>
      </c>
      <c r="R394" t="s">
        <v>392</v>
      </c>
      <c r="S394" t="s">
        <v>52</v>
      </c>
      <c r="T394" t="s">
        <v>252</v>
      </c>
      <c r="U394">
        <v>887511</v>
      </c>
      <c r="V394" s="3">
        <v>46041.462500000001</v>
      </c>
      <c r="W394" t="s">
        <v>597</v>
      </c>
      <c r="X394" t="s">
        <v>598</v>
      </c>
      <c r="Y394" t="str">
        <f>"0432677728"</f>
        <v>0432677728</v>
      </c>
      <c r="Z394" t="s">
        <v>254</v>
      </c>
      <c r="AA394" s="1">
        <v>46054</v>
      </c>
      <c r="AB394" t="s">
        <v>599</v>
      </c>
      <c r="AC394" t="s">
        <v>600</v>
      </c>
      <c r="AD394" t="s">
        <v>41</v>
      </c>
      <c r="AE394" t="s">
        <v>600</v>
      </c>
      <c r="AF394">
        <v>4610</v>
      </c>
      <c r="AG394" t="s">
        <v>601</v>
      </c>
      <c r="AI394" t="s">
        <v>59</v>
      </c>
      <c r="AJ394" t="str">
        <f>"0050075752"</f>
        <v>0050075752</v>
      </c>
      <c r="AN394" s="3">
        <v>46041.462500000001</v>
      </c>
      <c r="AO394" t="s">
        <v>392</v>
      </c>
    </row>
    <row r="395" spans="1:41" x14ac:dyDescent="0.3">
      <c r="A395" t="s">
        <v>41</v>
      </c>
      <c r="B395" t="s">
        <v>568</v>
      </c>
      <c r="C395" t="s">
        <v>602</v>
      </c>
      <c r="D395" t="s">
        <v>246</v>
      </c>
      <c r="E395" s="1">
        <v>46035</v>
      </c>
      <c r="F395" t="s">
        <v>1376</v>
      </c>
      <c r="G395" t="s">
        <v>128</v>
      </c>
      <c r="H395" s="2">
        <v>0.60416666666666663</v>
      </c>
      <c r="I395" s="2">
        <v>0.95833333333333337</v>
      </c>
      <c r="J395" t="s">
        <v>269</v>
      </c>
      <c r="L395" t="s">
        <v>47</v>
      </c>
      <c r="M395" t="s">
        <v>603</v>
      </c>
      <c r="N395" t="s">
        <v>604</v>
      </c>
      <c r="O395">
        <v>80</v>
      </c>
      <c r="P395" t="s">
        <v>571</v>
      </c>
      <c r="Q395" t="s">
        <v>572</v>
      </c>
      <c r="R395" t="s">
        <v>573</v>
      </c>
      <c r="S395" t="s">
        <v>52</v>
      </c>
      <c r="T395" t="s">
        <v>252</v>
      </c>
      <c r="U395">
        <v>887519</v>
      </c>
      <c r="V395" s="3">
        <v>46041.507638888892</v>
      </c>
      <c r="W395" t="s">
        <v>605</v>
      </c>
      <c r="X395" t="s">
        <v>606</v>
      </c>
      <c r="Y395" t="str">
        <f>"0414330986"</f>
        <v>0414330986</v>
      </c>
      <c r="Z395" t="s">
        <v>254</v>
      </c>
      <c r="AA395" s="1">
        <v>46068</v>
      </c>
      <c r="AB395" t="s">
        <v>576</v>
      </c>
      <c r="AD395" t="s">
        <v>41</v>
      </c>
      <c r="AE395" t="s">
        <v>577</v>
      </c>
      <c r="AF395">
        <v>4700</v>
      </c>
      <c r="AG395" t="s">
        <v>572</v>
      </c>
      <c r="AI395" t="s">
        <v>59</v>
      </c>
      <c r="AJ395" t="str">
        <f>"0050075176"</f>
        <v>0050075176</v>
      </c>
      <c r="AN395" s="3">
        <v>46041.507638888892</v>
      </c>
      <c r="AO395" t="s">
        <v>573</v>
      </c>
    </row>
    <row r="396" spans="1:41" x14ac:dyDescent="0.3">
      <c r="A396" t="s">
        <v>61</v>
      </c>
      <c r="B396" t="s">
        <v>578</v>
      </c>
      <c r="D396" t="s">
        <v>579</v>
      </c>
      <c r="E396" s="1">
        <v>46035</v>
      </c>
      <c r="F396" t="s">
        <v>1376</v>
      </c>
      <c r="G396" t="s">
        <v>485</v>
      </c>
      <c r="H396" s="2">
        <v>0.875</v>
      </c>
      <c r="I396" s="2">
        <v>0.3125</v>
      </c>
      <c r="J396" t="s">
        <v>269</v>
      </c>
      <c r="L396" t="s">
        <v>172</v>
      </c>
      <c r="M396" t="s">
        <v>580</v>
      </c>
      <c r="N396" t="s">
        <v>581</v>
      </c>
      <c r="O396">
        <v>5951721</v>
      </c>
      <c r="P396" t="s">
        <v>571</v>
      </c>
      <c r="Q396" t="s">
        <v>582</v>
      </c>
      <c r="R396" t="s">
        <v>573</v>
      </c>
      <c r="S396" t="s">
        <v>52</v>
      </c>
      <c r="T396" t="s">
        <v>252</v>
      </c>
      <c r="U396">
        <v>887533</v>
      </c>
      <c r="V396" s="3">
        <v>46041.567361111112</v>
      </c>
      <c r="W396" t="s">
        <v>583</v>
      </c>
      <c r="X396" t="s">
        <v>584</v>
      </c>
      <c r="Y396" t="str">
        <f>"0456677559"</f>
        <v>0456677559</v>
      </c>
      <c r="Z396" t="s">
        <v>254</v>
      </c>
      <c r="AA396" s="1">
        <v>46061</v>
      </c>
      <c r="AB396" t="s">
        <v>586</v>
      </c>
      <c r="AD396" t="s">
        <v>61</v>
      </c>
      <c r="AE396" t="s">
        <v>587</v>
      </c>
      <c r="AF396">
        <v>2320</v>
      </c>
      <c r="AG396" t="s">
        <v>588</v>
      </c>
      <c r="AI396" t="s">
        <v>59</v>
      </c>
      <c r="AJ396" t="str">
        <f>"0010193654"</f>
        <v>0010193654</v>
      </c>
      <c r="AN396" s="3">
        <v>46041.567361111112</v>
      </c>
      <c r="AO396" t="s">
        <v>573</v>
      </c>
    </row>
    <row r="397" spans="1:41" x14ac:dyDescent="0.3">
      <c r="A397" t="s">
        <v>168</v>
      </c>
      <c r="B397" t="s">
        <v>607</v>
      </c>
      <c r="C397" t="s">
        <v>267</v>
      </c>
      <c r="D397" t="s">
        <v>268</v>
      </c>
      <c r="E397" s="1">
        <v>46035</v>
      </c>
      <c r="F397" t="s">
        <v>1376</v>
      </c>
      <c r="G397" t="s">
        <v>45</v>
      </c>
      <c r="H397" s="2">
        <v>0.91666666666666663</v>
      </c>
      <c r="I397" s="2">
        <v>0.38541666666666669</v>
      </c>
      <c r="J397" t="s">
        <v>269</v>
      </c>
      <c r="K397" t="s">
        <v>608</v>
      </c>
      <c r="L397" t="s">
        <v>609</v>
      </c>
      <c r="M397" t="s">
        <v>610</v>
      </c>
      <c r="N397" t="s">
        <v>611</v>
      </c>
      <c r="O397">
        <v>5952121</v>
      </c>
      <c r="P397" t="s">
        <v>249</v>
      </c>
      <c r="Q397" t="s">
        <v>612</v>
      </c>
      <c r="R397" t="s">
        <v>613</v>
      </c>
      <c r="S397" t="s">
        <v>52</v>
      </c>
      <c r="T397" t="s">
        <v>252</v>
      </c>
      <c r="U397">
        <v>887482</v>
      </c>
      <c r="V397" s="3">
        <v>46041.373611111114</v>
      </c>
      <c r="W397" t="s">
        <v>613</v>
      </c>
      <c r="X397" t="s">
        <v>614</v>
      </c>
      <c r="Y397" t="str">
        <f>"0412297150"</f>
        <v>0412297150</v>
      </c>
      <c r="Z397" t="s">
        <v>395</v>
      </c>
      <c r="AA397" s="1">
        <v>46077</v>
      </c>
      <c r="AB397" t="s">
        <v>615</v>
      </c>
      <c r="AC397" t="s">
        <v>616</v>
      </c>
      <c r="AD397" t="s">
        <v>168</v>
      </c>
      <c r="AE397" t="s">
        <v>617</v>
      </c>
      <c r="AF397">
        <v>5290</v>
      </c>
      <c r="AG397" t="s">
        <v>618</v>
      </c>
      <c r="AI397" t="s">
        <v>59</v>
      </c>
      <c r="AJ397" t="str">
        <f>"0020171780"</f>
        <v>0020171780</v>
      </c>
      <c r="AM397" t="s">
        <v>619</v>
      </c>
      <c r="AN397" s="3">
        <v>46041.373611111114</v>
      </c>
      <c r="AO397" t="s">
        <v>613</v>
      </c>
    </row>
    <row r="398" spans="1:41" x14ac:dyDescent="0.3">
      <c r="A398" t="s">
        <v>61</v>
      </c>
      <c r="B398" t="s">
        <v>2112</v>
      </c>
      <c r="D398" t="s">
        <v>2112</v>
      </c>
      <c r="E398" s="1">
        <v>46066</v>
      </c>
      <c r="F398" t="s">
        <v>2113</v>
      </c>
      <c r="G398" t="s">
        <v>45</v>
      </c>
      <c r="H398" s="2">
        <v>0.25</v>
      </c>
      <c r="I398" s="2">
        <v>0.25138888888888888</v>
      </c>
      <c r="J398" t="s">
        <v>296</v>
      </c>
      <c r="L398" t="s">
        <v>2114</v>
      </c>
      <c r="M398" t="s">
        <v>2115</v>
      </c>
      <c r="N398" t="s">
        <v>2116</v>
      </c>
      <c r="O398">
        <v>21150</v>
      </c>
      <c r="R398" t="s">
        <v>2117</v>
      </c>
      <c r="S398" t="s">
        <v>119</v>
      </c>
      <c r="T398" t="s">
        <v>760</v>
      </c>
      <c r="U398">
        <v>890961</v>
      </c>
      <c r="V398" s="3">
        <v>46071.507638888892</v>
      </c>
      <c r="W398" t="s">
        <v>2118</v>
      </c>
      <c r="X398" t="s">
        <v>2119</v>
      </c>
      <c r="Y398" t="str">
        <f>"0401195873"</f>
        <v>0401195873</v>
      </c>
      <c r="Z398" t="s">
        <v>70</v>
      </c>
      <c r="AB398" t="s">
        <v>2120</v>
      </c>
      <c r="AD398" t="s">
        <v>61</v>
      </c>
      <c r="AE398" t="s">
        <v>1699</v>
      </c>
      <c r="AF398">
        <v>2232</v>
      </c>
      <c r="AI398" t="s">
        <v>59</v>
      </c>
      <c r="AM398" t="s">
        <v>1237</v>
      </c>
      <c r="AN398" s="3">
        <v>46071.507638888892</v>
      </c>
      <c r="AO398" t="s">
        <v>2117</v>
      </c>
    </row>
    <row r="399" spans="1:41" x14ac:dyDescent="0.3">
      <c r="A399" t="s">
        <v>61</v>
      </c>
      <c r="B399" t="s">
        <v>2112</v>
      </c>
      <c r="D399" t="s">
        <v>2112</v>
      </c>
      <c r="E399" s="1">
        <v>46066</v>
      </c>
      <c r="F399" t="s">
        <v>2113</v>
      </c>
      <c r="G399" t="s">
        <v>45</v>
      </c>
      <c r="H399" s="2">
        <v>0.25</v>
      </c>
      <c r="I399" s="2">
        <v>0.25069444444444444</v>
      </c>
      <c r="J399" t="s">
        <v>296</v>
      </c>
      <c r="L399" t="s">
        <v>2121</v>
      </c>
      <c r="M399" t="s">
        <v>2122</v>
      </c>
      <c r="N399" t="s">
        <v>2123</v>
      </c>
      <c r="O399">
        <v>21021</v>
      </c>
      <c r="R399" t="s">
        <v>2117</v>
      </c>
      <c r="S399" t="s">
        <v>119</v>
      </c>
      <c r="T399" t="s">
        <v>760</v>
      </c>
      <c r="U399">
        <v>890960</v>
      </c>
      <c r="V399" s="3">
        <v>46071.504166666666</v>
      </c>
      <c r="W399" t="s">
        <v>2124</v>
      </c>
      <c r="X399" t="s">
        <v>2125</v>
      </c>
      <c r="Y399" t="str">
        <f>"0405138119"</f>
        <v>0405138119</v>
      </c>
      <c r="Z399" t="s">
        <v>70</v>
      </c>
      <c r="AB399" t="s">
        <v>2120</v>
      </c>
      <c r="AD399" t="s">
        <v>61</v>
      </c>
      <c r="AE399" t="s">
        <v>1699</v>
      </c>
      <c r="AF399">
        <v>2232</v>
      </c>
      <c r="AI399" t="s">
        <v>59</v>
      </c>
      <c r="AM399" t="s">
        <v>1237</v>
      </c>
      <c r="AN399" s="3">
        <v>46071.504166666666</v>
      </c>
      <c r="AO399" t="s">
        <v>2117</v>
      </c>
    </row>
    <row r="400" spans="1:41" x14ac:dyDescent="0.3">
      <c r="A400" t="s">
        <v>61</v>
      </c>
      <c r="B400" t="s">
        <v>620</v>
      </c>
      <c r="C400" t="s">
        <v>43</v>
      </c>
      <c r="D400" t="s">
        <v>63</v>
      </c>
      <c r="E400" s="1">
        <v>46066</v>
      </c>
      <c r="F400" t="s">
        <v>2113</v>
      </c>
      <c r="G400" t="s">
        <v>45</v>
      </c>
      <c r="H400" s="2">
        <v>0.25</v>
      </c>
      <c r="I400" s="2">
        <v>0.5</v>
      </c>
      <c r="J400" t="s">
        <v>185</v>
      </c>
      <c r="L400" t="s">
        <v>186</v>
      </c>
      <c r="M400" t="s">
        <v>622</v>
      </c>
      <c r="N400" t="s">
        <v>623</v>
      </c>
      <c r="O400">
        <v>20720</v>
      </c>
      <c r="Q400" t="s">
        <v>630</v>
      </c>
      <c r="R400" t="s">
        <v>67</v>
      </c>
      <c r="S400" t="s">
        <v>52</v>
      </c>
      <c r="U400">
        <v>890303</v>
      </c>
      <c r="V400" s="3">
        <v>46057.325694444444</v>
      </c>
      <c r="W400" t="s">
        <v>625</v>
      </c>
      <c r="X400" t="s">
        <v>626</v>
      </c>
      <c r="Y400" t="str">
        <f>"0469365147"</f>
        <v>0469365147</v>
      </c>
      <c r="Z400" t="s">
        <v>123</v>
      </c>
      <c r="AA400" s="1">
        <v>46066</v>
      </c>
      <c r="AB400" t="s">
        <v>628</v>
      </c>
      <c r="AD400" t="s">
        <v>61</v>
      </c>
      <c r="AE400" t="s">
        <v>629</v>
      </c>
      <c r="AF400">
        <v>2305</v>
      </c>
      <c r="AG400" t="s">
        <v>2126</v>
      </c>
      <c r="AI400" t="s">
        <v>59</v>
      </c>
      <c r="AL400" t="s">
        <v>2127</v>
      </c>
      <c r="AN400" s="3">
        <v>46066.476388888892</v>
      </c>
      <c r="AO400" t="s">
        <v>625</v>
      </c>
    </row>
    <row r="401" spans="1:41" x14ac:dyDescent="0.3">
      <c r="A401" t="s">
        <v>61</v>
      </c>
      <c r="B401" t="s">
        <v>182</v>
      </c>
      <c r="C401" t="s">
        <v>183</v>
      </c>
      <c r="D401" t="s">
        <v>184</v>
      </c>
      <c r="E401" s="1">
        <v>46066</v>
      </c>
      <c r="F401" t="s">
        <v>2113</v>
      </c>
      <c r="G401" t="s">
        <v>45</v>
      </c>
      <c r="H401" s="2">
        <v>0.25</v>
      </c>
      <c r="I401" s="2">
        <v>0.99861111111111112</v>
      </c>
      <c r="J401" t="s">
        <v>185</v>
      </c>
      <c r="L401" t="s">
        <v>186</v>
      </c>
      <c r="M401" t="s">
        <v>1395</v>
      </c>
      <c r="N401" t="s">
        <v>1396</v>
      </c>
      <c r="O401">
        <v>758</v>
      </c>
      <c r="Q401" t="s">
        <v>189</v>
      </c>
      <c r="R401" t="s">
        <v>132</v>
      </c>
      <c r="S401" t="s">
        <v>52</v>
      </c>
      <c r="U401">
        <v>890343</v>
      </c>
      <c r="V401" s="3">
        <v>46057.534722222219</v>
      </c>
      <c r="W401" t="s">
        <v>1397</v>
      </c>
      <c r="X401" t="s">
        <v>1398</v>
      </c>
      <c r="Y401" t="str">
        <f>"0402403886"</f>
        <v>0402403886</v>
      </c>
      <c r="Z401" t="s">
        <v>2128</v>
      </c>
      <c r="AA401" s="1">
        <v>46066</v>
      </c>
      <c r="AB401" t="s">
        <v>193</v>
      </c>
      <c r="AD401" t="s">
        <v>61</v>
      </c>
      <c r="AE401" t="s">
        <v>194</v>
      </c>
      <c r="AF401">
        <v>2229</v>
      </c>
      <c r="AG401" t="s">
        <v>189</v>
      </c>
      <c r="AI401" t="s">
        <v>59</v>
      </c>
      <c r="AL401" t="s">
        <v>2129</v>
      </c>
      <c r="AM401" t="s">
        <v>2130</v>
      </c>
      <c r="AN401" s="3">
        <v>46066.65625</v>
      </c>
      <c r="AO401" t="s">
        <v>1397</v>
      </c>
    </row>
    <row r="402" spans="1:41" x14ac:dyDescent="0.3">
      <c r="A402" t="s">
        <v>61</v>
      </c>
      <c r="B402" t="s">
        <v>2112</v>
      </c>
      <c r="D402" t="s">
        <v>2112</v>
      </c>
      <c r="E402" s="1">
        <v>46066</v>
      </c>
      <c r="F402" t="s">
        <v>2113</v>
      </c>
      <c r="G402" t="s">
        <v>45</v>
      </c>
      <c r="H402" s="2">
        <v>0.25</v>
      </c>
      <c r="I402" s="2">
        <v>0.25069444444444444</v>
      </c>
      <c r="J402" t="s">
        <v>296</v>
      </c>
      <c r="L402" t="s">
        <v>114</v>
      </c>
      <c r="M402" t="s">
        <v>2131</v>
      </c>
      <c r="N402" t="s">
        <v>2132</v>
      </c>
      <c r="O402">
        <v>207</v>
      </c>
      <c r="R402" t="s">
        <v>2117</v>
      </c>
      <c r="S402" t="s">
        <v>119</v>
      </c>
      <c r="T402" t="s">
        <v>760</v>
      </c>
      <c r="U402">
        <v>890959</v>
      </c>
      <c r="V402" s="3">
        <v>46071.503472222219</v>
      </c>
      <c r="W402" t="s">
        <v>2133</v>
      </c>
      <c r="X402" t="s">
        <v>2134</v>
      </c>
      <c r="Y402" t="str">
        <f>"0413106029"</f>
        <v>0413106029</v>
      </c>
      <c r="Z402" t="s">
        <v>70</v>
      </c>
      <c r="AB402" t="s">
        <v>2120</v>
      </c>
      <c r="AD402" t="s">
        <v>61</v>
      </c>
      <c r="AE402" t="s">
        <v>1699</v>
      </c>
      <c r="AF402">
        <v>2232</v>
      </c>
      <c r="AI402" t="s">
        <v>59</v>
      </c>
      <c r="AM402" t="s">
        <v>1237</v>
      </c>
      <c r="AN402" s="3">
        <v>46071.503472222219</v>
      </c>
      <c r="AO402" t="s">
        <v>2117</v>
      </c>
    </row>
    <row r="403" spans="1:41" x14ac:dyDescent="0.3">
      <c r="A403" t="s">
        <v>61</v>
      </c>
      <c r="B403" t="s">
        <v>182</v>
      </c>
      <c r="C403" t="s">
        <v>183</v>
      </c>
      <c r="D403" t="s">
        <v>184</v>
      </c>
      <c r="E403" s="1">
        <v>46066</v>
      </c>
      <c r="F403" t="s">
        <v>2113</v>
      </c>
      <c r="G403" t="s">
        <v>45</v>
      </c>
      <c r="H403" s="2">
        <v>0.27083333333333331</v>
      </c>
      <c r="I403" s="2">
        <v>0.99861111111111112</v>
      </c>
      <c r="J403" t="s">
        <v>185</v>
      </c>
      <c r="L403" t="s">
        <v>47</v>
      </c>
      <c r="M403" t="s">
        <v>1295</v>
      </c>
      <c r="N403" t="s">
        <v>1296</v>
      </c>
      <c r="O403">
        <v>21188</v>
      </c>
      <c r="Q403" t="s">
        <v>189</v>
      </c>
      <c r="R403" t="s">
        <v>132</v>
      </c>
      <c r="S403" t="s">
        <v>52</v>
      </c>
      <c r="U403">
        <v>890329</v>
      </c>
      <c r="V403" s="3">
        <v>46057.534722222219</v>
      </c>
      <c r="W403" t="s">
        <v>1297</v>
      </c>
      <c r="X403" t="s">
        <v>1298</v>
      </c>
      <c r="Y403" t="str">
        <f>"0412228277"</f>
        <v>0412228277</v>
      </c>
      <c r="Z403" t="s">
        <v>2135</v>
      </c>
      <c r="AB403" t="s">
        <v>193</v>
      </c>
      <c r="AD403" t="s">
        <v>61</v>
      </c>
      <c r="AE403" t="s">
        <v>194</v>
      </c>
      <c r="AF403">
        <v>2229</v>
      </c>
      <c r="AG403" t="s">
        <v>189</v>
      </c>
      <c r="AI403" t="s">
        <v>59</v>
      </c>
      <c r="AL403" t="s">
        <v>2127</v>
      </c>
      <c r="AN403" s="3">
        <v>46066.577777777777</v>
      </c>
      <c r="AO403" t="s">
        <v>1297</v>
      </c>
    </row>
    <row r="404" spans="1:41" x14ac:dyDescent="0.3">
      <c r="A404" t="s">
        <v>168</v>
      </c>
      <c r="B404" t="s">
        <v>376</v>
      </c>
      <c r="C404" t="s">
        <v>43</v>
      </c>
      <c r="D404" t="s">
        <v>127</v>
      </c>
      <c r="E404" s="1">
        <v>46066</v>
      </c>
      <c r="F404" t="s">
        <v>2113</v>
      </c>
      <c r="G404" t="s">
        <v>45</v>
      </c>
      <c r="H404" s="2">
        <v>0.27083333333333331</v>
      </c>
      <c r="I404" s="2">
        <v>0.52083333333333337</v>
      </c>
      <c r="J404" t="s">
        <v>185</v>
      </c>
      <c r="K404" t="s">
        <v>2136</v>
      </c>
      <c r="L404" t="s">
        <v>186</v>
      </c>
      <c r="M404" t="s">
        <v>835</v>
      </c>
      <c r="N404" t="s">
        <v>836</v>
      </c>
      <c r="O404">
        <v>22947</v>
      </c>
      <c r="Q404" t="s">
        <v>681</v>
      </c>
      <c r="R404" t="s">
        <v>231</v>
      </c>
      <c r="S404" t="s">
        <v>52</v>
      </c>
      <c r="U404">
        <v>890351</v>
      </c>
      <c r="V404" s="3">
        <v>46064.625</v>
      </c>
      <c r="W404" t="s">
        <v>837</v>
      </c>
      <c r="X404" t="s">
        <v>838</v>
      </c>
      <c r="Y404" t="str">
        <f>"0415626656"</f>
        <v>0415626656</v>
      </c>
      <c r="Z404" t="s">
        <v>70</v>
      </c>
      <c r="AB404" t="s">
        <v>383</v>
      </c>
      <c r="AD404" t="s">
        <v>168</v>
      </c>
      <c r="AE404" t="s">
        <v>384</v>
      </c>
      <c r="AF404">
        <v>5000</v>
      </c>
      <c r="AG404" t="s">
        <v>674</v>
      </c>
      <c r="AI404" t="s">
        <v>59</v>
      </c>
      <c r="AL404" t="s">
        <v>2137</v>
      </c>
      <c r="AN404" s="3">
        <v>46066.69027777778</v>
      </c>
      <c r="AO404" t="s">
        <v>837</v>
      </c>
    </row>
    <row r="405" spans="1:41" x14ac:dyDescent="0.3">
      <c r="A405" t="s">
        <v>61</v>
      </c>
      <c r="B405" t="s">
        <v>620</v>
      </c>
      <c r="C405" t="s">
        <v>43</v>
      </c>
      <c r="D405" t="s">
        <v>63</v>
      </c>
      <c r="E405" s="1">
        <v>46066</v>
      </c>
      <c r="F405" t="s">
        <v>2113</v>
      </c>
      <c r="G405" t="s">
        <v>45</v>
      </c>
      <c r="H405" s="2">
        <v>0.27083333333333331</v>
      </c>
      <c r="I405" s="2">
        <v>0.58333333333333337</v>
      </c>
      <c r="J405" t="s">
        <v>185</v>
      </c>
      <c r="L405" t="s">
        <v>186</v>
      </c>
      <c r="M405" t="s">
        <v>1194</v>
      </c>
      <c r="N405" t="s">
        <v>2138</v>
      </c>
      <c r="O405">
        <v>5950992</v>
      </c>
      <c r="Q405" t="s">
        <v>630</v>
      </c>
      <c r="R405" t="s">
        <v>67</v>
      </c>
      <c r="S405" t="s">
        <v>52</v>
      </c>
      <c r="U405">
        <v>890334</v>
      </c>
      <c r="V405" s="3">
        <v>46057.325694444444</v>
      </c>
      <c r="W405" t="s">
        <v>2139</v>
      </c>
      <c r="X405" t="s">
        <v>2140</v>
      </c>
      <c r="Y405" t="str">
        <f>"0416283600"</f>
        <v>0416283600</v>
      </c>
      <c r="Z405" t="s">
        <v>55</v>
      </c>
      <c r="AA405" s="1">
        <v>46066</v>
      </c>
      <c r="AB405" t="s">
        <v>628</v>
      </c>
      <c r="AD405" t="s">
        <v>61</v>
      </c>
      <c r="AE405" t="s">
        <v>629</v>
      </c>
      <c r="AF405">
        <v>2305</v>
      </c>
      <c r="AG405" t="s">
        <v>2126</v>
      </c>
      <c r="AI405" t="s">
        <v>59</v>
      </c>
      <c r="AL405" t="s">
        <v>2127</v>
      </c>
      <c r="AN405" s="3">
        <v>46066.584722222222</v>
      </c>
      <c r="AO405" t="s">
        <v>2139</v>
      </c>
    </row>
    <row r="406" spans="1:41" x14ac:dyDescent="0.3">
      <c r="A406" t="s">
        <v>168</v>
      </c>
      <c r="B406" t="s">
        <v>409</v>
      </c>
      <c r="C406" t="s">
        <v>1869</v>
      </c>
      <c r="D406" t="s">
        <v>309</v>
      </c>
      <c r="E406" s="1">
        <v>46066</v>
      </c>
      <c r="F406" t="s">
        <v>2113</v>
      </c>
      <c r="G406" t="s">
        <v>45</v>
      </c>
      <c r="H406" s="2">
        <v>0.27083333333333331</v>
      </c>
      <c r="I406" s="2">
        <v>0.52083333333333337</v>
      </c>
      <c r="J406" t="s">
        <v>170</v>
      </c>
      <c r="K406" t="s">
        <v>171</v>
      </c>
      <c r="M406" t="s">
        <v>1541</v>
      </c>
      <c r="N406" t="s">
        <v>1542</v>
      </c>
      <c r="O406">
        <v>5952200</v>
      </c>
      <c r="Q406" t="s">
        <v>705</v>
      </c>
      <c r="R406" t="s">
        <v>231</v>
      </c>
      <c r="S406" t="s">
        <v>52</v>
      </c>
      <c r="U406">
        <v>890310</v>
      </c>
      <c r="V406" s="3">
        <v>46065.379166666666</v>
      </c>
      <c r="W406" t="s">
        <v>1543</v>
      </c>
      <c r="X406" t="s">
        <v>1544</v>
      </c>
      <c r="Y406" t="str">
        <f>"0450971472"</f>
        <v>0450971472</v>
      </c>
      <c r="Z406" t="s">
        <v>70</v>
      </c>
      <c r="AA406" s="1">
        <v>46066</v>
      </c>
      <c r="AB406" t="s">
        <v>417</v>
      </c>
      <c r="AD406" t="s">
        <v>168</v>
      </c>
      <c r="AE406" t="s">
        <v>384</v>
      </c>
      <c r="AF406">
        <v>5000</v>
      </c>
      <c r="AI406" t="s">
        <v>59</v>
      </c>
      <c r="AL406" t="s">
        <v>2141</v>
      </c>
      <c r="AM406" t="s">
        <v>2142</v>
      </c>
      <c r="AN406" s="3">
        <v>46066.535416666666</v>
      </c>
      <c r="AO406" t="s">
        <v>1543</v>
      </c>
    </row>
    <row r="407" spans="1:41" x14ac:dyDescent="0.3">
      <c r="A407" t="s">
        <v>41</v>
      </c>
      <c r="B407" t="s">
        <v>2143</v>
      </c>
      <c r="C407" t="s">
        <v>2144</v>
      </c>
      <c r="D407" t="s">
        <v>63</v>
      </c>
      <c r="E407" s="1">
        <v>46066</v>
      </c>
      <c r="F407" t="s">
        <v>2113</v>
      </c>
      <c r="G407" t="s">
        <v>45</v>
      </c>
      <c r="H407" s="2">
        <v>0.29166666666666669</v>
      </c>
      <c r="I407" s="2">
        <v>0.625</v>
      </c>
      <c r="J407" t="s">
        <v>296</v>
      </c>
      <c r="K407" t="s">
        <v>553</v>
      </c>
      <c r="L407" t="s">
        <v>633</v>
      </c>
      <c r="M407" t="s">
        <v>2145</v>
      </c>
      <c r="N407" t="s">
        <v>2146</v>
      </c>
      <c r="O407">
        <v>402527</v>
      </c>
      <c r="Q407" t="s">
        <v>2147</v>
      </c>
      <c r="R407" t="s">
        <v>1472</v>
      </c>
      <c r="S407" t="s">
        <v>52</v>
      </c>
      <c r="U407">
        <v>890353</v>
      </c>
      <c r="V407" s="3">
        <v>46065.693749999999</v>
      </c>
      <c r="W407" t="s">
        <v>2148</v>
      </c>
      <c r="X407" t="s">
        <v>2149</v>
      </c>
      <c r="Y407" t="str">
        <f>"0401597129"</f>
        <v>0401597129</v>
      </c>
      <c r="Z407" t="s">
        <v>70</v>
      </c>
      <c r="AA407" s="1">
        <v>46066</v>
      </c>
      <c r="AB407" t="s">
        <v>2150</v>
      </c>
      <c r="AD407" t="s">
        <v>41</v>
      </c>
      <c r="AE407" t="s">
        <v>2151</v>
      </c>
      <c r="AF407">
        <v>4500</v>
      </c>
      <c r="AG407" t="s">
        <v>1472</v>
      </c>
      <c r="AI407" t="s">
        <v>59</v>
      </c>
      <c r="AL407" t="s">
        <v>2152</v>
      </c>
      <c r="AN407" s="3">
        <v>46066.697222222225</v>
      </c>
      <c r="AO407" t="s">
        <v>2148</v>
      </c>
    </row>
    <row r="408" spans="1:41" x14ac:dyDescent="0.3">
      <c r="A408" t="s">
        <v>306</v>
      </c>
      <c r="B408" t="s">
        <v>1334</v>
      </c>
      <c r="C408" t="s">
        <v>1523</v>
      </c>
      <c r="D408" t="s">
        <v>1336</v>
      </c>
      <c r="E408" s="1">
        <v>46066</v>
      </c>
      <c r="F408" t="s">
        <v>2113</v>
      </c>
      <c r="G408" t="s">
        <v>45</v>
      </c>
      <c r="H408" s="2">
        <v>0.29166666666666669</v>
      </c>
      <c r="I408" s="2">
        <v>0.60416666666666663</v>
      </c>
      <c r="J408" t="s">
        <v>296</v>
      </c>
      <c r="L408" t="s">
        <v>2079</v>
      </c>
      <c r="M408" t="s">
        <v>2153</v>
      </c>
      <c r="N408" t="s">
        <v>2154</v>
      </c>
      <c r="O408">
        <v>5952103</v>
      </c>
      <c r="Q408" t="s">
        <v>2155</v>
      </c>
      <c r="R408" t="s">
        <v>1248</v>
      </c>
      <c r="S408" t="s">
        <v>52</v>
      </c>
      <c r="U408">
        <v>890305</v>
      </c>
      <c r="V408" s="3">
        <v>46065.746527777781</v>
      </c>
      <c r="W408" t="s">
        <v>2156</v>
      </c>
      <c r="X408" t="s">
        <v>2157</v>
      </c>
      <c r="Y408" t="str">
        <f>"61415109740"</f>
        <v>61415109740</v>
      </c>
      <c r="Z408" t="s">
        <v>70</v>
      </c>
      <c r="AA408" s="1">
        <v>46066</v>
      </c>
      <c r="AB408" t="s">
        <v>1342</v>
      </c>
      <c r="AD408" t="s">
        <v>306</v>
      </c>
      <c r="AE408" t="s">
        <v>1343</v>
      </c>
      <c r="AF408">
        <v>3144</v>
      </c>
      <c r="AG408" t="s">
        <v>413</v>
      </c>
      <c r="AI408" t="s">
        <v>59</v>
      </c>
      <c r="AL408" t="s">
        <v>2158</v>
      </c>
      <c r="AN408" s="3">
        <v>46066.505555555559</v>
      </c>
      <c r="AO408" t="s">
        <v>2156</v>
      </c>
    </row>
    <row r="409" spans="1:41" x14ac:dyDescent="0.3">
      <c r="A409" t="s">
        <v>75</v>
      </c>
      <c r="B409" t="s">
        <v>895</v>
      </c>
      <c r="C409" t="s">
        <v>1621</v>
      </c>
      <c r="D409" t="s">
        <v>184</v>
      </c>
      <c r="E409" s="1">
        <v>46066</v>
      </c>
      <c r="F409" t="s">
        <v>2113</v>
      </c>
      <c r="G409" t="s">
        <v>45</v>
      </c>
      <c r="H409" s="2">
        <v>0.29166666666666669</v>
      </c>
      <c r="I409" s="2">
        <v>0.625</v>
      </c>
      <c r="J409" t="s">
        <v>296</v>
      </c>
      <c r="L409" t="s">
        <v>1453</v>
      </c>
      <c r="M409" t="s">
        <v>1622</v>
      </c>
      <c r="N409" t="s">
        <v>1623</v>
      </c>
      <c r="O409">
        <v>5952211</v>
      </c>
      <c r="Q409" t="s">
        <v>2159</v>
      </c>
      <c r="R409" t="s">
        <v>81</v>
      </c>
      <c r="S409" t="s">
        <v>52</v>
      </c>
      <c r="U409">
        <v>890363</v>
      </c>
      <c r="V409" s="3">
        <v>46062.489583333336</v>
      </c>
      <c r="W409" t="s">
        <v>1624</v>
      </c>
      <c r="X409" t="s">
        <v>1625</v>
      </c>
      <c r="Y409" t="str">
        <f>"0494406921"</f>
        <v>0494406921</v>
      </c>
      <c r="Z409" t="s">
        <v>1155</v>
      </c>
      <c r="AB409" t="s">
        <v>902</v>
      </c>
      <c r="AD409" t="s">
        <v>75</v>
      </c>
      <c r="AE409" t="s">
        <v>903</v>
      </c>
      <c r="AF409">
        <v>6009</v>
      </c>
      <c r="AG409" t="s">
        <v>2159</v>
      </c>
      <c r="AI409" t="s">
        <v>59</v>
      </c>
      <c r="AL409" t="s">
        <v>2160</v>
      </c>
      <c r="AN409" s="3">
        <v>46066.731944444444</v>
      </c>
      <c r="AO409" t="s">
        <v>1624</v>
      </c>
    </row>
    <row r="410" spans="1:41" x14ac:dyDescent="0.3">
      <c r="A410" t="s">
        <v>306</v>
      </c>
      <c r="B410" t="s">
        <v>1238</v>
      </c>
      <c r="C410" t="s">
        <v>529</v>
      </c>
      <c r="D410" t="s">
        <v>90</v>
      </c>
      <c r="E410" s="1">
        <v>46066</v>
      </c>
      <c r="F410" t="s">
        <v>2113</v>
      </c>
      <c r="G410" t="s">
        <v>45</v>
      </c>
      <c r="H410" s="2">
        <v>0.29166666666666669</v>
      </c>
      <c r="I410" s="2">
        <v>0.625</v>
      </c>
      <c r="J410" t="s">
        <v>529</v>
      </c>
      <c r="K410" t="s">
        <v>530</v>
      </c>
      <c r="L410" t="s">
        <v>2161</v>
      </c>
      <c r="M410" t="s">
        <v>129</v>
      </c>
      <c r="N410" t="s">
        <v>2162</v>
      </c>
      <c r="O410">
        <v>5951884</v>
      </c>
      <c r="Q410" t="s">
        <v>1245</v>
      </c>
      <c r="R410" t="s">
        <v>1248</v>
      </c>
      <c r="S410" t="s">
        <v>52</v>
      </c>
      <c r="U410">
        <v>890338</v>
      </c>
      <c r="V410" s="3">
        <v>46065.745833333334</v>
      </c>
      <c r="W410" t="s">
        <v>2163</v>
      </c>
      <c r="X410" t="s">
        <v>2164</v>
      </c>
      <c r="Y410" t="str">
        <f>"0451956964"</f>
        <v>0451956964</v>
      </c>
      <c r="Z410" t="s">
        <v>70</v>
      </c>
      <c r="AA410" s="1">
        <v>46066</v>
      </c>
      <c r="AB410" t="s">
        <v>1243</v>
      </c>
      <c r="AD410" t="s">
        <v>306</v>
      </c>
      <c r="AE410" t="s">
        <v>1244</v>
      </c>
      <c r="AF410">
        <v>3065</v>
      </c>
      <c r="AG410" t="s">
        <v>1245</v>
      </c>
      <c r="AI410" t="s">
        <v>59</v>
      </c>
      <c r="AL410" t="s">
        <v>87</v>
      </c>
      <c r="AN410" s="3">
        <v>46066.631249999999</v>
      </c>
      <c r="AO410" t="s">
        <v>2163</v>
      </c>
    </row>
    <row r="411" spans="1:41" x14ac:dyDescent="0.3">
      <c r="A411" t="s">
        <v>306</v>
      </c>
      <c r="B411" t="s">
        <v>2165</v>
      </c>
      <c r="C411" t="s">
        <v>2166</v>
      </c>
      <c r="E411" s="1">
        <v>46066</v>
      </c>
      <c r="F411" t="s">
        <v>2113</v>
      </c>
      <c r="G411" t="s">
        <v>45</v>
      </c>
      <c r="H411" s="2">
        <v>0.29166666666666669</v>
      </c>
      <c r="I411" s="2">
        <v>0.70833333333333337</v>
      </c>
      <c r="J411" t="s">
        <v>101</v>
      </c>
      <c r="L411" t="s">
        <v>2167</v>
      </c>
      <c r="M411" t="s">
        <v>2168</v>
      </c>
      <c r="N411" t="s">
        <v>2169</v>
      </c>
      <c r="O411">
        <v>21033</v>
      </c>
      <c r="Q411" t="s">
        <v>2170</v>
      </c>
      <c r="R411" t="s">
        <v>314</v>
      </c>
      <c r="S411" t="s">
        <v>52</v>
      </c>
      <c r="U411">
        <v>890346</v>
      </c>
      <c r="V411" s="3">
        <v>46062.506249999999</v>
      </c>
      <c r="W411" t="s">
        <v>2171</v>
      </c>
      <c r="X411" t="s">
        <v>2172</v>
      </c>
      <c r="Y411" t="str">
        <f>"0423282929"</f>
        <v>0423282929</v>
      </c>
      <c r="Z411" t="s">
        <v>70</v>
      </c>
      <c r="AA411" s="1">
        <v>46066</v>
      </c>
      <c r="AB411" t="s">
        <v>2173</v>
      </c>
      <c r="AD411" t="s">
        <v>306</v>
      </c>
      <c r="AE411" t="s">
        <v>2174</v>
      </c>
      <c r="AF411">
        <v>3030</v>
      </c>
      <c r="AG411" t="s">
        <v>2175</v>
      </c>
      <c r="AI411" t="s">
        <v>59</v>
      </c>
      <c r="AL411" t="s">
        <v>87</v>
      </c>
      <c r="AN411" s="3">
        <v>46066.674305555556</v>
      </c>
      <c r="AO411" t="s">
        <v>2171</v>
      </c>
    </row>
    <row r="412" spans="1:41" x14ac:dyDescent="0.3">
      <c r="A412" t="s">
        <v>168</v>
      </c>
      <c r="B412" t="s">
        <v>1021</v>
      </c>
      <c r="C412" t="s">
        <v>216</v>
      </c>
      <c r="D412" t="s">
        <v>127</v>
      </c>
      <c r="E412" s="1">
        <v>46066</v>
      </c>
      <c r="F412" t="s">
        <v>2113</v>
      </c>
      <c r="G412" t="s">
        <v>45</v>
      </c>
      <c r="H412" s="2">
        <v>0.29166666666666669</v>
      </c>
      <c r="I412" s="2">
        <v>0.625</v>
      </c>
      <c r="J412" t="s">
        <v>101</v>
      </c>
      <c r="L412" t="s">
        <v>47</v>
      </c>
      <c r="M412" t="s">
        <v>371</v>
      </c>
      <c r="N412" t="s">
        <v>372</v>
      </c>
      <c r="O412">
        <v>20698</v>
      </c>
      <c r="Q412" t="s">
        <v>1025</v>
      </c>
      <c r="R412" t="s">
        <v>1026</v>
      </c>
      <c r="S412" t="s">
        <v>52</v>
      </c>
      <c r="U412">
        <v>890336</v>
      </c>
      <c r="V412" s="3">
        <v>46062.370138888888</v>
      </c>
      <c r="W412" t="s">
        <v>373</v>
      </c>
      <c r="X412" t="s">
        <v>374</v>
      </c>
      <c r="Y412" t="str">
        <f>"0424925273"</f>
        <v>0424925273</v>
      </c>
      <c r="Z412" t="s">
        <v>70</v>
      </c>
      <c r="AA412" s="1">
        <v>46066</v>
      </c>
      <c r="AB412" t="s">
        <v>1029</v>
      </c>
      <c r="AD412" t="s">
        <v>168</v>
      </c>
      <c r="AE412" t="s">
        <v>1030</v>
      </c>
      <c r="AF412">
        <v>5022</v>
      </c>
      <c r="AI412" t="s">
        <v>59</v>
      </c>
      <c r="AL412" t="s">
        <v>1037</v>
      </c>
      <c r="AN412" s="3">
        <v>46066.615277777775</v>
      </c>
      <c r="AO412" t="s">
        <v>373</v>
      </c>
    </row>
    <row r="413" spans="1:41" x14ac:dyDescent="0.3">
      <c r="A413" t="s">
        <v>41</v>
      </c>
      <c r="B413" t="s">
        <v>589</v>
      </c>
      <c r="C413" t="s">
        <v>590</v>
      </c>
      <c r="D413" t="s">
        <v>246</v>
      </c>
      <c r="E413" s="1">
        <v>46066</v>
      </c>
      <c r="F413" t="s">
        <v>2113</v>
      </c>
      <c r="G413" t="s">
        <v>45</v>
      </c>
      <c r="H413" s="2">
        <v>0.29166666666666669</v>
      </c>
      <c r="I413" s="2">
        <v>0.8125</v>
      </c>
      <c r="J413" t="s">
        <v>591</v>
      </c>
      <c r="L413" t="s">
        <v>592</v>
      </c>
      <c r="M413" t="s">
        <v>593</v>
      </c>
      <c r="N413" t="s">
        <v>594</v>
      </c>
      <c r="O413">
        <v>5952427</v>
      </c>
      <c r="P413" t="s">
        <v>249</v>
      </c>
      <c r="Q413" t="s">
        <v>596</v>
      </c>
      <c r="R413" t="s">
        <v>392</v>
      </c>
      <c r="S413" t="s">
        <v>52</v>
      </c>
      <c r="T413" t="s">
        <v>252</v>
      </c>
      <c r="U413">
        <v>890774</v>
      </c>
      <c r="V413" s="3">
        <v>46070.618055555555</v>
      </c>
      <c r="W413" t="s">
        <v>597</v>
      </c>
      <c r="X413" t="s">
        <v>598</v>
      </c>
      <c r="Y413" t="str">
        <f>"0432677728"</f>
        <v>0432677728</v>
      </c>
      <c r="Z413" t="s">
        <v>345</v>
      </c>
      <c r="AA413" s="1">
        <v>46082</v>
      </c>
      <c r="AB413" t="s">
        <v>599</v>
      </c>
      <c r="AC413" t="s">
        <v>600</v>
      </c>
      <c r="AD413" t="s">
        <v>41</v>
      </c>
      <c r="AE413" t="s">
        <v>600</v>
      </c>
      <c r="AF413">
        <v>4610</v>
      </c>
      <c r="AG413" t="s">
        <v>601</v>
      </c>
      <c r="AI413" t="s">
        <v>59</v>
      </c>
      <c r="AJ413" t="str">
        <f>"0050075752"</f>
        <v>0050075752</v>
      </c>
      <c r="AN413" s="3">
        <v>46070.618055555555</v>
      </c>
      <c r="AO413" t="s">
        <v>392</v>
      </c>
    </row>
    <row r="414" spans="1:41" x14ac:dyDescent="0.3">
      <c r="A414" t="s">
        <v>61</v>
      </c>
      <c r="B414" t="s">
        <v>1271</v>
      </c>
      <c r="C414" t="s">
        <v>1272</v>
      </c>
      <c r="D414" t="s">
        <v>184</v>
      </c>
      <c r="E414" s="1">
        <v>46066</v>
      </c>
      <c r="F414" t="s">
        <v>2113</v>
      </c>
      <c r="G414" t="s">
        <v>45</v>
      </c>
      <c r="H414" s="2">
        <v>0.29166666666666669</v>
      </c>
      <c r="I414" s="2">
        <v>0.8125</v>
      </c>
      <c r="J414" t="s">
        <v>486</v>
      </c>
      <c r="L414" t="s">
        <v>487</v>
      </c>
      <c r="M414" t="s">
        <v>1295</v>
      </c>
      <c r="N414" t="s">
        <v>2176</v>
      </c>
      <c r="O414">
        <v>5951197</v>
      </c>
      <c r="Q414" t="s">
        <v>1190</v>
      </c>
      <c r="R414" t="s">
        <v>67</v>
      </c>
      <c r="S414" t="s">
        <v>52</v>
      </c>
      <c r="U414">
        <v>890368</v>
      </c>
      <c r="V414" s="3">
        <v>46059.530555555553</v>
      </c>
      <c r="W414" t="s">
        <v>2177</v>
      </c>
      <c r="X414" t="s">
        <v>2178</v>
      </c>
      <c r="Y414" t="str">
        <f>"0414644229"</f>
        <v>0414644229</v>
      </c>
      <c r="Z414" t="s">
        <v>70</v>
      </c>
      <c r="AA414" s="1">
        <v>46066</v>
      </c>
      <c r="AB414" t="s">
        <v>1278</v>
      </c>
      <c r="AD414" t="s">
        <v>61</v>
      </c>
      <c r="AE414" t="s">
        <v>1279</v>
      </c>
      <c r="AF414">
        <v>2145</v>
      </c>
      <c r="AG414" t="s">
        <v>1190</v>
      </c>
      <c r="AI414" t="s">
        <v>59</v>
      </c>
      <c r="AL414" t="s">
        <v>2127</v>
      </c>
      <c r="AN414" s="3">
        <v>46066.776388888888</v>
      </c>
      <c r="AO414" t="s">
        <v>2177</v>
      </c>
    </row>
    <row r="415" spans="1:41" x14ac:dyDescent="0.3">
      <c r="A415" t="s">
        <v>61</v>
      </c>
      <c r="B415" t="s">
        <v>1271</v>
      </c>
      <c r="C415" t="s">
        <v>1272</v>
      </c>
      <c r="D415" t="s">
        <v>184</v>
      </c>
      <c r="E415" s="1">
        <v>46066</v>
      </c>
      <c r="F415" t="s">
        <v>2113</v>
      </c>
      <c r="G415" t="s">
        <v>45</v>
      </c>
      <c r="H415" s="2">
        <v>0.29166666666666669</v>
      </c>
      <c r="I415" s="2">
        <v>0.8125</v>
      </c>
      <c r="J415" t="s">
        <v>486</v>
      </c>
      <c r="L415" t="s">
        <v>487</v>
      </c>
      <c r="M415" t="s">
        <v>1295</v>
      </c>
      <c r="N415" t="s">
        <v>2176</v>
      </c>
      <c r="O415">
        <v>5951197</v>
      </c>
      <c r="R415" t="s">
        <v>759</v>
      </c>
      <c r="S415" t="s">
        <v>119</v>
      </c>
      <c r="T415" t="s">
        <v>760</v>
      </c>
      <c r="U415" t="s">
        <v>2179</v>
      </c>
      <c r="V415" s="3">
        <v>46084.53402777778</v>
      </c>
      <c r="W415" t="s">
        <v>2177</v>
      </c>
      <c r="X415" t="s">
        <v>2178</v>
      </c>
      <c r="Y415" t="str">
        <f>"0414644229"</f>
        <v>0414644229</v>
      </c>
      <c r="Z415" t="s">
        <v>70</v>
      </c>
      <c r="AB415" t="s">
        <v>1278</v>
      </c>
      <c r="AD415" t="s">
        <v>61</v>
      </c>
      <c r="AE415" t="s">
        <v>1279</v>
      </c>
      <c r="AF415">
        <v>2145</v>
      </c>
      <c r="AI415" t="s">
        <v>59</v>
      </c>
      <c r="AM415" t="s">
        <v>2180</v>
      </c>
      <c r="AN415" s="3">
        <v>46084.53402777778</v>
      </c>
      <c r="AO415" t="s">
        <v>759</v>
      </c>
    </row>
    <row r="416" spans="1:41" x14ac:dyDescent="0.3">
      <c r="A416" t="s">
        <v>61</v>
      </c>
      <c r="B416" t="s">
        <v>1271</v>
      </c>
      <c r="C416" t="s">
        <v>1272</v>
      </c>
      <c r="D416" t="s">
        <v>184</v>
      </c>
      <c r="E416" s="1">
        <v>46066</v>
      </c>
      <c r="F416" t="s">
        <v>2113</v>
      </c>
      <c r="G416" t="s">
        <v>128</v>
      </c>
      <c r="H416" s="2">
        <v>0.29166666666666669</v>
      </c>
      <c r="I416" s="2">
        <v>0.8125</v>
      </c>
      <c r="J416" t="s">
        <v>486</v>
      </c>
      <c r="L416" t="s">
        <v>487</v>
      </c>
      <c r="M416" t="s">
        <v>1295</v>
      </c>
      <c r="N416" t="s">
        <v>2176</v>
      </c>
      <c r="O416">
        <v>5951197</v>
      </c>
      <c r="R416" t="s">
        <v>759</v>
      </c>
      <c r="S416" t="s">
        <v>119</v>
      </c>
      <c r="T416" t="s">
        <v>760</v>
      </c>
      <c r="U416" t="s">
        <v>2181</v>
      </c>
      <c r="V416" s="3">
        <v>46084.534722222219</v>
      </c>
      <c r="W416" t="s">
        <v>2177</v>
      </c>
      <c r="X416" t="s">
        <v>2178</v>
      </c>
      <c r="Y416" t="str">
        <f>"0414644229"</f>
        <v>0414644229</v>
      </c>
      <c r="Z416" t="s">
        <v>70</v>
      </c>
      <c r="AB416" t="s">
        <v>1278</v>
      </c>
      <c r="AD416" t="s">
        <v>61</v>
      </c>
      <c r="AE416" t="s">
        <v>1279</v>
      </c>
      <c r="AF416">
        <v>2145</v>
      </c>
      <c r="AI416" t="s">
        <v>59</v>
      </c>
      <c r="AM416" t="s">
        <v>2180</v>
      </c>
      <c r="AN416" s="3">
        <v>46084.534722222219</v>
      </c>
      <c r="AO416" t="s">
        <v>759</v>
      </c>
    </row>
    <row r="417" spans="1:41" x14ac:dyDescent="0.3">
      <c r="A417" t="s">
        <v>61</v>
      </c>
      <c r="B417" t="s">
        <v>507</v>
      </c>
      <c r="C417" t="s">
        <v>2182</v>
      </c>
      <c r="D417" t="s">
        <v>63</v>
      </c>
      <c r="E417" s="1">
        <v>46066</v>
      </c>
      <c r="F417" t="s">
        <v>2113</v>
      </c>
      <c r="G417" t="s">
        <v>45</v>
      </c>
      <c r="H417" s="2">
        <v>0.29166666666666669</v>
      </c>
      <c r="I417" s="2">
        <v>0.8125</v>
      </c>
      <c r="J417" t="s">
        <v>590</v>
      </c>
      <c r="L417" t="s">
        <v>487</v>
      </c>
      <c r="M417" t="s">
        <v>1463</v>
      </c>
      <c r="N417" t="s">
        <v>1464</v>
      </c>
      <c r="O417">
        <v>22756</v>
      </c>
      <c r="Q417" t="s">
        <v>1310</v>
      </c>
      <c r="R417" t="s">
        <v>132</v>
      </c>
      <c r="S417" t="s">
        <v>52</v>
      </c>
      <c r="U417">
        <v>890382</v>
      </c>
      <c r="V417" s="3">
        <v>46029.584027777775</v>
      </c>
      <c r="W417" t="s">
        <v>1466</v>
      </c>
      <c r="X417" t="s">
        <v>1467</v>
      </c>
      <c r="Y417" t="str">
        <f>"0416856891"</f>
        <v>0416856891</v>
      </c>
      <c r="Z417" t="s">
        <v>440</v>
      </c>
      <c r="AB417" t="s">
        <v>514</v>
      </c>
      <c r="AD417" t="s">
        <v>61</v>
      </c>
      <c r="AE417" t="s">
        <v>515</v>
      </c>
      <c r="AF417">
        <v>2086</v>
      </c>
      <c r="AG417" t="s">
        <v>516</v>
      </c>
      <c r="AI417" t="s">
        <v>59</v>
      </c>
      <c r="AL417" t="s">
        <v>2127</v>
      </c>
      <c r="AN417" s="3">
        <v>46066.834027777775</v>
      </c>
      <c r="AO417" t="s">
        <v>1466</v>
      </c>
    </row>
    <row r="418" spans="1:41" x14ac:dyDescent="0.3">
      <c r="A418" t="s">
        <v>61</v>
      </c>
      <c r="B418" t="s">
        <v>507</v>
      </c>
      <c r="C418" t="s">
        <v>2182</v>
      </c>
      <c r="D418" t="s">
        <v>63</v>
      </c>
      <c r="E418" s="1">
        <v>46066</v>
      </c>
      <c r="F418" t="s">
        <v>2113</v>
      </c>
      <c r="G418" t="s">
        <v>45</v>
      </c>
      <c r="H418" s="2">
        <v>0.29166666666666669</v>
      </c>
      <c r="I418" s="2">
        <v>0.84375</v>
      </c>
      <c r="J418" t="s">
        <v>590</v>
      </c>
      <c r="L418" t="s">
        <v>487</v>
      </c>
      <c r="M418" t="s">
        <v>1463</v>
      </c>
      <c r="N418" t="s">
        <v>1464</v>
      </c>
      <c r="O418">
        <v>22756</v>
      </c>
      <c r="Q418" t="s">
        <v>1310</v>
      </c>
      <c r="R418" t="s">
        <v>759</v>
      </c>
      <c r="S418" t="s">
        <v>119</v>
      </c>
      <c r="T418" t="s">
        <v>760</v>
      </c>
      <c r="U418" t="s">
        <v>2183</v>
      </c>
      <c r="V418" s="3">
        <v>46077.579861111109</v>
      </c>
      <c r="W418" t="s">
        <v>1466</v>
      </c>
      <c r="X418" t="s">
        <v>1467</v>
      </c>
      <c r="Y418" t="str">
        <f>"0416856891"</f>
        <v>0416856891</v>
      </c>
      <c r="Z418" t="s">
        <v>70</v>
      </c>
      <c r="AB418" t="s">
        <v>514</v>
      </c>
      <c r="AD418" t="s">
        <v>61</v>
      </c>
      <c r="AE418" t="s">
        <v>515</v>
      </c>
      <c r="AF418">
        <v>2086</v>
      </c>
      <c r="AG418" t="s">
        <v>1310</v>
      </c>
      <c r="AI418" t="s">
        <v>59</v>
      </c>
      <c r="AM418" t="s">
        <v>2184</v>
      </c>
      <c r="AN418" s="3">
        <v>46077.579861111109</v>
      </c>
      <c r="AO418" t="s">
        <v>759</v>
      </c>
    </row>
    <row r="419" spans="1:41" x14ac:dyDescent="0.3">
      <c r="A419" t="s">
        <v>61</v>
      </c>
      <c r="B419" t="s">
        <v>507</v>
      </c>
      <c r="C419" t="s">
        <v>2182</v>
      </c>
      <c r="D419" t="s">
        <v>63</v>
      </c>
      <c r="E419" s="1">
        <v>46066</v>
      </c>
      <c r="F419" t="s">
        <v>2113</v>
      </c>
      <c r="G419" t="s">
        <v>128</v>
      </c>
      <c r="H419" s="2">
        <v>0.29166666666666669</v>
      </c>
      <c r="I419" s="2">
        <v>0.84375</v>
      </c>
      <c r="J419" t="s">
        <v>590</v>
      </c>
      <c r="L419" t="s">
        <v>487</v>
      </c>
      <c r="M419" t="s">
        <v>1463</v>
      </c>
      <c r="N419" t="s">
        <v>1464</v>
      </c>
      <c r="O419">
        <v>22756</v>
      </c>
      <c r="Q419" t="s">
        <v>1310</v>
      </c>
      <c r="R419" t="s">
        <v>759</v>
      </c>
      <c r="S419" t="s">
        <v>119</v>
      </c>
      <c r="T419" t="s">
        <v>760</v>
      </c>
      <c r="U419" t="s">
        <v>2185</v>
      </c>
      <c r="V419" s="3">
        <v>46077.587500000001</v>
      </c>
      <c r="W419" t="s">
        <v>1466</v>
      </c>
      <c r="X419" t="s">
        <v>1467</v>
      </c>
      <c r="Y419" t="str">
        <f>"0416856891"</f>
        <v>0416856891</v>
      </c>
      <c r="Z419" t="s">
        <v>70</v>
      </c>
      <c r="AB419" t="s">
        <v>514</v>
      </c>
      <c r="AD419" t="s">
        <v>61</v>
      </c>
      <c r="AE419" t="s">
        <v>515</v>
      </c>
      <c r="AF419">
        <v>2086</v>
      </c>
      <c r="AG419" t="s">
        <v>1310</v>
      </c>
      <c r="AI419" t="s">
        <v>59</v>
      </c>
      <c r="AM419" t="s">
        <v>2184</v>
      </c>
      <c r="AN419" s="3">
        <v>46077.587500000001</v>
      </c>
      <c r="AO419" t="s">
        <v>759</v>
      </c>
    </row>
    <row r="420" spans="1:41" x14ac:dyDescent="0.3">
      <c r="A420" t="s">
        <v>168</v>
      </c>
      <c r="B420" t="s">
        <v>326</v>
      </c>
      <c r="C420" t="s">
        <v>43</v>
      </c>
      <c r="D420" t="s">
        <v>127</v>
      </c>
      <c r="E420" s="1">
        <v>46066</v>
      </c>
      <c r="F420" t="s">
        <v>2113</v>
      </c>
      <c r="G420" t="s">
        <v>45</v>
      </c>
      <c r="H420" s="2">
        <v>0.29166666666666669</v>
      </c>
      <c r="I420" s="2">
        <v>0.54166666666666663</v>
      </c>
      <c r="J420" t="s">
        <v>185</v>
      </c>
      <c r="K420" t="s">
        <v>327</v>
      </c>
      <c r="L420" t="s">
        <v>186</v>
      </c>
      <c r="M420" t="s">
        <v>1927</v>
      </c>
      <c r="N420" t="s">
        <v>1928</v>
      </c>
      <c r="O420">
        <v>5951825</v>
      </c>
      <c r="Q420" t="s">
        <v>676</v>
      </c>
      <c r="R420" t="s">
        <v>176</v>
      </c>
      <c r="S420" t="s">
        <v>52</v>
      </c>
      <c r="U420">
        <v>890311</v>
      </c>
      <c r="V420" s="3">
        <v>46044.368750000001</v>
      </c>
      <c r="W420" t="s">
        <v>1929</v>
      </c>
      <c r="X420" t="s">
        <v>1930</v>
      </c>
      <c r="Y420" t="str">
        <f>"0439336812"</f>
        <v>0439336812</v>
      </c>
      <c r="Z420" t="s">
        <v>1917</v>
      </c>
      <c r="AB420" t="s">
        <v>333</v>
      </c>
      <c r="AD420" t="s">
        <v>168</v>
      </c>
      <c r="AE420" t="s">
        <v>334</v>
      </c>
      <c r="AF420">
        <v>5034</v>
      </c>
      <c r="AG420" t="s">
        <v>676</v>
      </c>
      <c r="AI420" t="s">
        <v>59</v>
      </c>
      <c r="AL420" t="s">
        <v>87</v>
      </c>
      <c r="AN420" s="3">
        <v>46066.537499999999</v>
      </c>
      <c r="AO420" t="s">
        <v>1929</v>
      </c>
    </row>
    <row r="421" spans="1:41" x14ac:dyDescent="0.3">
      <c r="A421" t="s">
        <v>306</v>
      </c>
      <c r="B421" t="s">
        <v>528</v>
      </c>
      <c r="C421" t="s">
        <v>1523</v>
      </c>
      <c r="D421" t="s">
        <v>63</v>
      </c>
      <c r="E421" s="1">
        <v>46066</v>
      </c>
      <c r="F421" t="s">
        <v>2113</v>
      </c>
      <c r="G421" t="s">
        <v>45</v>
      </c>
      <c r="H421" s="2">
        <v>0.29166666666666669</v>
      </c>
      <c r="I421" s="2">
        <v>0.60416666666666663</v>
      </c>
      <c r="J421" t="s">
        <v>296</v>
      </c>
      <c r="L421" t="s">
        <v>1753</v>
      </c>
      <c r="M421" t="s">
        <v>1754</v>
      </c>
      <c r="N421" t="s">
        <v>1755</v>
      </c>
      <c r="O421">
        <v>20486</v>
      </c>
      <c r="Q421" t="s">
        <v>2186</v>
      </c>
      <c r="R421" t="s">
        <v>314</v>
      </c>
      <c r="S421" t="s">
        <v>119</v>
      </c>
      <c r="T421" t="s">
        <v>414</v>
      </c>
      <c r="U421">
        <v>890637</v>
      </c>
      <c r="V421" s="3">
        <v>46066.224999999999</v>
      </c>
      <c r="W421" t="s">
        <v>1757</v>
      </c>
      <c r="X421" t="s">
        <v>1758</v>
      </c>
      <c r="Y421" t="str">
        <f>"0432381966"</f>
        <v>0432381966</v>
      </c>
      <c r="Z421" t="s">
        <v>70</v>
      </c>
      <c r="AA421" s="1">
        <v>46066</v>
      </c>
      <c r="AB421" t="s">
        <v>537</v>
      </c>
      <c r="AD421" t="s">
        <v>306</v>
      </c>
      <c r="AE421" t="s">
        <v>538</v>
      </c>
      <c r="AF421">
        <v>3152</v>
      </c>
      <c r="AG421" t="s">
        <v>2187</v>
      </c>
      <c r="AI421" t="s">
        <v>59</v>
      </c>
      <c r="AL421" t="s">
        <v>214</v>
      </c>
      <c r="AN421" s="3">
        <v>46066.245138888888</v>
      </c>
      <c r="AO421" t="s">
        <v>314</v>
      </c>
    </row>
    <row r="422" spans="1:41" x14ac:dyDescent="0.3">
      <c r="A422" t="s">
        <v>168</v>
      </c>
      <c r="B422" t="s">
        <v>376</v>
      </c>
      <c r="C422" t="s">
        <v>216</v>
      </c>
      <c r="D422" t="s">
        <v>1386</v>
      </c>
      <c r="E422" s="1">
        <v>46066</v>
      </c>
      <c r="F422" t="s">
        <v>2113</v>
      </c>
      <c r="G422" t="s">
        <v>45</v>
      </c>
      <c r="H422" s="2">
        <v>0.29166666666666669</v>
      </c>
      <c r="I422" s="2">
        <v>0.625</v>
      </c>
      <c r="J422" t="s">
        <v>101</v>
      </c>
      <c r="L422" t="s">
        <v>159</v>
      </c>
      <c r="M422" t="s">
        <v>217</v>
      </c>
      <c r="N422" t="s">
        <v>218</v>
      </c>
      <c r="O422">
        <v>32</v>
      </c>
      <c r="Q422" t="s">
        <v>2188</v>
      </c>
      <c r="R422" t="s">
        <v>1390</v>
      </c>
      <c r="S422" t="s">
        <v>52</v>
      </c>
      <c r="U422">
        <v>890304</v>
      </c>
      <c r="V422" s="3">
        <v>46064.918055555558</v>
      </c>
      <c r="W422" t="s">
        <v>220</v>
      </c>
      <c r="X422" t="s">
        <v>221</v>
      </c>
      <c r="Y422" t="str">
        <f>"0426797353"</f>
        <v>0426797353</v>
      </c>
      <c r="Z422" t="s">
        <v>70</v>
      </c>
      <c r="AA422" s="1">
        <v>46066</v>
      </c>
      <c r="AB422" t="s">
        <v>383</v>
      </c>
      <c r="AD422" t="s">
        <v>168</v>
      </c>
      <c r="AE422" t="s">
        <v>384</v>
      </c>
      <c r="AF422">
        <v>5000</v>
      </c>
      <c r="AI422" t="s">
        <v>59</v>
      </c>
      <c r="AL422" t="s">
        <v>2189</v>
      </c>
      <c r="AM422" t="s">
        <v>2190</v>
      </c>
      <c r="AN422" s="3">
        <v>46066.486111111109</v>
      </c>
      <c r="AO422" t="s">
        <v>220</v>
      </c>
    </row>
    <row r="423" spans="1:41" x14ac:dyDescent="0.3">
      <c r="A423" t="s">
        <v>61</v>
      </c>
      <c r="B423" t="s">
        <v>1271</v>
      </c>
      <c r="C423" t="s">
        <v>1272</v>
      </c>
      <c r="D423" t="s">
        <v>184</v>
      </c>
      <c r="E423" s="1">
        <v>46066</v>
      </c>
      <c r="F423" t="s">
        <v>2113</v>
      </c>
      <c r="G423" t="s">
        <v>45</v>
      </c>
      <c r="H423" s="2">
        <v>0.29166666666666669</v>
      </c>
      <c r="I423" s="2">
        <v>0.64583333333333337</v>
      </c>
      <c r="J423" t="s">
        <v>486</v>
      </c>
      <c r="L423" t="s">
        <v>487</v>
      </c>
      <c r="M423" t="s">
        <v>1490</v>
      </c>
      <c r="N423" t="s">
        <v>1491</v>
      </c>
      <c r="O423">
        <v>21218</v>
      </c>
      <c r="Q423" t="s">
        <v>1190</v>
      </c>
      <c r="R423" t="s">
        <v>132</v>
      </c>
      <c r="S423" t="s">
        <v>52</v>
      </c>
      <c r="U423">
        <v>890337</v>
      </c>
      <c r="V423" s="3">
        <v>46057.565972222219</v>
      </c>
      <c r="W423" t="s">
        <v>1493</v>
      </c>
      <c r="X423" t="s">
        <v>1494</v>
      </c>
      <c r="Y423" t="str">
        <f>"0401746606"</f>
        <v>0401746606</v>
      </c>
      <c r="Z423" t="s">
        <v>2191</v>
      </c>
      <c r="AB423" t="s">
        <v>1278</v>
      </c>
      <c r="AD423" t="s">
        <v>61</v>
      </c>
      <c r="AE423" t="s">
        <v>1279</v>
      </c>
      <c r="AF423">
        <v>2145</v>
      </c>
      <c r="AG423" t="s">
        <v>1045</v>
      </c>
      <c r="AI423" t="s">
        <v>59</v>
      </c>
      <c r="AL423" t="s">
        <v>2127</v>
      </c>
      <c r="AN423" s="3">
        <v>46066.616666666669</v>
      </c>
      <c r="AO423" t="s">
        <v>1493</v>
      </c>
    </row>
    <row r="424" spans="1:41" x14ac:dyDescent="0.3">
      <c r="A424" t="s">
        <v>168</v>
      </c>
      <c r="B424" t="s">
        <v>409</v>
      </c>
      <c r="C424" t="s">
        <v>43</v>
      </c>
      <c r="D424" t="s">
        <v>309</v>
      </c>
      <c r="E424" s="1">
        <v>46066</v>
      </c>
      <c r="F424" t="s">
        <v>2113</v>
      </c>
      <c r="G424" t="s">
        <v>45</v>
      </c>
      <c r="H424" s="2">
        <v>0.29166666666666669</v>
      </c>
      <c r="I424" s="2">
        <v>0.625</v>
      </c>
      <c r="J424" t="s">
        <v>1728</v>
      </c>
      <c r="K424" t="s">
        <v>1022</v>
      </c>
      <c r="L424" t="s">
        <v>159</v>
      </c>
      <c r="M424" t="s">
        <v>228</v>
      </c>
      <c r="N424" t="s">
        <v>229</v>
      </c>
      <c r="O424">
        <v>21017</v>
      </c>
      <c r="Q424" t="s">
        <v>413</v>
      </c>
      <c r="R424" t="s">
        <v>1248</v>
      </c>
      <c r="S424" t="s">
        <v>119</v>
      </c>
      <c r="U424">
        <v>890484</v>
      </c>
      <c r="V424" s="3">
        <v>46062.832638888889</v>
      </c>
      <c r="W424" t="s">
        <v>232</v>
      </c>
      <c r="X424" t="s">
        <v>233</v>
      </c>
      <c r="Y424" t="str">
        <f>"0409900497"</f>
        <v>0409900497</v>
      </c>
      <c r="Z424" t="s">
        <v>70</v>
      </c>
      <c r="AB424" t="s">
        <v>417</v>
      </c>
      <c r="AD424" t="s">
        <v>168</v>
      </c>
      <c r="AE424" t="s">
        <v>384</v>
      </c>
      <c r="AF424">
        <v>5000</v>
      </c>
      <c r="AI424" t="s">
        <v>59</v>
      </c>
      <c r="AL424" t="s">
        <v>2192</v>
      </c>
      <c r="AM424" t="s">
        <v>2192</v>
      </c>
      <c r="AN424" s="3">
        <v>46066.576388888891</v>
      </c>
      <c r="AO424" t="s">
        <v>231</v>
      </c>
    </row>
    <row r="425" spans="1:41" x14ac:dyDescent="0.3">
      <c r="A425" t="s">
        <v>41</v>
      </c>
      <c r="B425" t="s">
        <v>426</v>
      </c>
      <c r="C425" t="s">
        <v>43</v>
      </c>
      <c r="D425" t="s">
        <v>246</v>
      </c>
      <c r="E425" s="1">
        <v>46066</v>
      </c>
      <c r="F425" t="s">
        <v>2113</v>
      </c>
      <c r="G425" t="s">
        <v>45</v>
      </c>
      <c r="H425" s="2">
        <v>0.29166666666666669</v>
      </c>
      <c r="I425" s="2">
        <v>0.64583333333333337</v>
      </c>
      <c r="J425" t="s">
        <v>296</v>
      </c>
      <c r="K425" t="s">
        <v>2193</v>
      </c>
      <c r="L425" t="s">
        <v>298</v>
      </c>
      <c r="M425" t="s">
        <v>1401</v>
      </c>
      <c r="N425" t="s">
        <v>1402</v>
      </c>
      <c r="O425">
        <v>5952070</v>
      </c>
      <c r="Q425" t="s">
        <v>2194</v>
      </c>
      <c r="R425" t="s">
        <v>51</v>
      </c>
      <c r="S425" t="s">
        <v>52</v>
      </c>
      <c r="U425">
        <v>890349</v>
      </c>
      <c r="V425" s="3">
        <v>46030.359027777777</v>
      </c>
      <c r="W425" t="s">
        <v>1404</v>
      </c>
      <c r="X425" t="s">
        <v>1405</v>
      </c>
      <c r="Y425" t="str">
        <f>"0474506417"</f>
        <v>0474506417</v>
      </c>
      <c r="Z425" t="s">
        <v>782</v>
      </c>
      <c r="AA425" s="1">
        <v>46066</v>
      </c>
      <c r="AB425" t="s">
        <v>434</v>
      </c>
      <c r="AD425" t="s">
        <v>41</v>
      </c>
      <c r="AE425" t="s">
        <v>435</v>
      </c>
      <c r="AF425">
        <v>4163</v>
      </c>
      <c r="AG425" t="s">
        <v>2195</v>
      </c>
      <c r="AI425" t="s">
        <v>59</v>
      </c>
      <c r="AL425" t="s">
        <v>249</v>
      </c>
      <c r="AN425" s="3">
        <v>46066.681944444441</v>
      </c>
      <c r="AO425" t="s">
        <v>1404</v>
      </c>
    </row>
    <row r="426" spans="1:41" x14ac:dyDescent="0.3">
      <c r="A426" t="s">
        <v>306</v>
      </c>
      <c r="B426" t="s">
        <v>1060</v>
      </c>
      <c r="C426" t="s">
        <v>2196</v>
      </c>
      <c r="D426" t="s">
        <v>184</v>
      </c>
      <c r="E426" s="1">
        <v>46066</v>
      </c>
      <c r="F426" t="s">
        <v>2113</v>
      </c>
      <c r="G426" t="s">
        <v>45</v>
      </c>
      <c r="H426" s="2">
        <v>0.29166666666666669</v>
      </c>
      <c r="I426" s="2">
        <v>0.625</v>
      </c>
      <c r="J426" t="s">
        <v>1314</v>
      </c>
      <c r="L426" t="s">
        <v>1260</v>
      </c>
      <c r="M426" t="s">
        <v>239</v>
      </c>
      <c r="N426" t="s">
        <v>1261</v>
      </c>
      <c r="O426">
        <v>5952100</v>
      </c>
      <c r="Q426" t="s">
        <v>2197</v>
      </c>
      <c r="R426" t="s">
        <v>1248</v>
      </c>
      <c r="S426" t="s">
        <v>119</v>
      </c>
      <c r="T426" t="s">
        <v>414</v>
      </c>
      <c r="U426">
        <v>890707</v>
      </c>
      <c r="V426" s="3">
        <v>46065.947916666664</v>
      </c>
      <c r="W426" t="s">
        <v>1262</v>
      </c>
      <c r="X426" t="s">
        <v>1263</v>
      </c>
      <c r="Y426" t="str">
        <f>"0420517034"</f>
        <v>0420517034</v>
      </c>
      <c r="Z426" t="s">
        <v>70</v>
      </c>
      <c r="AB426" t="s">
        <v>1066</v>
      </c>
      <c r="AD426" t="s">
        <v>306</v>
      </c>
      <c r="AE426" t="s">
        <v>1067</v>
      </c>
      <c r="AF426">
        <v>3084</v>
      </c>
      <c r="AI426" t="s">
        <v>59</v>
      </c>
      <c r="AL426" t="s">
        <v>1068</v>
      </c>
      <c r="AM426" t="s">
        <v>2198</v>
      </c>
      <c r="AN426" s="3">
        <v>46066.206944444442</v>
      </c>
      <c r="AO426" t="s">
        <v>314</v>
      </c>
    </row>
    <row r="427" spans="1:41" x14ac:dyDescent="0.3">
      <c r="A427" t="s">
        <v>41</v>
      </c>
      <c r="B427" t="s">
        <v>244</v>
      </c>
      <c r="C427" t="s">
        <v>245</v>
      </c>
      <c r="D427" t="s">
        <v>246</v>
      </c>
      <c r="E427" s="1">
        <v>46066</v>
      </c>
      <c r="F427" t="s">
        <v>2113</v>
      </c>
      <c r="G427" t="s">
        <v>45</v>
      </c>
      <c r="H427" s="2">
        <v>0.29166666666666669</v>
      </c>
      <c r="I427" s="2">
        <v>0.64583333333333337</v>
      </c>
      <c r="J427" t="s">
        <v>100</v>
      </c>
      <c r="L427" t="s">
        <v>100</v>
      </c>
      <c r="M427" t="s">
        <v>247</v>
      </c>
      <c r="N427" t="s">
        <v>248</v>
      </c>
      <c r="O427">
        <v>20770</v>
      </c>
      <c r="P427" t="s">
        <v>249</v>
      </c>
      <c r="Q427" t="s">
        <v>250</v>
      </c>
      <c r="R427" t="s">
        <v>251</v>
      </c>
      <c r="S427" t="s">
        <v>52</v>
      </c>
      <c r="T427" t="s">
        <v>252</v>
      </c>
      <c r="U427">
        <v>890625</v>
      </c>
      <c r="V427" s="3">
        <v>46069.495138888888</v>
      </c>
      <c r="W427" t="s">
        <v>251</v>
      </c>
      <c r="X427" t="s">
        <v>253</v>
      </c>
      <c r="Y427" t="str">
        <f>"0429586658"</f>
        <v>0429586658</v>
      </c>
      <c r="Z427" t="s">
        <v>290</v>
      </c>
      <c r="AA427" s="1">
        <v>46068</v>
      </c>
      <c r="AB427" t="s">
        <v>255</v>
      </c>
      <c r="AD427" t="s">
        <v>41</v>
      </c>
      <c r="AE427" t="s">
        <v>256</v>
      </c>
      <c r="AF427">
        <v>4655</v>
      </c>
      <c r="AG427" t="s">
        <v>257</v>
      </c>
      <c r="AI427" t="s">
        <v>59</v>
      </c>
      <c r="AJ427" t="str">
        <f>"0050076900"</f>
        <v>0050076900</v>
      </c>
      <c r="AN427" s="3">
        <v>46069.495138888888</v>
      </c>
      <c r="AO427" t="s">
        <v>251</v>
      </c>
    </row>
    <row r="428" spans="1:41" x14ac:dyDescent="0.3">
      <c r="A428" t="s">
        <v>168</v>
      </c>
      <c r="B428" t="s">
        <v>282</v>
      </c>
      <c r="C428" t="s">
        <v>43</v>
      </c>
      <c r="D428" t="s">
        <v>283</v>
      </c>
      <c r="E428" s="1">
        <v>46066</v>
      </c>
      <c r="F428" t="s">
        <v>2113</v>
      </c>
      <c r="G428" t="s">
        <v>45</v>
      </c>
      <c r="H428" s="2">
        <v>0.3125</v>
      </c>
      <c r="I428" s="2">
        <v>0.75</v>
      </c>
      <c r="J428" t="s">
        <v>185</v>
      </c>
      <c r="K428" t="s">
        <v>284</v>
      </c>
      <c r="L428" t="s">
        <v>790</v>
      </c>
      <c r="M428" t="s">
        <v>2199</v>
      </c>
      <c r="N428" t="s">
        <v>2200</v>
      </c>
      <c r="O428">
        <v>5952171</v>
      </c>
      <c r="Q428" t="s">
        <v>287</v>
      </c>
      <c r="R428" t="s">
        <v>231</v>
      </c>
      <c r="S428" t="s">
        <v>52</v>
      </c>
      <c r="U428">
        <v>890365</v>
      </c>
      <c r="V428" s="3">
        <v>46064.555555555555</v>
      </c>
      <c r="W428" t="s">
        <v>2201</v>
      </c>
      <c r="X428" t="s">
        <v>2202</v>
      </c>
      <c r="Y428" t="str">
        <f>"0430077632"</f>
        <v>0430077632</v>
      </c>
      <c r="Z428" t="s">
        <v>375</v>
      </c>
      <c r="AA428" s="1">
        <v>46066</v>
      </c>
      <c r="AB428" t="s">
        <v>291</v>
      </c>
      <c r="AC428" t="s">
        <v>292</v>
      </c>
      <c r="AD428" t="s">
        <v>168</v>
      </c>
      <c r="AE428" t="s">
        <v>293</v>
      </c>
      <c r="AF428">
        <v>5037</v>
      </c>
      <c r="AG428" t="s">
        <v>294</v>
      </c>
      <c r="AI428" t="s">
        <v>59</v>
      </c>
      <c r="AL428" t="s">
        <v>2203</v>
      </c>
      <c r="AN428" s="3">
        <v>46066.765277777777</v>
      </c>
      <c r="AO428" t="s">
        <v>2201</v>
      </c>
    </row>
    <row r="429" spans="1:41" x14ac:dyDescent="0.3">
      <c r="A429" t="s">
        <v>75</v>
      </c>
      <c r="B429" t="s">
        <v>895</v>
      </c>
      <c r="C429" t="s">
        <v>896</v>
      </c>
      <c r="D429" t="s">
        <v>184</v>
      </c>
      <c r="E429" s="1">
        <v>46066</v>
      </c>
      <c r="F429" t="s">
        <v>2113</v>
      </c>
      <c r="G429" t="s">
        <v>45</v>
      </c>
      <c r="H429" s="2">
        <v>0.3125</v>
      </c>
      <c r="I429" s="2">
        <v>0.75</v>
      </c>
      <c r="J429" t="s">
        <v>101</v>
      </c>
      <c r="L429" t="s">
        <v>967</v>
      </c>
      <c r="M429" t="s">
        <v>2204</v>
      </c>
      <c r="N429" t="s">
        <v>2205</v>
      </c>
      <c r="O429">
        <v>22870</v>
      </c>
      <c r="Q429" t="s">
        <v>2206</v>
      </c>
      <c r="R429" t="s">
        <v>926</v>
      </c>
      <c r="S429" t="s">
        <v>52</v>
      </c>
      <c r="U429">
        <v>890387</v>
      </c>
      <c r="V429" s="3">
        <v>46063.613194444442</v>
      </c>
      <c r="W429" t="s">
        <v>2207</v>
      </c>
      <c r="X429" t="s">
        <v>2208</v>
      </c>
      <c r="Y429" t="str">
        <f>"0417473969"</f>
        <v>0417473969</v>
      </c>
      <c r="Z429" t="s">
        <v>70</v>
      </c>
      <c r="AA429" s="1">
        <v>46066</v>
      </c>
      <c r="AB429" t="s">
        <v>902</v>
      </c>
      <c r="AD429" t="s">
        <v>75</v>
      </c>
      <c r="AE429" t="s">
        <v>903</v>
      </c>
      <c r="AF429">
        <v>6009</v>
      </c>
      <c r="AG429" t="s">
        <v>2206</v>
      </c>
      <c r="AI429" t="s">
        <v>59</v>
      </c>
      <c r="AL429" t="s">
        <v>2209</v>
      </c>
      <c r="AN429" s="3">
        <v>46066.865277777775</v>
      </c>
      <c r="AO429" t="s">
        <v>2207</v>
      </c>
    </row>
    <row r="430" spans="1:41" x14ac:dyDescent="0.3">
      <c r="A430" t="s">
        <v>75</v>
      </c>
      <c r="B430" t="s">
        <v>2210</v>
      </c>
      <c r="C430" t="s">
        <v>2211</v>
      </c>
      <c r="D430" t="s">
        <v>2212</v>
      </c>
      <c r="E430" s="1">
        <v>46066</v>
      </c>
      <c r="F430" t="s">
        <v>2113</v>
      </c>
      <c r="G430" t="s">
        <v>45</v>
      </c>
      <c r="H430" s="2">
        <v>0.3125</v>
      </c>
      <c r="I430" s="2">
        <v>0.72916666666666663</v>
      </c>
      <c r="J430" t="s">
        <v>101</v>
      </c>
      <c r="L430" t="s">
        <v>159</v>
      </c>
      <c r="M430" t="s">
        <v>1051</v>
      </c>
      <c r="N430" t="s">
        <v>2213</v>
      </c>
      <c r="O430">
        <v>22543</v>
      </c>
      <c r="Q430" t="s">
        <v>2214</v>
      </c>
      <c r="R430" t="s">
        <v>926</v>
      </c>
      <c r="S430" t="s">
        <v>52</v>
      </c>
      <c r="U430">
        <v>890384</v>
      </c>
      <c r="V430" s="3">
        <v>46057.637499999997</v>
      </c>
      <c r="W430" t="s">
        <v>2215</v>
      </c>
      <c r="X430" t="s">
        <v>2216</v>
      </c>
      <c r="Y430" t="str">
        <f>"0433875003"</f>
        <v>0433875003</v>
      </c>
      <c r="Z430" t="s">
        <v>55</v>
      </c>
      <c r="AB430" t="s">
        <v>2217</v>
      </c>
      <c r="AD430" t="s">
        <v>75</v>
      </c>
      <c r="AE430" t="s">
        <v>903</v>
      </c>
      <c r="AF430">
        <v>6009</v>
      </c>
      <c r="AG430" t="s">
        <v>2214</v>
      </c>
      <c r="AI430" t="s">
        <v>59</v>
      </c>
      <c r="AL430" t="s">
        <v>2218</v>
      </c>
      <c r="AN430" s="3">
        <v>46066.837500000001</v>
      </c>
      <c r="AO430" t="s">
        <v>2215</v>
      </c>
    </row>
    <row r="431" spans="1:41" x14ac:dyDescent="0.3">
      <c r="A431" t="s">
        <v>168</v>
      </c>
      <c r="B431" t="s">
        <v>282</v>
      </c>
      <c r="C431" t="s">
        <v>216</v>
      </c>
      <c r="D431" t="s">
        <v>283</v>
      </c>
      <c r="E431" s="1">
        <v>46066</v>
      </c>
      <c r="F431" t="s">
        <v>2113</v>
      </c>
      <c r="G431" t="s">
        <v>45</v>
      </c>
      <c r="H431" s="2">
        <v>0.3125</v>
      </c>
      <c r="I431" s="2">
        <v>0.52083333333333337</v>
      </c>
      <c r="J431" t="s">
        <v>101</v>
      </c>
      <c r="L431" t="s">
        <v>743</v>
      </c>
      <c r="M431" t="s">
        <v>1886</v>
      </c>
      <c r="N431" t="s">
        <v>1887</v>
      </c>
      <c r="O431">
        <v>5952367</v>
      </c>
      <c r="Q431" t="s">
        <v>287</v>
      </c>
      <c r="R431" t="s">
        <v>231</v>
      </c>
      <c r="S431" t="s">
        <v>52</v>
      </c>
      <c r="U431">
        <v>890313</v>
      </c>
      <c r="V431" s="3">
        <v>46064.659722222219</v>
      </c>
      <c r="W431" t="s">
        <v>1888</v>
      </c>
      <c r="X431" t="s">
        <v>1889</v>
      </c>
      <c r="Y431" t="str">
        <f>"0468596772"</f>
        <v>0468596772</v>
      </c>
      <c r="Z431" t="s">
        <v>123</v>
      </c>
      <c r="AA431" s="1">
        <v>46066</v>
      </c>
      <c r="AB431" t="s">
        <v>291</v>
      </c>
      <c r="AC431" t="s">
        <v>292</v>
      </c>
      <c r="AD431" t="s">
        <v>168</v>
      </c>
      <c r="AE431" t="s">
        <v>293</v>
      </c>
      <c r="AF431">
        <v>5037</v>
      </c>
      <c r="AG431" t="s">
        <v>287</v>
      </c>
      <c r="AI431" t="s">
        <v>59</v>
      </c>
      <c r="AL431" t="s">
        <v>2219</v>
      </c>
      <c r="AN431" s="3">
        <v>46066.543055555558</v>
      </c>
      <c r="AO431" t="s">
        <v>1888</v>
      </c>
    </row>
    <row r="432" spans="1:41" x14ac:dyDescent="0.3">
      <c r="A432" t="s">
        <v>75</v>
      </c>
      <c r="B432" t="s">
        <v>2220</v>
      </c>
      <c r="C432" t="s">
        <v>43</v>
      </c>
      <c r="D432" t="s">
        <v>2221</v>
      </c>
      <c r="E432" s="1">
        <v>46066</v>
      </c>
      <c r="F432" t="s">
        <v>2113</v>
      </c>
      <c r="G432" t="s">
        <v>45</v>
      </c>
      <c r="H432" s="2">
        <v>0.3125</v>
      </c>
      <c r="I432" s="2">
        <v>0.72916666666666663</v>
      </c>
      <c r="J432" t="s">
        <v>46</v>
      </c>
      <c r="K432" t="s">
        <v>77</v>
      </c>
      <c r="L432" t="s">
        <v>47</v>
      </c>
      <c r="M432" t="s">
        <v>239</v>
      </c>
      <c r="N432" t="s">
        <v>961</v>
      </c>
      <c r="O432">
        <v>5952223</v>
      </c>
      <c r="Q432" t="s">
        <v>2222</v>
      </c>
      <c r="R432" t="s">
        <v>81</v>
      </c>
      <c r="S432" t="s">
        <v>52</v>
      </c>
      <c r="U432">
        <v>890379</v>
      </c>
      <c r="V432" s="3">
        <v>46063.448611111111</v>
      </c>
      <c r="W432" t="s">
        <v>2223</v>
      </c>
      <c r="X432" t="s">
        <v>2224</v>
      </c>
      <c r="Y432" t="str">
        <f>"0460932692"</f>
        <v>0460932692</v>
      </c>
      <c r="Z432" t="s">
        <v>70</v>
      </c>
      <c r="AA432" s="1">
        <v>46066</v>
      </c>
      <c r="AB432" t="s">
        <v>2225</v>
      </c>
      <c r="AC432" t="s">
        <v>2226</v>
      </c>
      <c r="AD432" t="s">
        <v>75</v>
      </c>
      <c r="AE432" t="s">
        <v>903</v>
      </c>
      <c r="AF432">
        <v>6009</v>
      </c>
      <c r="AG432" t="s">
        <v>2222</v>
      </c>
      <c r="AI432" t="s">
        <v>59</v>
      </c>
      <c r="AL432" t="s">
        <v>87</v>
      </c>
      <c r="AN432" s="3">
        <v>46066.821527777778</v>
      </c>
      <c r="AO432" t="s">
        <v>2223</v>
      </c>
    </row>
    <row r="433" spans="1:41" x14ac:dyDescent="0.3">
      <c r="A433" t="s">
        <v>75</v>
      </c>
      <c r="B433" t="s">
        <v>76</v>
      </c>
      <c r="C433" t="s">
        <v>43</v>
      </c>
      <c r="D433" t="s">
        <v>63</v>
      </c>
      <c r="E433" s="1">
        <v>46066</v>
      </c>
      <c r="F433" t="s">
        <v>2113</v>
      </c>
      <c r="G433" t="s">
        <v>45</v>
      </c>
      <c r="H433" s="2">
        <v>0.3125</v>
      </c>
      <c r="I433" s="2">
        <v>0.75</v>
      </c>
      <c r="J433" t="s">
        <v>46</v>
      </c>
      <c r="K433" t="s">
        <v>77</v>
      </c>
      <c r="L433" t="s">
        <v>47</v>
      </c>
      <c r="M433" t="s">
        <v>924</v>
      </c>
      <c r="N433" t="s">
        <v>925</v>
      </c>
      <c r="O433">
        <v>5951405</v>
      </c>
      <c r="Q433" t="s">
        <v>80</v>
      </c>
      <c r="R433" t="s">
        <v>81</v>
      </c>
      <c r="S433" t="s">
        <v>52</v>
      </c>
      <c r="U433">
        <v>890389</v>
      </c>
      <c r="V433" s="3">
        <v>46041.557638888888</v>
      </c>
      <c r="W433" t="s">
        <v>927</v>
      </c>
      <c r="X433" t="s">
        <v>928</v>
      </c>
      <c r="Y433" t="str">
        <f>"0406099115"</f>
        <v>0406099115</v>
      </c>
      <c r="Z433" t="s">
        <v>395</v>
      </c>
      <c r="AB433" t="s">
        <v>85</v>
      </c>
      <c r="AD433" t="s">
        <v>75</v>
      </c>
      <c r="AE433" t="s">
        <v>86</v>
      </c>
      <c r="AF433">
        <v>6000</v>
      </c>
      <c r="AG433" t="s">
        <v>80</v>
      </c>
      <c r="AI433" t="s">
        <v>59</v>
      </c>
      <c r="AL433" t="s">
        <v>87</v>
      </c>
      <c r="AN433" s="3">
        <v>46066.868055555555</v>
      </c>
      <c r="AO433" t="s">
        <v>927</v>
      </c>
    </row>
    <row r="434" spans="1:41" x14ac:dyDescent="0.3">
      <c r="A434" t="s">
        <v>41</v>
      </c>
      <c r="B434" t="s">
        <v>426</v>
      </c>
      <c r="C434" t="s">
        <v>43</v>
      </c>
      <c r="D434" t="s">
        <v>246</v>
      </c>
      <c r="E434" s="1">
        <v>46066</v>
      </c>
      <c r="F434" t="s">
        <v>2113</v>
      </c>
      <c r="G434" t="s">
        <v>45</v>
      </c>
      <c r="H434" s="2">
        <v>0.32291666666666669</v>
      </c>
      <c r="I434" s="2">
        <v>0.71875</v>
      </c>
      <c r="J434" t="s">
        <v>185</v>
      </c>
      <c r="K434" t="s">
        <v>427</v>
      </c>
      <c r="L434" t="s">
        <v>815</v>
      </c>
      <c r="M434" t="s">
        <v>816</v>
      </c>
      <c r="N434" t="s">
        <v>817</v>
      </c>
      <c r="O434">
        <v>22501</v>
      </c>
      <c r="Q434" t="s">
        <v>249</v>
      </c>
      <c r="R434" t="s">
        <v>51</v>
      </c>
      <c r="S434" t="s">
        <v>52</v>
      </c>
      <c r="U434">
        <v>890364</v>
      </c>
      <c r="V434" s="3">
        <v>46059.572916666664</v>
      </c>
      <c r="W434" t="s">
        <v>818</v>
      </c>
      <c r="X434" t="s">
        <v>819</v>
      </c>
      <c r="Y434" t="str">
        <f>"0432588228"</f>
        <v>0432588228</v>
      </c>
      <c r="Z434" t="s">
        <v>832</v>
      </c>
      <c r="AB434" t="s">
        <v>434</v>
      </c>
      <c r="AD434" t="s">
        <v>41</v>
      </c>
      <c r="AE434" t="s">
        <v>435</v>
      </c>
      <c r="AF434">
        <v>4163</v>
      </c>
      <c r="AG434" t="s">
        <v>249</v>
      </c>
      <c r="AI434" t="s">
        <v>59</v>
      </c>
      <c r="AL434" t="s">
        <v>249</v>
      </c>
      <c r="AN434" s="3">
        <v>46066.761111111111</v>
      </c>
      <c r="AO434" t="s">
        <v>818</v>
      </c>
    </row>
    <row r="435" spans="1:41" x14ac:dyDescent="0.3">
      <c r="A435" t="s">
        <v>306</v>
      </c>
      <c r="B435" t="s">
        <v>820</v>
      </c>
      <c r="C435" t="s">
        <v>100</v>
      </c>
      <c r="D435" t="s">
        <v>127</v>
      </c>
      <c r="E435" s="1">
        <v>46066</v>
      </c>
      <c r="F435" t="s">
        <v>2113</v>
      </c>
      <c r="G435" t="s">
        <v>45</v>
      </c>
      <c r="H435" s="2">
        <v>0.33333333333333331</v>
      </c>
      <c r="I435" s="2">
        <v>0.66666666666666663</v>
      </c>
      <c r="J435" t="s">
        <v>451</v>
      </c>
      <c r="L435" t="s">
        <v>452</v>
      </c>
      <c r="M435" t="s">
        <v>821</v>
      </c>
      <c r="N435" t="s">
        <v>822</v>
      </c>
      <c r="O435">
        <v>20712</v>
      </c>
      <c r="Q435" t="s">
        <v>823</v>
      </c>
      <c r="R435" t="s">
        <v>1248</v>
      </c>
      <c r="S435" t="s">
        <v>52</v>
      </c>
      <c r="U435">
        <v>890342</v>
      </c>
      <c r="V435" s="3">
        <v>46058.956250000003</v>
      </c>
      <c r="W435" t="s">
        <v>824</v>
      </c>
      <c r="X435" t="s">
        <v>825</v>
      </c>
      <c r="Y435" t="str">
        <f>"0439419256"</f>
        <v>0439419256</v>
      </c>
      <c r="Z435" t="s">
        <v>70</v>
      </c>
      <c r="AA435" s="1">
        <v>46066</v>
      </c>
      <c r="AB435" t="s">
        <v>826</v>
      </c>
      <c r="AD435" t="s">
        <v>306</v>
      </c>
      <c r="AE435" t="s">
        <v>827</v>
      </c>
      <c r="AF435">
        <v>3181</v>
      </c>
      <c r="AG435" t="s">
        <v>823</v>
      </c>
      <c r="AI435" t="s">
        <v>59</v>
      </c>
      <c r="AL435" t="s">
        <v>2227</v>
      </c>
      <c r="AN435" s="3">
        <v>46066.655555555553</v>
      </c>
      <c r="AO435" t="s">
        <v>824</v>
      </c>
    </row>
    <row r="436" spans="1:41" x14ac:dyDescent="0.3">
      <c r="A436" t="s">
        <v>168</v>
      </c>
      <c r="B436" t="s">
        <v>689</v>
      </c>
      <c r="C436" t="s">
        <v>43</v>
      </c>
      <c r="D436" t="s">
        <v>268</v>
      </c>
      <c r="E436" s="1">
        <v>46066</v>
      </c>
      <c r="F436" t="s">
        <v>2113</v>
      </c>
      <c r="G436" t="s">
        <v>45</v>
      </c>
      <c r="H436" s="2">
        <v>0.33333333333333331</v>
      </c>
      <c r="I436" s="2">
        <v>0.6875</v>
      </c>
      <c r="J436" t="s">
        <v>101</v>
      </c>
      <c r="L436" t="s">
        <v>159</v>
      </c>
      <c r="M436" t="s">
        <v>690</v>
      </c>
      <c r="N436" t="s">
        <v>691</v>
      </c>
      <c r="O436">
        <v>5950774</v>
      </c>
      <c r="P436" t="s">
        <v>249</v>
      </c>
      <c r="Q436" t="s">
        <v>692</v>
      </c>
      <c r="R436" t="s">
        <v>693</v>
      </c>
      <c r="S436" t="s">
        <v>52</v>
      </c>
      <c r="T436" t="s">
        <v>252</v>
      </c>
      <c r="U436">
        <v>890606</v>
      </c>
      <c r="V436" s="3">
        <v>46069.416666666664</v>
      </c>
      <c r="W436" t="s">
        <v>693</v>
      </c>
      <c r="X436" t="s">
        <v>694</v>
      </c>
      <c r="Y436" t="str">
        <f>"0404019300"</f>
        <v>0404019300</v>
      </c>
      <c r="Z436" t="s">
        <v>1635</v>
      </c>
      <c r="AA436" s="1">
        <v>46117</v>
      </c>
      <c r="AB436" t="s">
        <v>695</v>
      </c>
      <c r="AD436" t="s">
        <v>168</v>
      </c>
      <c r="AE436" t="s">
        <v>696</v>
      </c>
      <c r="AF436">
        <v>5606</v>
      </c>
      <c r="AG436" t="s">
        <v>697</v>
      </c>
      <c r="AI436" t="s">
        <v>59</v>
      </c>
      <c r="AJ436" t="str">
        <f>"0020188040"</f>
        <v>0020188040</v>
      </c>
      <c r="AM436" t="s">
        <v>698</v>
      </c>
      <c r="AN436" s="3">
        <v>46069.416666666664</v>
      </c>
      <c r="AO436" t="s">
        <v>693</v>
      </c>
    </row>
    <row r="437" spans="1:41" x14ac:dyDescent="0.3">
      <c r="A437" t="s">
        <v>75</v>
      </c>
      <c r="B437" t="s">
        <v>895</v>
      </c>
      <c r="C437" t="s">
        <v>896</v>
      </c>
      <c r="D437" t="s">
        <v>184</v>
      </c>
      <c r="E437" s="1">
        <v>46066</v>
      </c>
      <c r="F437" t="s">
        <v>2113</v>
      </c>
      <c r="G437" t="s">
        <v>45</v>
      </c>
      <c r="H437" s="2">
        <v>0.33333333333333331</v>
      </c>
      <c r="I437" s="2">
        <v>0.58333333333333337</v>
      </c>
      <c r="J437" t="s">
        <v>46</v>
      </c>
      <c r="L437" t="s">
        <v>47</v>
      </c>
      <c r="M437" t="s">
        <v>1828</v>
      </c>
      <c r="N437" t="s">
        <v>1829</v>
      </c>
      <c r="O437">
        <v>5951238</v>
      </c>
      <c r="Q437" t="s">
        <v>2228</v>
      </c>
      <c r="R437" t="s">
        <v>500</v>
      </c>
      <c r="S437" t="s">
        <v>52</v>
      </c>
      <c r="U437">
        <v>890358</v>
      </c>
      <c r="V437" s="3">
        <v>46042.95</v>
      </c>
      <c r="W437" t="s">
        <v>1831</v>
      </c>
      <c r="X437" t="s">
        <v>1832</v>
      </c>
      <c r="Y437" t="str">
        <f>"0423470636"</f>
        <v>0423470636</v>
      </c>
      <c r="Z437" t="s">
        <v>748</v>
      </c>
      <c r="AB437" t="s">
        <v>902</v>
      </c>
      <c r="AD437" t="s">
        <v>75</v>
      </c>
      <c r="AE437" t="s">
        <v>903</v>
      </c>
      <c r="AF437">
        <v>6009</v>
      </c>
      <c r="AG437" t="s">
        <v>2229</v>
      </c>
      <c r="AI437" t="s">
        <v>59</v>
      </c>
      <c r="AL437" t="s">
        <v>370</v>
      </c>
      <c r="AN437" s="3">
        <v>46066.710416666669</v>
      </c>
      <c r="AO437" t="s">
        <v>1831</v>
      </c>
    </row>
    <row r="438" spans="1:41" x14ac:dyDescent="0.3">
      <c r="A438" t="s">
        <v>41</v>
      </c>
      <c r="B438" t="s">
        <v>138</v>
      </c>
      <c r="C438" t="s">
        <v>139</v>
      </c>
      <c r="D438" t="s">
        <v>127</v>
      </c>
      <c r="E438" s="1">
        <v>46066</v>
      </c>
      <c r="F438" t="s">
        <v>2113</v>
      </c>
      <c r="G438" t="s">
        <v>45</v>
      </c>
      <c r="H438" s="2">
        <v>0.33333333333333331</v>
      </c>
      <c r="I438" s="2">
        <v>0.5</v>
      </c>
      <c r="J438" t="s">
        <v>140</v>
      </c>
      <c r="L438" t="s">
        <v>141</v>
      </c>
      <c r="M438" t="s">
        <v>142</v>
      </c>
      <c r="N438" t="s">
        <v>143</v>
      </c>
      <c r="O438">
        <v>22649</v>
      </c>
      <c r="Q438" t="s">
        <v>144</v>
      </c>
      <c r="R438" t="s">
        <v>145</v>
      </c>
      <c r="S438" t="s">
        <v>52</v>
      </c>
      <c r="U438">
        <v>890312</v>
      </c>
      <c r="V438" s="3">
        <v>46059.927777777775</v>
      </c>
      <c r="W438" t="s">
        <v>146</v>
      </c>
      <c r="X438" t="s">
        <v>147</v>
      </c>
      <c r="Y438" t="str">
        <f>"0407039143"</f>
        <v>0407039143</v>
      </c>
      <c r="Z438" t="s">
        <v>55</v>
      </c>
      <c r="AA438" s="1">
        <v>46066</v>
      </c>
      <c r="AB438" t="s">
        <v>148</v>
      </c>
      <c r="AC438" t="s">
        <v>149</v>
      </c>
      <c r="AD438" t="s">
        <v>41</v>
      </c>
      <c r="AE438" t="s">
        <v>150</v>
      </c>
      <c r="AF438">
        <v>4000</v>
      </c>
      <c r="AG438" t="s">
        <v>151</v>
      </c>
      <c r="AI438" t="s">
        <v>59</v>
      </c>
      <c r="AL438" t="s">
        <v>152</v>
      </c>
      <c r="AN438" s="3">
        <v>46066.541666666664</v>
      </c>
      <c r="AO438" t="s">
        <v>146</v>
      </c>
    </row>
    <row r="439" spans="1:41" x14ac:dyDescent="0.3">
      <c r="A439" t="s">
        <v>168</v>
      </c>
      <c r="B439" t="s">
        <v>1178</v>
      </c>
      <c r="C439" t="s">
        <v>202</v>
      </c>
      <c r="D439" t="s">
        <v>127</v>
      </c>
      <c r="E439" s="1">
        <v>46066</v>
      </c>
      <c r="F439" t="s">
        <v>2113</v>
      </c>
      <c r="G439" t="s">
        <v>45</v>
      </c>
      <c r="H439" s="2">
        <v>0.33333333333333331</v>
      </c>
      <c r="I439" s="2">
        <v>0.5</v>
      </c>
      <c r="J439" t="s">
        <v>46</v>
      </c>
      <c r="L439" t="s">
        <v>47</v>
      </c>
      <c r="M439" t="s">
        <v>842</v>
      </c>
      <c r="N439" t="s">
        <v>843</v>
      </c>
      <c r="O439">
        <v>21274</v>
      </c>
      <c r="Q439" t="s">
        <v>2047</v>
      </c>
      <c r="R439" t="s">
        <v>231</v>
      </c>
      <c r="S439" t="s">
        <v>52</v>
      </c>
      <c r="U439">
        <v>890308</v>
      </c>
      <c r="V439" s="3">
        <v>46058.609722222223</v>
      </c>
      <c r="W439" t="s">
        <v>844</v>
      </c>
      <c r="X439" t="s">
        <v>845</v>
      </c>
      <c r="Y439" t="str">
        <f>"0402041367"</f>
        <v>0402041367</v>
      </c>
      <c r="Z439" t="s">
        <v>70</v>
      </c>
      <c r="AA439" s="1">
        <v>46066</v>
      </c>
      <c r="AB439" t="s">
        <v>1184</v>
      </c>
      <c r="AD439" t="s">
        <v>168</v>
      </c>
      <c r="AE439" t="s">
        <v>1185</v>
      </c>
      <c r="AF439">
        <v>5066</v>
      </c>
      <c r="AG439" t="s">
        <v>2044</v>
      </c>
      <c r="AI439" t="s">
        <v>59</v>
      </c>
      <c r="AL439" t="s">
        <v>224</v>
      </c>
      <c r="AN439" s="3">
        <v>46066.519444444442</v>
      </c>
      <c r="AO439" t="s">
        <v>844</v>
      </c>
    </row>
    <row r="440" spans="1:41" x14ac:dyDescent="0.3">
      <c r="A440" t="s">
        <v>61</v>
      </c>
      <c r="B440" t="s">
        <v>2230</v>
      </c>
      <c r="C440" t="s">
        <v>43</v>
      </c>
      <c r="D440" t="s">
        <v>127</v>
      </c>
      <c r="E440" s="1">
        <v>46066</v>
      </c>
      <c r="F440" t="s">
        <v>2113</v>
      </c>
      <c r="G440" t="s">
        <v>45</v>
      </c>
      <c r="H440" s="2">
        <v>0.33333333333333331</v>
      </c>
      <c r="I440" s="2">
        <v>0.54166666666666663</v>
      </c>
      <c r="J440" t="s">
        <v>101</v>
      </c>
      <c r="L440" t="s">
        <v>159</v>
      </c>
      <c r="M440" t="s">
        <v>1126</v>
      </c>
      <c r="N440" t="s">
        <v>1127</v>
      </c>
      <c r="O440">
        <v>21552</v>
      </c>
      <c r="Q440" t="s">
        <v>2231</v>
      </c>
      <c r="R440" t="s">
        <v>132</v>
      </c>
      <c r="S440" t="s">
        <v>52</v>
      </c>
      <c r="U440">
        <v>890307</v>
      </c>
      <c r="V440" s="3">
        <v>46052.640277777777</v>
      </c>
      <c r="W440" t="s">
        <v>1129</v>
      </c>
      <c r="X440" t="s">
        <v>1130</v>
      </c>
      <c r="Y440" t="str">
        <f>"0401723179"</f>
        <v>0401723179</v>
      </c>
      <c r="Z440" t="s">
        <v>70</v>
      </c>
      <c r="AA440" s="1">
        <v>46066</v>
      </c>
      <c r="AB440" t="s">
        <v>2232</v>
      </c>
      <c r="AD440" t="s">
        <v>61</v>
      </c>
      <c r="AE440" t="s">
        <v>2233</v>
      </c>
      <c r="AF440">
        <v>2000</v>
      </c>
      <c r="AG440" t="s">
        <v>2234</v>
      </c>
      <c r="AI440" t="s">
        <v>59</v>
      </c>
      <c r="AL440" t="s">
        <v>2127</v>
      </c>
      <c r="AN440" s="3">
        <v>46066.513888888891</v>
      </c>
      <c r="AO440" t="s">
        <v>1129</v>
      </c>
    </row>
    <row r="441" spans="1:41" x14ac:dyDescent="0.3">
      <c r="A441" t="s">
        <v>61</v>
      </c>
      <c r="B441" t="s">
        <v>859</v>
      </c>
      <c r="C441" t="s">
        <v>43</v>
      </c>
      <c r="D441" t="s">
        <v>227</v>
      </c>
      <c r="E441" s="1">
        <v>46066</v>
      </c>
      <c r="F441" t="s">
        <v>2113</v>
      </c>
      <c r="G441" t="s">
        <v>45</v>
      </c>
      <c r="H441" s="2">
        <v>0.33333333333333331</v>
      </c>
      <c r="I441" s="2">
        <v>0.54166666666666663</v>
      </c>
      <c r="J441" t="s">
        <v>46</v>
      </c>
      <c r="L441" t="s">
        <v>47</v>
      </c>
      <c r="M441" t="s">
        <v>91</v>
      </c>
      <c r="N441" t="s">
        <v>92</v>
      </c>
      <c r="O441">
        <v>5950650</v>
      </c>
      <c r="Q441" t="s">
        <v>860</v>
      </c>
      <c r="R441" t="s">
        <v>132</v>
      </c>
      <c r="S441" t="s">
        <v>52</v>
      </c>
      <c r="U441">
        <v>890309</v>
      </c>
      <c r="V441" s="3">
        <v>46043.590277777781</v>
      </c>
      <c r="W441" t="s">
        <v>94</v>
      </c>
      <c r="X441" t="s">
        <v>95</v>
      </c>
      <c r="Y441" t="str">
        <f>"0493332534"</f>
        <v>0493332534</v>
      </c>
      <c r="Z441" t="s">
        <v>1635</v>
      </c>
      <c r="AA441" s="1">
        <v>46066</v>
      </c>
      <c r="AB441" t="s">
        <v>861</v>
      </c>
      <c r="AD441" t="s">
        <v>61</v>
      </c>
      <c r="AE441" t="s">
        <v>765</v>
      </c>
      <c r="AF441">
        <v>2220</v>
      </c>
      <c r="AG441" t="s">
        <v>860</v>
      </c>
      <c r="AI441" t="s">
        <v>59</v>
      </c>
      <c r="AL441" t="s">
        <v>2235</v>
      </c>
      <c r="AN441" s="3">
        <v>46066.519444444442</v>
      </c>
      <c r="AO441" t="s">
        <v>94</v>
      </c>
    </row>
    <row r="442" spans="1:41" x14ac:dyDescent="0.3">
      <c r="A442" t="s">
        <v>41</v>
      </c>
      <c r="B442" t="s">
        <v>42</v>
      </c>
      <c r="C442" t="s">
        <v>43</v>
      </c>
      <c r="E442" s="1">
        <v>46066</v>
      </c>
      <c r="F442" t="s">
        <v>2113</v>
      </c>
      <c r="G442" t="s">
        <v>45</v>
      </c>
      <c r="H442" s="2">
        <v>0.33333333333333331</v>
      </c>
      <c r="I442" s="2">
        <v>0.70833333333333337</v>
      </c>
      <c r="J442" t="s">
        <v>46</v>
      </c>
      <c r="L442" t="s">
        <v>47</v>
      </c>
      <c r="M442" t="s">
        <v>1220</v>
      </c>
      <c r="N442" t="s">
        <v>1221</v>
      </c>
      <c r="O442">
        <v>5950857</v>
      </c>
      <c r="Q442" t="s">
        <v>50</v>
      </c>
      <c r="R442" t="s">
        <v>723</v>
      </c>
      <c r="S442" t="s">
        <v>52</v>
      </c>
      <c r="U442">
        <v>890335</v>
      </c>
      <c r="V442" s="3">
        <v>46065.574305555558</v>
      </c>
      <c r="W442" t="s">
        <v>1223</v>
      </c>
      <c r="X442" t="s">
        <v>1224</v>
      </c>
      <c r="Y442" t="str">
        <f>"0431426020"</f>
        <v>0431426020</v>
      </c>
      <c r="Z442" t="s">
        <v>70</v>
      </c>
      <c r="AA442" s="1">
        <v>46066</v>
      </c>
      <c r="AB442" t="s">
        <v>56</v>
      </c>
      <c r="AD442" t="s">
        <v>41</v>
      </c>
      <c r="AE442" t="s">
        <v>57</v>
      </c>
      <c r="AF442">
        <v>4127</v>
      </c>
      <c r="AG442" t="s">
        <v>58</v>
      </c>
      <c r="AI442" t="s">
        <v>59</v>
      </c>
      <c r="AL442" t="s">
        <v>2236</v>
      </c>
      <c r="AN442" s="3">
        <v>46066.592361111114</v>
      </c>
      <c r="AO442" t="s">
        <v>1223</v>
      </c>
    </row>
    <row r="443" spans="1:41" x14ac:dyDescent="0.3">
      <c r="A443" t="s">
        <v>168</v>
      </c>
      <c r="B443" t="s">
        <v>376</v>
      </c>
      <c r="C443" t="s">
        <v>170</v>
      </c>
      <c r="D443" t="s">
        <v>127</v>
      </c>
      <c r="E443" s="1">
        <v>46066</v>
      </c>
      <c r="F443" t="s">
        <v>2113</v>
      </c>
      <c r="G443" t="s">
        <v>128</v>
      </c>
      <c r="H443" s="2">
        <v>0.33333333333333331</v>
      </c>
      <c r="I443" s="2">
        <v>0.66666666666666663</v>
      </c>
      <c r="J443" t="s">
        <v>170</v>
      </c>
      <c r="K443" t="s">
        <v>203</v>
      </c>
      <c r="L443" t="s">
        <v>204</v>
      </c>
      <c r="M443" t="s">
        <v>1774</v>
      </c>
      <c r="N443" t="s">
        <v>1775</v>
      </c>
      <c r="O443">
        <v>5952428</v>
      </c>
      <c r="Q443" t="s">
        <v>670</v>
      </c>
      <c r="R443" t="s">
        <v>2237</v>
      </c>
      <c r="S443" t="s">
        <v>52</v>
      </c>
      <c r="U443">
        <v>890350</v>
      </c>
      <c r="V443" s="3">
        <v>46043.65</v>
      </c>
      <c r="W443" t="s">
        <v>1777</v>
      </c>
      <c r="X443" t="s">
        <v>1778</v>
      </c>
      <c r="Y443" t="str">
        <f>"0433533329"</f>
        <v>0433533329</v>
      </c>
      <c r="Z443" t="s">
        <v>70</v>
      </c>
      <c r="AA443" s="1">
        <v>46066</v>
      </c>
      <c r="AB443" t="s">
        <v>383</v>
      </c>
      <c r="AD443" t="s">
        <v>168</v>
      </c>
      <c r="AE443" t="s">
        <v>384</v>
      </c>
      <c r="AF443">
        <v>5000</v>
      </c>
      <c r="AI443" t="s">
        <v>59</v>
      </c>
      <c r="AL443" t="s">
        <v>385</v>
      </c>
      <c r="AN443" s="3">
        <v>46066.688888888886</v>
      </c>
      <c r="AO443" t="s">
        <v>1777</v>
      </c>
    </row>
    <row r="444" spans="1:41" x14ac:dyDescent="0.3">
      <c r="A444" t="s">
        <v>61</v>
      </c>
      <c r="B444" t="s">
        <v>1079</v>
      </c>
      <c r="C444" t="s">
        <v>43</v>
      </c>
      <c r="D444" t="s">
        <v>63</v>
      </c>
      <c r="E444" s="1">
        <v>46066</v>
      </c>
      <c r="F444" t="s">
        <v>2113</v>
      </c>
      <c r="G444" t="s">
        <v>45</v>
      </c>
      <c r="H444" s="2">
        <v>0.35416666666666669</v>
      </c>
      <c r="I444" s="2">
        <v>0.70833333333333337</v>
      </c>
      <c r="J444" t="s">
        <v>46</v>
      </c>
      <c r="L444" t="s">
        <v>47</v>
      </c>
      <c r="M444" t="s">
        <v>2238</v>
      </c>
      <c r="N444" t="s">
        <v>2239</v>
      </c>
      <c r="O444">
        <v>5950669</v>
      </c>
      <c r="Q444" t="s">
        <v>1087</v>
      </c>
      <c r="R444" t="s">
        <v>67</v>
      </c>
      <c r="S444" t="s">
        <v>52</v>
      </c>
      <c r="U444">
        <v>890357</v>
      </c>
      <c r="V444" s="3">
        <v>46059.355555555558</v>
      </c>
      <c r="W444" t="s">
        <v>2240</v>
      </c>
      <c r="X444" t="s">
        <v>2241</v>
      </c>
      <c r="Y444" t="str">
        <f>"0435931881"</f>
        <v>0435931881</v>
      </c>
      <c r="Z444" t="s">
        <v>503</v>
      </c>
      <c r="AA444" s="1">
        <v>46066</v>
      </c>
      <c r="AB444" t="s">
        <v>1085</v>
      </c>
      <c r="AD444" t="s">
        <v>61</v>
      </c>
      <c r="AE444" t="s">
        <v>1086</v>
      </c>
      <c r="AF444">
        <v>2031</v>
      </c>
      <c r="AG444" t="s">
        <v>2242</v>
      </c>
      <c r="AI444" t="s">
        <v>59</v>
      </c>
      <c r="AL444" t="s">
        <v>2127</v>
      </c>
      <c r="AN444" s="3">
        <v>46066.709722222222</v>
      </c>
      <c r="AO444" t="s">
        <v>2240</v>
      </c>
    </row>
    <row r="445" spans="1:41" x14ac:dyDescent="0.3">
      <c r="A445" t="s">
        <v>168</v>
      </c>
      <c r="B445" t="s">
        <v>847</v>
      </c>
      <c r="C445" t="s">
        <v>43</v>
      </c>
      <c r="D445" t="s">
        <v>268</v>
      </c>
      <c r="E445" s="1">
        <v>46066</v>
      </c>
      <c r="F445" t="s">
        <v>2113</v>
      </c>
      <c r="G445" t="s">
        <v>45</v>
      </c>
      <c r="H445" s="2">
        <v>0.35416666666666669</v>
      </c>
      <c r="I445" s="2">
        <v>0.70833333333333337</v>
      </c>
      <c r="J445" t="s">
        <v>185</v>
      </c>
      <c r="L445" t="s">
        <v>2243</v>
      </c>
      <c r="M445" t="s">
        <v>2244</v>
      </c>
      <c r="N445" t="s">
        <v>2245</v>
      </c>
      <c r="O445">
        <v>22748</v>
      </c>
      <c r="Q445" t="s">
        <v>857</v>
      </c>
      <c r="R445" t="s">
        <v>231</v>
      </c>
      <c r="S445" t="s">
        <v>52</v>
      </c>
      <c r="U445">
        <v>890360</v>
      </c>
      <c r="V445" s="3">
        <v>46063.612500000003</v>
      </c>
      <c r="W445" t="s">
        <v>2246</v>
      </c>
      <c r="X445" t="s">
        <v>2247</v>
      </c>
      <c r="Y445" t="str">
        <f>"0423555385"</f>
        <v>0423555385</v>
      </c>
      <c r="Z445" t="s">
        <v>84</v>
      </c>
      <c r="AB445" t="s">
        <v>847</v>
      </c>
      <c r="AC445" t="s">
        <v>855</v>
      </c>
      <c r="AD445" t="s">
        <v>168</v>
      </c>
      <c r="AE445" t="s">
        <v>856</v>
      </c>
      <c r="AF445">
        <v>5112</v>
      </c>
      <c r="AG445" t="s">
        <v>857</v>
      </c>
      <c r="AI445" t="s">
        <v>59</v>
      </c>
      <c r="AL445" t="s">
        <v>2248</v>
      </c>
      <c r="AN445" s="3">
        <v>46066.723611111112</v>
      </c>
      <c r="AO445" t="s">
        <v>2246</v>
      </c>
    </row>
    <row r="446" spans="1:41" x14ac:dyDescent="0.3">
      <c r="A446" t="s">
        <v>168</v>
      </c>
      <c r="B446" t="s">
        <v>266</v>
      </c>
      <c r="C446" t="s">
        <v>43</v>
      </c>
      <c r="D446" t="s">
        <v>268</v>
      </c>
      <c r="E446" s="1">
        <v>46066</v>
      </c>
      <c r="F446" t="s">
        <v>2113</v>
      </c>
      <c r="G446" t="s">
        <v>45</v>
      </c>
      <c r="H446" s="2">
        <v>0.35416666666666669</v>
      </c>
      <c r="I446" s="2">
        <v>0.70833333333333337</v>
      </c>
      <c r="J446" t="s">
        <v>185</v>
      </c>
      <c r="L446" t="s">
        <v>186</v>
      </c>
      <c r="M446" t="s">
        <v>651</v>
      </c>
      <c r="N446" t="s">
        <v>412</v>
      </c>
      <c r="O446">
        <v>21855</v>
      </c>
      <c r="Q446" t="s">
        <v>274</v>
      </c>
      <c r="R446" t="s">
        <v>176</v>
      </c>
      <c r="S446" t="s">
        <v>52</v>
      </c>
      <c r="U446">
        <v>890677</v>
      </c>
      <c r="V446" s="3">
        <v>46059.548611111109</v>
      </c>
      <c r="W446" t="s">
        <v>652</v>
      </c>
      <c r="X446" t="s">
        <v>653</v>
      </c>
      <c r="Y446" t="str">
        <f>"0407317111"</f>
        <v>0407317111</v>
      </c>
      <c r="Z446" t="s">
        <v>70</v>
      </c>
      <c r="AA446" s="1">
        <v>46066</v>
      </c>
      <c r="AB446" t="s">
        <v>277</v>
      </c>
      <c r="AC446" t="s">
        <v>278</v>
      </c>
      <c r="AD446" t="s">
        <v>168</v>
      </c>
      <c r="AE446" t="s">
        <v>279</v>
      </c>
      <c r="AF446">
        <v>5092</v>
      </c>
      <c r="AG446" t="s">
        <v>869</v>
      </c>
      <c r="AI446" t="s">
        <v>59</v>
      </c>
      <c r="AL446" t="s">
        <v>2249</v>
      </c>
      <c r="AM446" t="s">
        <v>873</v>
      </c>
      <c r="AN446" s="3">
        <v>46069.765277777777</v>
      </c>
      <c r="AO446" t="s">
        <v>652</v>
      </c>
    </row>
    <row r="447" spans="1:41" x14ac:dyDescent="0.3">
      <c r="A447" t="s">
        <v>874</v>
      </c>
      <c r="B447" t="s">
        <v>875</v>
      </c>
      <c r="D447" t="s">
        <v>388</v>
      </c>
      <c r="E447" s="1">
        <v>46066</v>
      </c>
      <c r="F447" t="s">
        <v>2113</v>
      </c>
      <c r="G447" t="s">
        <v>45</v>
      </c>
      <c r="H447" s="2">
        <v>0.35416666666666669</v>
      </c>
      <c r="I447" s="2">
        <v>0.70833333333333337</v>
      </c>
      <c r="J447" t="s">
        <v>876</v>
      </c>
      <c r="L447" t="s">
        <v>877</v>
      </c>
      <c r="M447" t="s">
        <v>878</v>
      </c>
      <c r="N447" t="s">
        <v>879</v>
      </c>
      <c r="O447">
        <v>5951689</v>
      </c>
      <c r="P447" t="s">
        <v>249</v>
      </c>
      <c r="Q447" t="s">
        <v>880</v>
      </c>
      <c r="R447" t="s">
        <v>392</v>
      </c>
      <c r="S447" t="s">
        <v>52</v>
      </c>
      <c r="T447" t="s">
        <v>252</v>
      </c>
      <c r="U447">
        <v>890598</v>
      </c>
      <c r="V447" s="3">
        <v>46069.382638888892</v>
      </c>
      <c r="W447" t="s">
        <v>881</v>
      </c>
      <c r="X447" t="s">
        <v>882</v>
      </c>
      <c r="Y447" t="str">
        <f>"0474765680"</f>
        <v>0474765680</v>
      </c>
      <c r="Z447" t="s">
        <v>375</v>
      </c>
      <c r="AA447" s="1">
        <v>46110</v>
      </c>
      <c r="AB447" t="s">
        <v>883</v>
      </c>
      <c r="AD447" t="s">
        <v>397</v>
      </c>
      <c r="AE447" t="s">
        <v>884</v>
      </c>
      <c r="AG447" t="s">
        <v>880</v>
      </c>
      <c r="AI447" t="s">
        <v>59</v>
      </c>
      <c r="AJ447" t="str">
        <f>"0090000061"</f>
        <v>0090000061</v>
      </c>
      <c r="AN447" s="3">
        <v>46069.382638888892</v>
      </c>
      <c r="AO447" t="s">
        <v>392</v>
      </c>
    </row>
    <row r="448" spans="1:41" x14ac:dyDescent="0.3">
      <c r="A448" t="s">
        <v>168</v>
      </c>
      <c r="B448" t="s">
        <v>376</v>
      </c>
      <c r="C448" t="s">
        <v>202</v>
      </c>
      <c r="D448" t="s">
        <v>127</v>
      </c>
      <c r="E448" s="1">
        <v>46066</v>
      </c>
      <c r="F448" t="s">
        <v>2113</v>
      </c>
      <c r="G448" t="s">
        <v>45</v>
      </c>
      <c r="H448" s="2">
        <v>0.375</v>
      </c>
      <c r="I448" s="2">
        <v>0.70833333333333337</v>
      </c>
      <c r="J448" t="s">
        <v>46</v>
      </c>
      <c r="L448" t="s">
        <v>47</v>
      </c>
      <c r="M448" t="s">
        <v>1603</v>
      </c>
      <c r="N448" t="s">
        <v>1604</v>
      </c>
      <c r="O448">
        <v>5952018</v>
      </c>
      <c r="Q448" t="s">
        <v>2188</v>
      </c>
      <c r="R448" t="s">
        <v>1390</v>
      </c>
      <c r="S448" t="s">
        <v>52</v>
      </c>
      <c r="U448">
        <v>890359</v>
      </c>
      <c r="V448" s="3">
        <v>46064.918749999997</v>
      </c>
      <c r="W448" t="s">
        <v>1606</v>
      </c>
      <c r="X448" t="s">
        <v>1607</v>
      </c>
      <c r="Y448" t="str">
        <f>"0415208433"</f>
        <v>0415208433</v>
      </c>
      <c r="Z448" t="s">
        <v>70</v>
      </c>
      <c r="AA448" s="1">
        <v>46066</v>
      </c>
      <c r="AB448" t="s">
        <v>383</v>
      </c>
      <c r="AD448" t="s">
        <v>168</v>
      </c>
      <c r="AE448" t="s">
        <v>384</v>
      </c>
      <c r="AF448">
        <v>5000</v>
      </c>
      <c r="AI448" t="s">
        <v>59</v>
      </c>
      <c r="AL448" t="s">
        <v>2250</v>
      </c>
      <c r="AN448" s="3">
        <v>46066.722222222219</v>
      </c>
      <c r="AO448" t="s">
        <v>1606</v>
      </c>
    </row>
    <row r="449" spans="1:41" x14ac:dyDescent="0.3">
      <c r="A449" t="s">
        <v>168</v>
      </c>
      <c r="B449" t="s">
        <v>2251</v>
      </c>
      <c r="C449" t="s">
        <v>43</v>
      </c>
      <c r="D449" t="s">
        <v>127</v>
      </c>
      <c r="E449" s="1">
        <v>46066</v>
      </c>
      <c r="F449" t="s">
        <v>2113</v>
      </c>
      <c r="G449" t="s">
        <v>45</v>
      </c>
      <c r="H449" s="2">
        <v>0.375</v>
      </c>
      <c r="I449" s="2">
        <v>0.66666666666666663</v>
      </c>
      <c r="J449" t="s">
        <v>185</v>
      </c>
      <c r="K449" t="s">
        <v>238</v>
      </c>
      <c r="L449" t="s">
        <v>186</v>
      </c>
      <c r="M449" t="s">
        <v>668</v>
      </c>
      <c r="N449" t="s">
        <v>669</v>
      </c>
      <c r="O449">
        <v>5952440</v>
      </c>
      <c r="Q449" t="s">
        <v>2252</v>
      </c>
      <c r="R449" t="s">
        <v>231</v>
      </c>
      <c r="S449" t="s">
        <v>52</v>
      </c>
      <c r="U449">
        <v>890347</v>
      </c>
      <c r="V449" s="3">
        <v>46036.509722222225</v>
      </c>
      <c r="W449" t="s">
        <v>671</v>
      </c>
      <c r="X449" t="s">
        <v>672</v>
      </c>
      <c r="Y449" t="str">
        <f>"0431563005"</f>
        <v>0431563005</v>
      </c>
      <c r="Z449" t="s">
        <v>375</v>
      </c>
      <c r="AA449" s="1">
        <v>46066</v>
      </c>
      <c r="AB449" t="s">
        <v>2253</v>
      </c>
      <c r="AD449" t="s">
        <v>168</v>
      </c>
      <c r="AE449" t="s">
        <v>2254</v>
      </c>
      <c r="AF449">
        <v>5041</v>
      </c>
      <c r="AG449" t="s">
        <v>2252</v>
      </c>
      <c r="AI449" t="s">
        <v>59</v>
      </c>
      <c r="AL449" t="s">
        <v>2255</v>
      </c>
      <c r="AM449" t="s">
        <v>2256</v>
      </c>
      <c r="AN449" s="3">
        <v>46066.676388888889</v>
      </c>
      <c r="AO449" t="s">
        <v>671</v>
      </c>
    </row>
    <row r="450" spans="1:41" x14ac:dyDescent="0.3">
      <c r="A450" t="s">
        <v>75</v>
      </c>
      <c r="B450" t="s">
        <v>895</v>
      </c>
      <c r="C450" t="s">
        <v>896</v>
      </c>
      <c r="D450" t="s">
        <v>184</v>
      </c>
      <c r="E450" s="1">
        <v>46066</v>
      </c>
      <c r="F450" t="s">
        <v>2113</v>
      </c>
      <c r="G450" t="s">
        <v>45</v>
      </c>
      <c r="H450" s="2">
        <v>0.375</v>
      </c>
      <c r="I450" s="2">
        <v>0.58333333333333337</v>
      </c>
      <c r="J450" t="s">
        <v>46</v>
      </c>
      <c r="L450" t="s">
        <v>47</v>
      </c>
      <c r="M450" t="s">
        <v>897</v>
      </c>
      <c r="N450" t="s">
        <v>898</v>
      </c>
      <c r="O450">
        <v>22938</v>
      </c>
      <c r="Q450" t="s">
        <v>2159</v>
      </c>
      <c r="R450" t="s">
        <v>500</v>
      </c>
      <c r="S450" t="s">
        <v>52</v>
      </c>
      <c r="U450">
        <v>890354</v>
      </c>
      <c r="V450" s="3">
        <v>46042.95</v>
      </c>
      <c r="W450" t="s">
        <v>900</v>
      </c>
      <c r="X450" t="s">
        <v>901</v>
      </c>
      <c r="Y450" t="str">
        <f>"0412336670"</f>
        <v>0412336670</v>
      </c>
      <c r="Z450" t="s">
        <v>2257</v>
      </c>
      <c r="AB450" t="s">
        <v>902</v>
      </c>
      <c r="AD450" t="s">
        <v>75</v>
      </c>
      <c r="AE450" t="s">
        <v>903</v>
      </c>
      <c r="AF450">
        <v>6009</v>
      </c>
      <c r="AG450" t="s">
        <v>2229</v>
      </c>
      <c r="AI450" t="s">
        <v>59</v>
      </c>
      <c r="AL450" t="s">
        <v>2258</v>
      </c>
      <c r="AN450" s="3">
        <v>46066.70208333333</v>
      </c>
      <c r="AO450" t="s">
        <v>900</v>
      </c>
    </row>
    <row r="451" spans="1:41" x14ac:dyDescent="0.3">
      <c r="A451" t="s">
        <v>75</v>
      </c>
      <c r="B451" t="s">
        <v>76</v>
      </c>
      <c r="C451" t="s">
        <v>43</v>
      </c>
      <c r="D451" t="s">
        <v>63</v>
      </c>
      <c r="E451" s="1">
        <v>46066</v>
      </c>
      <c r="F451" t="s">
        <v>2113</v>
      </c>
      <c r="G451" t="s">
        <v>45</v>
      </c>
      <c r="H451" s="2">
        <v>0.375</v>
      </c>
      <c r="I451" s="2">
        <v>0.58333333333333337</v>
      </c>
      <c r="J451" t="s">
        <v>46</v>
      </c>
      <c r="K451" t="s">
        <v>77</v>
      </c>
      <c r="L451" t="s">
        <v>47</v>
      </c>
      <c r="M451" t="s">
        <v>195</v>
      </c>
      <c r="N451" t="s">
        <v>196</v>
      </c>
      <c r="O451">
        <v>5952397</v>
      </c>
      <c r="Q451" t="s">
        <v>80</v>
      </c>
      <c r="R451" t="s">
        <v>81</v>
      </c>
      <c r="S451" t="s">
        <v>52</v>
      </c>
      <c r="U451">
        <v>890361</v>
      </c>
      <c r="V451" s="3">
        <v>46041.557638888888</v>
      </c>
      <c r="W451" t="s">
        <v>198</v>
      </c>
      <c r="X451" t="s">
        <v>199</v>
      </c>
      <c r="Y451" t="str">
        <f>"0405261641"</f>
        <v>0405261641</v>
      </c>
      <c r="Z451" t="s">
        <v>366</v>
      </c>
      <c r="AB451" t="s">
        <v>85</v>
      </c>
      <c r="AD451" t="s">
        <v>75</v>
      </c>
      <c r="AE451" t="s">
        <v>86</v>
      </c>
      <c r="AF451">
        <v>6000</v>
      </c>
      <c r="AG451" t="s">
        <v>80</v>
      </c>
      <c r="AI451" t="s">
        <v>59</v>
      </c>
      <c r="AL451" t="s">
        <v>214</v>
      </c>
      <c r="AN451" s="3">
        <v>46066.725694444445</v>
      </c>
      <c r="AO451" t="s">
        <v>198</v>
      </c>
    </row>
    <row r="452" spans="1:41" x14ac:dyDescent="0.3">
      <c r="A452" t="s">
        <v>306</v>
      </c>
      <c r="B452" t="s">
        <v>450</v>
      </c>
      <c r="C452" t="s">
        <v>100</v>
      </c>
      <c r="D452" t="s">
        <v>63</v>
      </c>
      <c r="E452" s="1">
        <v>46066</v>
      </c>
      <c r="F452" t="s">
        <v>2113</v>
      </c>
      <c r="G452" t="s">
        <v>45</v>
      </c>
      <c r="H452" s="2">
        <v>0.375</v>
      </c>
      <c r="I452" s="2">
        <v>0.58333333333333337</v>
      </c>
      <c r="J452" t="s">
        <v>451</v>
      </c>
      <c r="L452" t="s">
        <v>452</v>
      </c>
      <c r="M452" t="s">
        <v>1122</v>
      </c>
      <c r="N452" t="s">
        <v>1123</v>
      </c>
      <c r="O452">
        <v>5951585</v>
      </c>
      <c r="Q452" t="s">
        <v>2259</v>
      </c>
      <c r="R452" t="s">
        <v>476</v>
      </c>
      <c r="S452" t="s">
        <v>52</v>
      </c>
      <c r="U452">
        <v>890332</v>
      </c>
      <c r="V452" s="3">
        <v>46063.338194444441</v>
      </c>
      <c r="W452" t="s">
        <v>1124</v>
      </c>
      <c r="X452" t="s">
        <v>1125</v>
      </c>
      <c r="Y452" t="str">
        <f>"0406622986"</f>
        <v>0406622986</v>
      </c>
      <c r="Z452" t="s">
        <v>70</v>
      </c>
      <c r="AA452" s="1">
        <v>46066</v>
      </c>
      <c r="AB452" t="s">
        <v>459</v>
      </c>
      <c r="AD452" t="s">
        <v>306</v>
      </c>
      <c r="AE452" t="s">
        <v>460</v>
      </c>
      <c r="AF452">
        <v>3058</v>
      </c>
      <c r="AG452" t="s">
        <v>455</v>
      </c>
      <c r="AI452" t="s">
        <v>59</v>
      </c>
      <c r="AL452" t="s">
        <v>87</v>
      </c>
      <c r="AN452" s="3">
        <v>46066.582638888889</v>
      </c>
      <c r="AO452" t="s">
        <v>1124</v>
      </c>
    </row>
    <row r="453" spans="1:41" x14ac:dyDescent="0.3">
      <c r="A453" t="s">
        <v>41</v>
      </c>
      <c r="B453" t="s">
        <v>551</v>
      </c>
      <c r="C453" t="s">
        <v>1547</v>
      </c>
      <c r="D453" t="s">
        <v>246</v>
      </c>
      <c r="E453" s="1">
        <v>46066</v>
      </c>
      <c r="F453" t="s">
        <v>2113</v>
      </c>
      <c r="G453" t="s">
        <v>45</v>
      </c>
      <c r="H453" s="2">
        <v>0.375</v>
      </c>
      <c r="I453" s="2">
        <v>0.72916666666666663</v>
      </c>
      <c r="J453" t="s">
        <v>46</v>
      </c>
      <c r="K453" t="s">
        <v>427</v>
      </c>
      <c r="L453" t="s">
        <v>47</v>
      </c>
      <c r="M453" t="s">
        <v>1497</v>
      </c>
      <c r="N453" t="s">
        <v>465</v>
      </c>
      <c r="O453">
        <v>5950806</v>
      </c>
      <c r="Q453" t="s">
        <v>2260</v>
      </c>
      <c r="R453" t="s">
        <v>723</v>
      </c>
      <c r="S453" t="s">
        <v>52</v>
      </c>
      <c r="U453">
        <v>890371</v>
      </c>
      <c r="V453" s="3">
        <v>46059.565972222219</v>
      </c>
      <c r="W453" t="s">
        <v>1498</v>
      </c>
      <c r="X453" t="s">
        <v>1499</v>
      </c>
      <c r="Y453" t="str">
        <f>"0425332962"</f>
        <v>0425332962</v>
      </c>
      <c r="Z453" t="s">
        <v>375</v>
      </c>
      <c r="AA453" s="1">
        <v>46066</v>
      </c>
      <c r="AB453" t="s">
        <v>559</v>
      </c>
      <c r="AD453" t="s">
        <v>41</v>
      </c>
      <c r="AE453" t="s">
        <v>560</v>
      </c>
      <c r="AF453">
        <v>4131</v>
      </c>
      <c r="AG453" t="s">
        <v>2261</v>
      </c>
      <c r="AI453" t="s">
        <v>59</v>
      </c>
      <c r="AL453" t="s">
        <v>2262</v>
      </c>
      <c r="AM453" t="s">
        <v>2263</v>
      </c>
      <c r="AN453" s="3">
        <v>46066.788194444445</v>
      </c>
      <c r="AO453" t="s">
        <v>1498</v>
      </c>
    </row>
    <row r="454" spans="1:41" x14ac:dyDescent="0.3">
      <c r="A454" t="s">
        <v>168</v>
      </c>
      <c r="B454" t="s">
        <v>2264</v>
      </c>
      <c r="C454" t="s">
        <v>2265</v>
      </c>
      <c r="D454" t="s">
        <v>127</v>
      </c>
      <c r="E454" s="1">
        <v>46066</v>
      </c>
      <c r="F454" t="s">
        <v>2113</v>
      </c>
      <c r="G454" t="s">
        <v>45</v>
      </c>
      <c r="H454" s="2">
        <v>0.375</v>
      </c>
      <c r="I454" s="2">
        <v>0.52083333333333337</v>
      </c>
      <c r="J454" t="s">
        <v>170</v>
      </c>
      <c r="K454" t="s">
        <v>2266</v>
      </c>
      <c r="L454" t="s">
        <v>47</v>
      </c>
      <c r="M454" t="s">
        <v>1401</v>
      </c>
      <c r="N454" t="s">
        <v>1944</v>
      </c>
      <c r="O454">
        <v>22123</v>
      </c>
      <c r="Q454" t="s">
        <v>2267</v>
      </c>
      <c r="R454" t="s">
        <v>231</v>
      </c>
      <c r="S454" t="s">
        <v>52</v>
      </c>
      <c r="U454">
        <v>890306</v>
      </c>
      <c r="V454" s="3">
        <v>46066.370833333334</v>
      </c>
      <c r="W454" t="s">
        <v>1945</v>
      </c>
      <c r="X454" t="s">
        <v>1946</v>
      </c>
      <c r="Y454" t="str">
        <f>"0439908622"</f>
        <v>0439908622</v>
      </c>
      <c r="Z454" t="s">
        <v>70</v>
      </c>
      <c r="AB454" t="s">
        <v>2268</v>
      </c>
      <c r="AC454" t="s">
        <v>2269</v>
      </c>
      <c r="AD454" t="s">
        <v>168</v>
      </c>
      <c r="AE454" t="s">
        <v>384</v>
      </c>
      <c r="AF454">
        <v>5000</v>
      </c>
      <c r="AG454" t="s">
        <v>2267</v>
      </c>
      <c r="AI454" t="s">
        <v>59</v>
      </c>
      <c r="AL454" t="s">
        <v>2270</v>
      </c>
      <c r="AN454" s="3">
        <v>46066.507638888892</v>
      </c>
      <c r="AO454" t="s">
        <v>1945</v>
      </c>
    </row>
    <row r="455" spans="1:41" x14ac:dyDescent="0.3">
      <c r="A455" t="s">
        <v>168</v>
      </c>
      <c r="B455" t="s">
        <v>689</v>
      </c>
      <c r="C455" t="s">
        <v>43</v>
      </c>
      <c r="D455" t="s">
        <v>268</v>
      </c>
      <c r="E455" s="1">
        <v>46066</v>
      </c>
      <c r="F455" t="s">
        <v>2113</v>
      </c>
      <c r="G455" t="s">
        <v>45</v>
      </c>
      <c r="H455" s="2">
        <v>0.375</v>
      </c>
      <c r="I455" s="2">
        <v>0.72916666666666663</v>
      </c>
      <c r="J455" t="s">
        <v>100</v>
      </c>
      <c r="L455" t="s">
        <v>100</v>
      </c>
      <c r="M455" t="s">
        <v>862</v>
      </c>
      <c r="N455" t="s">
        <v>863</v>
      </c>
      <c r="O455">
        <v>5952375</v>
      </c>
      <c r="Q455" t="s">
        <v>692</v>
      </c>
      <c r="R455" t="s">
        <v>864</v>
      </c>
      <c r="S455" t="s">
        <v>52</v>
      </c>
      <c r="T455" t="s">
        <v>252</v>
      </c>
      <c r="U455">
        <v>890612</v>
      </c>
      <c r="V455" s="3">
        <v>46069.457638888889</v>
      </c>
      <c r="W455" t="s">
        <v>864</v>
      </c>
      <c r="X455" t="s">
        <v>865</v>
      </c>
      <c r="Y455" t="str">
        <f>"0433092113"</f>
        <v>0433092113</v>
      </c>
      <c r="Z455" t="s">
        <v>545</v>
      </c>
      <c r="AA455" s="1">
        <v>46075</v>
      </c>
      <c r="AB455" t="s">
        <v>695</v>
      </c>
      <c r="AD455" t="s">
        <v>168</v>
      </c>
      <c r="AE455" t="s">
        <v>696</v>
      </c>
      <c r="AF455">
        <v>5606</v>
      </c>
      <c r="AG455" t="s">
        <v>866</v>
      </c>
      <c r="AI455" t="s">
        <v>59</v>
      </c>
      <c r="AJ455" t="str">
        <f>"0020187960"</f>
        <v>0020187960</v>
      </c>
      <c r="AN455" s="3">
        <v>46069.457638888889</v>
      </c>
      <c r="AO455" t="s">
        <v>864</v>
      </c>
    </row>
    <row r="456" spans="1:41" x14ac:dyDescent="0.3">
      <c r="A456" t="s">
        <v>61</v>
      </c>
      <c r="B456" t="s">
        <v>1462</v>
      </c>
      <c r="C456" t="s">
        <v>43</v>
      </c>
      <c r="D456" t="s">
        <v>90</v>
      </c>
      <c r="E456" s="1">
        <v>46066</v>
      </c>
      <c r="F456" t="s">
        <v>2113</v>
      </c>
      <c r="G456" t="s">
        <v>45</v>
      </c>
      <c r="H456" s="2">
        <v>0.4375</v>
      </c>
      <c r="I456" s="2">
        <v>0.75</v>
      </c>
      <c r="J456" t="s">
        <v>46</v>
      </c>
      <c r="L456" t="s">
        <v>47</v>
      </c>
      <c r="M456" t="s">
        <v>914</v>
      </c>
      <c r="N456" t="s">
        <v>915</v>
      </c>
      <c r="O456">
        <v>5951931</v>
      </c>
      <c r="Q456" t="s">
        <v>1744</v>
      </c>
      <c r="R456" t="s">
        <v>67</v>
      </c>
      <c r="S456" t="s">
        <v>52</v>
      </c>
      <c r="U456">
        <v>890369</v>
      </c>
      <c r="V456" s="3">
        <v>46065.636111111111</v>
      </c>
      <c r="W456" t="s">
        <v>917</v>
      </c>
      <c r="X456" t="s">
        <v>918</v>
      </c>
      <c r="Y456" t="str">
        <f>"0402155331"</f>
        <v>0402155331</v>
      </c>
      <c r="Z456" t="s">
        <v>55</v>
      </c>
      <c r="AA456" s="1">
        <v>46066</v>
      </c>
      <c r="AB456" t="s">
        <v>1468</v>
      </c>
      <c r="AD456" t="s">
        <v>61</v>
      </c>
      <c r="AE456" t="s">
        <v>1469</v>
      </c>
      <c r="AF456">
        <v>2060</v>
      </c>
      <c r="AG456" t="s">
        <v>1744</v>
      </c>
      <c r="AI456" t="s">
        <v>59</v>
      </c>
      <c r="AL456" t="s">
        <v>2271</v>
      </c>
      <c r="AN456" s="3">
        <v>46066.782638888886</v>
      </c>
      <c r="AO456" t="s">
        <v>917</v>
      </c>
    </row>
    <row r="457" spans="1:41" x14ac:dyDescent="0.3">
      <c r="A457" t="s">
        <v>61</v>
      </c>
      <c r="B457" t="s">
        <v>62</v>
      </c>
      <c r="C457" t="s">
        <v>43</v>
      </c>
      <c r="D457" t="s">
        <v>63</v>
      </c>
      <c r="E457" s="1">
        <v>46066</v>
      </c>
      <c r="F457" t="s">
        <v>2113</v>
      </c>
      <c r="G457" t="s">
        <v>45</v>
      </c>
      <c r="H457" s="2">
        <v>0.4375</v>
      </c>
      <c r="I457" s="2">
        <v>0.99861111111111112</v>
      </c>
      <c r="J457" t="s">
        <v>46</v>
      </c>
      <c r="L457" t="s">
        <v>47</v>
      </c>
      <c r="M457" t="s">
        <v>2272</v>
      </c>
      <c r="N457" t="s">
        <v>2273</v>
      </c>
      <c r="O457">
        <v>20162</v>
      </c>
      <c r="Q457" t="s">
        <v>66</v>
      </c>
      <c r="R457" t="s">
        <v>67</v>
      </c>
      <c r="S457" t="s">
        <v>52</v>
      </c>
      <c r="U457">
        <v>890367</v>
      </c>
      <c r="V457" s="3">
        <v>46056.431944444441</v>
      </c>
      <c r="W457" t="s">
        <v>2274</v>
      </c>
      <c r="X457" t="s">
        <v>2275</v>
      </c>
      <c r="Y457" t="str">
        <f>"0404867665"</f>
        <v>0404867665</v>
      </c>
      <c r="Z457" t="s">
        <v>2276</v>
      </c>
      <c r="AA457" s="1">
        <v>46066</v>
      </c>
      <c r="AB457" t="s">
        <v>71</v>
      </c>
      <c r="AD457" t="s">
        <v>61</v>
      </c>
      <c r="AE457" t="s">
        <v>72</v>
      </c>
      <c r="AF457">
        <v>2747</v>
      </c>
      <c r="AG457" t="s">
        <v>73</v>
      </c>
      <c r="AI457" t="s">
        <v>59</v>
      </c>
      <c r="AL457" t="s">
        <v>2277</v>
      </c>
      <c r="AN457" s="3">
        <v>46066.772222222222</v>
      </c>
      <c r="AO457" t="s">
        <v>2274</v>
      </c>
    </row>
    <row r="458" spans="1:41" x14ac:dyDescent="0.3">
      <c r="A458" t="s">
        <v>61</v>
      </c>
      <c r="B458" t="s">
        <v>912</v>
      </c>
      <c r="C458" t="s">
        <v>913</v>
      </c>
      <c r="D458" t="s">
        <v>184</v>
      </c>
      <c r="E458" s="1">
        <v>46066</v>
      </c>
      <c r="F458" t="s">
        <v>2113</v>
      </c>
      <c r="G458" t="s">
        <v>45</v>
      </c>
      <c r="H458" s="2">
        <v>0.47916666666666669</v>
      </c>
      <c r="I458" s="2">
        <v>0.99861111111111112</v>
      </c>
      <c r="J458" t="s">
        <v>46</v>
      </c>
      <c r="L458" t="s">
        <v>47</v>
      </c>
      <c r="M458" t="s">
        <v>1080</v>
      </c>
      <c r="N458" t="s">
        <v>1081</v>
      </c>
      <c r="O458">
        <v>5951255</v>
      </c>
      <c r="Q458" t="s">
        <v>916</v>
      </c>
      <c r="R458" t="s">
        <v>132</v>
      </c>
      <c r="S458" t="s">
        <v>52</v>
      </c>
      <c r="U458">
        <v>890380</v>
      </c>
      <c r="V458" s="3">
        <v>46058.480555555558</v>
      </c>
      <c r="W458" t="s">
        <v>1083</v>
      </c>
      <c r="X458" t="s">
        <v>1084</v>
      </c>
      <c r="Y458" t="str">
        <f>"0451307044"</f>
        <v>0451307044</v>
      </c>
      <c r="Z458" t="s">
        <v>2278</v>
      </c>
      <c r="AB458" t="s">
        <v>920</v>
      </c>
      <c r="AC458" t="s">
        <v>921</v>
      </c>
      <c r="AD458" t="s">
        <v>61</v>
      </c>
      <c r="AE458" t="s">
        <v>922</v>
      </c>
      <c r="AF458">
        <v>2228</v>
      </c>
      <c r="AG458" t="s">
        <v>923</v>
      </c>
      <c r="AI458" t="s">
        <v>59</v>
      </c>
      <c r="AL458" t="s">
        <v>2127</v>
      </c>
      <c r="AN458" s="3">
        <v>46066.821527777778</v>
      </c>
      <c r="AO458" t="s">
        <v>1083</v>
      </c>
    </row>
    <row r="459" spans="1:41" x14ac:dyDescent="0.3">
      <c r="A459" t="s">
        <v>168</v>
      </c>
      <c r="B459" t="s">
        <v>400</v>
      </c>
      <c r="C459" t="s">
        <v>100</v>
      </c>
      <c r="D459" t="s">
        <v>401</v>
      </c>
      <c r="E459" s="1">
        <v>46066</v>
      </c>
      <c r="F459" t="s">
        <v>2113</v>
      </c>
      <c r="G459" t="s">
        <v>128</v>
      </c>
      <c r="H459" s="2">
        <v>0.5</v>
      </c>
      <c r="I459" s="2">
        <v>0.83333333333333337</v>
      </c>
      <c r="J459" t="s">
        <v>100</v>
      </c>
      <c r="L459" t="s">
        <v>100</v>
      </c>
      <c r="M459" t="s">
        <v>2279</v>
      </c>
      <c r="N459" t="s">
        <v>2280</v>
      </c>
      <c r="O459">
        <v>5951984</v>
      </c>
      <c r="Q459" t="s">
        <v>2281</v>
      </c>
      <c r="R459" t="s">
        <v>176</v>
      </c>
      <c r="S459" t="s">
        <v>52</v>
      </c>
      <c r="U459">
        <v>890385</v>
      </c>
      <c r="V459" s="3">
        <v>46064.427777777775</v>
      </c>
      <c r="W459" t="s">
        <v>2282</v>
      </c>
      <c r="X459" t="s">
        <v>2283</v>
      </c>
      <c r="Y459" t="str">
        <f>"0421440269"</f>
        <v>0421440269</v>
      </c>
      <c r="Z459" t="s">
        <v>503</v>
      </c>
      <c r="AA459" s="1">
        <v>46066</v>
      </c>
      <c r="AB459" t="s">
        <v>407</v>
      </c>
      <c r="AD459" t="s">
        <v>168</v>
      </c>
      <c r="AE459" t="s">
        <v>347</v>
      </c>
      <c r="AF459">
        <v>5042</v>
      </c>
      <c r="AG459" t="s">
        <v>1974</v>
      </c>
      <c r="AI459" t="s">
        <v>59</v>
      </c>
      <c r="AL459" t="s">
        <v>2284</v>
      </c>
      <c r="AN459" s="3">
        <v>46066.85</v>
      </c>
      <c r="AO459" t="s">
        <v>2282</v>
      </c>
    </row>
    <row r="460" spans="1:41" x14ac:dyDescent="0.3">
      <c r="A460" t="s">
        <v>61</v>
      </c>
      <c r="B460" t="s">
        <v>62</v>
      </c>
      <c r="C460" t="s">
        <v>43</v>
      </c>
      <c r="D460" t="s">
        <v>63</v>
      </c>
      <c r="E460" s="1">
        <v>46066</v>
      </c>
      <c r="F460" t="s">
        <v>2113</v>
      </c>
      <c r="G460" t="s">
        <v>128</v>
      </c>
      <c r="H460" s="2">
        <v>0.5</v>
      </c>
      <c r="I460" s="2">
        <v>0.98958333333333337</v>
      </c>
      <c r="J460" t="s">
        <v>101</v>
      </c>
      <c r="L460" t="s">
        <v>159</v>
      </c>
      <c r="M460" t="s">
        <v>949</v>
      </c>
      <c r="N460" t="s">
        <v>950</v>
      </c>
      <c r="O460">
        <v>21975</v>
      </c>
      <c r="Q460" t="s">
        <v>66</v>
      </c>
      <c r="R460" t="s">
        <v>67</v>
      </c>
      <c r="S460" t="s">
        <v>52</v>
      </c>
      <c r="U460">
        <v>890391</v>
      </c>
      <c r="V460" s="3">
        <v>46065.402083333334</v>
      </c>
      <c r="W460" t="s">
        <v>951</v>
      </c>
      <c r="X460" t="s">
        <v>952</v>
      </c>
      <c r="Y460" t="str">
        <f>"0412930014"</f>
        <v>0412930014</v>
      </c>
      <c r="Z460" t="s">
        <v>70</v>
      </c>
      <c r="AB460" t="s">
        <v>71</v>
      </c>
      <c r="AD460" t="s">
        <v>61</v>
      </c>
      <c r="AE460" t="s">
        <v>72</v>
      </c>
      <c r="AF460">
        <v>2747</v>
      </c>
      <c r="AG460" t="s">
        <v>73</v>
      </c>
      <c r="AI460" t="s">
        <v>59</v>
      </c>
      <c r="AL460" t="s">
        <v>2285</v>
      </c>
      <c r="AN460" s="3">
        <v>46066.870138888888</v>
      </c>
      <c r="AO460" t="s">
        <v>951</v>
      </c>
    </row>
    <row r="461" spans="1:41" x14ac:dyDescent="0.3">
      <c r="A461" t="s">
        <v>61</v>
      </c>
      <c r="B461" t="s">
        <v>62</v>
      </c>
      <c r="C461" t="s">
        <v>2286</v>
      </c>
      <c r="D461" t="s">
        <v>63</v>
      </c>
      <c r="E461" s="1">
        <v>46066</v>
      </c>
      <c r="F461" t="s">
        <v>2113</v>
      </c>
      <c r="G461" t="s">
        <v>128</v>
      </c>
      <c r="H461" s="2">
        <v>0.5</v>
      </c>
      <c r="I461" s="2">
        <v>0.85416666666666663</v>
      </c>
      <c r="J461" t="s">
        <v>101</v>
      </c>
      <c r="L461" t="s">
        <v>159</v>
      </c>
      <c r="M461" t="s">
        <v>1746</v>
      </c>
      <c r="N461" t="s">
        <v>1747</v>
      </c>
      <c r="O461">
        <v>20760</v>
      </c>
      <c r="Q461" t="s">
        <v>66</v>
      </c>
      <c r="R461" t="s">
        <v>67</v>
      </c>
      <c r="S461" t="s">
        <v>52</v>
      </c>
      <c r="U461">
        <v>890381</v>
      </c>
      <c r="V461" s="3">
        <v>46058.523611111108</v>
      </c>
      <c r="W461" t="s">
        <v>1748</v>
      </c>
      <c r="X461" t="s">
        <v>1749</v>
      </c>
      <c r="Y461" t="str">
        <f>"0433858379"</f>
        <v>0433858379</v>
      </c>
      <c r="Z461" t="s">
        <v>123</v>
      </c>
      <c r="AA461" s="1">
        <v>46066</v>
      </c>
      <c r="AB461" t="s">
        <v>71</v>
      </c>
      <c r="AD461" t="s">
        <v>61</v>
      </c>
      <c r="AE461" t="s">
        <v>72</v>
      </c>
      <c r="AF461">
        <v>2747</v>
      </c>
      <c r="AG461" t="s">
        <v>2287</v>
      </c>
      <c r="AI461" t="s">
        <v>59</v>
      </c>
      <c r="AL461" t="s">
        <v>2127</v>
      </c>
      <c r="AN461" s="3">
        <v>46066.827777777777</v>
      </c>
      <c r="AO461" t="s">
        <v>1748</v>
      </c>
    </row>
    <row r="462" spans="1:41" x14ac:dyDescent="0.3">
      <c r="A462" t="s">
        <v>168</v>
      </c>
      <c r="B462" t="s">
        <v>376</v>
      </c>
      <c r="C462" t="s">
        <v>100</v>
      </c>
      <c r="D462" t="s">
        <v>127</v>
      </c>
      <c r="E462" s="1">
        <v>46066</v>
      </c>
      <c r="F462" t="s">
        <v>2113</v>
      </c>
      <c r="G462" t="s">
        <v>128</v>
      </c>
      <c r="H462" s="2">
        <v>0.5</v>
      </c>
      <c r="I462" s="2">
        <v>0.83333333333333337</v>
      </c>
      <c r="J462" t="s">
        <v>100</v>
      </c>
      <c r="L462" t="s">
        <v>100</v>
      </c>
      <c r="M462" t="s">
        <v>2288</v>
      </c>
      <c r="N462" t="s">
        <v>2289</v>
      </c>
      <c r="O462">
        <v>5951792</v>
      </c>
      <c r="Q462" t="s">
        <v>670</v>
      </c>
      <c r="R462" t="s">
        <v>380</v>
      </c>
      <c r="S462" t="s">
        <v>52</v>
      </c>
      <c r="U462">
        <v>890383</v>
      </c>
      <c r="V462" s="3">
        <v>46045.365972222222</v>
      </c>
      <c r="W462" t="s">
        <v>2290</v>
      </c>
      <c r="X462" t="s">
        <v>2291</v>
      </c>
      <c r="Y462" t="str">
        <f>"0402715058"</f>
        <v>0402715058</v>
      </c>
      <c r="Z462" t="s">
        <v>375</v>
      </c>
      <c r="AA462" s="1">
        <v>46066</v>
      </c>
      <c r="AB462" t="s">
        <v>383</v>
      </c>
      <c r="AD462" t="s">
        <v>168</v>
      </c>
      <c r="AE462" t="s">
        <v>384</v>
      </c>
      <c r="AF462">
        <v>5000</v>
      </c>
      <c r="AI462" t="s">
        <v>59</v>
      </c>
      <c r="AL462" t="s">
        <v>385</v>
      </c>
      <c r="AN462" s="3">
        <v>46066.835416666669</v>
      </c>
      <c r="AO462" t="s">
        <v>2290</v>
      </c>
    </row>
    <row r="463" spans="1:41" x14ac:dyDescent="0.3">
      <c r="A463" t="s">
        <v>168</v>
      </c>
      <c r="B463" t="s">
        <v>982</v>
      </c>
      <c r="C463" t="s">
        <v>100</v>
      </c>
      <c r="D463" t="s">
        <v>127</v>
      </c>
      <c r="E463" s="1">
        <v>46066</v>
      </c>
      <c r="F463" t="s">
        <v>2113</v>
      </c>
      <c r="G463" t="s">
        <v>128</v>
      </c>
      <c r="H463" s="2">
        <v>0.5</v>
      </c>
      <c r="I463" s="2">
        <v>0.83333333333333337</v>
      </c>
      <c r="J463" t="s">
        <v>100</v>
      </c>
      <c r="L463" t="s">
        <v>100</v>
      </c>
      <c r="M463" t="s">
        <v>411</v>
      </c>
      <c r="N463" t="s">
        <v>412</v>
      </c>
      <c r="O463">
        <v>228</v>
      </c>
      <c r="Q463" t="s">
        <v>983</v>
      </c>
      <c r="R463" t="s">
        <v>231</v>
      </c>
      <c r="S463" t="s">
        <v>52</v>
      </c>
      <c r="U463">
        <v>890386</v>
      </c>
      <c r="V463" s="3">
        <v>46030.459722222222</v>
      </c>
      <c r="W463" t="s">
        <v>415</v>
      </c>
      <c r="X463" t="s">
        <v>416</v>
      </c>
      <c r="Y463" t="str">
        <f>"0414869673"</f>
        <v>0414869673</v>
      </c>
      <c r="Z463" t="s">
        <v>84</v>
      </c>
      <c r="AB463" t="s">
        <v>985</v>
      </c>
      <c r="AD463" t="s">
        <v>168</v>
      </c>
      <c r="AE463" t="s">
        <v>279</v>
      </c>
      <c r="AF463">
        <v>5092</v>
      </c>
      <c r="AG463" t="s">
        <v>986</v>
      </c>
      <c r="AI463" t="s">
        <v>59</v>
      </c>
      <c r="AL463" t="s">
        <v>987</v>
      </c>
      <c r="AN463" s="3">
        <v>46066.853472222225</v>
      </c>
      <c r="AO463" t="s">
        <v>415</v>
      </c>
    </row>
    <row r="464" spans="1:41" x14ac:dyDescent="0.3">
      <c r="A464" t="s">
        <v>61</v>
      </c>
      <c r="B464" t="s">
        <v>62</v>
      </c>
      <c r="C464" t="s">
        <v>43</v>
      </c>
      <c r="D464" t="s">
        <v>63</v>
      </c>
      <c r="E464" s="1">
        <v>46066</v>
      </c>
      <c r="F464" t="s">
        <v>2113</v>
      </c>
      <c r="G464" t="s">
        <v>128</v>
      </c>
      <c r="H464" s="2">
        <v>0.52083333333333337</v>
      </c>
      <c r="I464" s="2">
        <v>0.99861111111111112</v>
      </c>
      <c r="J464" t="s">
        <v>101</v>
      </c>
      <c r="L464" t="s">
        <v>159</v>
      </c>
      <c r="M464" t="s">
        <v>645</v>
      </c>
      <c r="N464" t="s">
        <v>646</v>
      </c>
      <c r="O464">
        <v>5950942</v>
      </c>
      <c r="Q464" t="s">
        <v>66</v>
      </c>
      <c r="R464" t="s">
        <v>67</v>
      </c>
      <c r="S464" t="s">
        <v>52</v>
      </c>
      <c r="U464">
        <v>890390</v>
      </c>
      <c r="V464" s="3">
        <v>46056.431944444441</v>
      </c>
      <c r="W464" t="s">
        <v>647</v>
      </c>
      <c r="X464" t="s">
        <v>648</v>
      </c>
      <c r="Y464" t="str">
        <f>"0411463760"</f>
        <v>0411463760</v>
      </c>
      <c r="Z464" t="s">
        <v>2292</v>
      </c>
      <c r="AB464" t="s">
        <v>71</v>
      </c>
      <c r="AD464" t="s">
        <v>61</v>
      </c>
      <c r="AE464" t="s">
        <v>72</v>
      </c>
      <c r="AF464">
        <v>2747</v>
      </c>
      <c r="AG464" t="s">
        <v>73</v>
      </c>
      <c r="AI464" t="s">
        <v>59</v>
      </c>
      <c r="AL464" t="s">
        <v>2293</v>
      </c>
      <c r="AN464" s="3">
        <v>46066.868750000001</v>
      </c>
      <c r="AO464" t="s">
        <v>647</v>
      </c>
    </row>
    <row r="465" spans="1:41" x14ac:dyDescent="0.3">
      <c r="A465" t="s">
        <v>61</v>
      </c>
      <c r="B465" t="s">
        <v>182</v>
      </c>
      <c r="C465" t="s">
        <v>183</v>
      </c>
      <c r="D465" t="s">
        <v>184</v>
      </c>
      <c r="E465" s="1">
        <v>46066</v>
      </c>
      <c r="F465" t="s">
        <v>2113</v>
      </c>
      <c r="G465" t="s">
        <v>128</v>
      </c>
      <c r="H465" s="2">
        <v>0.52083333333333337</v>
      </c>
      <c r="I465" s="2">
        <v>0.99861111111111112</v>
      </c>
      <c r="J465" t="s">
        <v>185</v>
      </c>
      <c r="L465" t="s">
        <v>186</v>
      </c>
      <c r="M465" t="s">
        <v>2294</v>
      </c>
      <c r="N465" t="s">
        <v>2295</v>
      </c>
      <c r="O465">
        <v>21957</v>
      </c>
      <c r="Q465" t="s">
        <v>189</v>
      </c>
      <c r="R465" t="s">
        <v>132</v>
      </c>
      <c r="S465" t="s">
        <v>52</v>
      </c>
      <c r="U465">
        <v>890374</v>
      </c>
      <c r="V465" s="3">
        <v>46057.534722222219</v>
      </c>
      <c r="W465" t="s">
        <v>2296</v>
      </c>
      <c r="X465" t="s">
        <v>2297</v>
      </c>
      <c r="Y465" t="str">
        <f>"0433583022"</f>
        <v>0433583022</v>
      </c>
      <c r="Z465" t="s">
        <v>2298</v>
      </c>
      <c r="AB465" t="s">
        <v>193</v>
      </c>
      <c r="AD465" t="s">
        <v>61</v>
      </c>
      <c r="AE465" t="s">
        <v>194</v>
      </c>
      <c r="AF465">
        <v>2229</v>
      </c>
      <c r="AG465" t="s">
        <v>189</v>
      </c>
      <c r="AI465" t="s">
        <v>59</v>
      </c>
      <c r="AL465" t="s">
        <v>2129</v>
      </c>
      <c r="AN465" s="3">
        <v>46066.809027777781</v>
      </c>
      <c r="AO465" t="s">
        <v>2296</v>
      </c>
    </row>
    <row r="466" spans="1:41" x14ac:dyDescent="0.3">
      <c r="A466" t="s">
        <v>61</v>
      </c>
      <c r="B466" t="s">
        <v>1079</v>
      </c>
      <c r="C466" t="s">
        <v>43</v>
      </c>
      <c r="D466" t="s">
        <v>63</v>
      </c>
      <c r="E466" s="1">
        <v>46066</v>
      </c>
      <c r="F466" t="s">
        <v>2113</v>
      </c>
      <c r="G466" t="s">
        <v>128</v>
      </c>
      <c r="H466" s="2">
        <v>0.52083333333333337</v>
      </c>
      <c r="I466" s="2">
        <v>0.875</v>
      </c>
      <c r="J466" t="s">
        <v>46</v>
      </c>
      <c r="L466" t="s">
        <v>298</v>
      </c>
      <c r="M466" t="s">
        <v>960</v>
      </c>
      <c r="N466" t="s">
        <v>961</v>
      </c>
      <c r="O466">
        <v>5952208</v>
      </c>
      <c r="Q466" t="s">
        <v>1087</v>
      </c>
      <c r="R466" t="s">
        <v>67</v>
      </c>
      <c r="S466" t="s">
        <v>52</v>
      </c>
      <c r="U466">
        <v>890388</v>
      </c>
      <c r="V466" s="3">
        <v>46059.355555555558</v>
      </c>
      <c r="W466" t="s">
        <v>962</v>
      </c>
      <c r="X466" t="s">
        <v>963</v>
      </c>
      <c r="Y466" t="str">
        <f>"0427301257"</f>
        <v>0427301257</v>
      </c>
      <c r="Z466" t="s">
        <v>545</v>
      </c>
      <c r="AA466" s="1">
        <v>46066</v>
      </c>
      <c r="AB466" t="s">
        <v>1085</v>
      </c>
      <c r="AD466" t="s">
        <v>61</v>
      </c>
      <c r="AE466" t="s">
        <v>1086</v>
      </c>
      <c r="AF466">
        <v>2031</v>
      </c>
      <c r="AG466" t="s">
        <v>2242</v>
      </c>
      <c r="AI466" t="s">
        <v>59</v>
      </c>
      <c r="AL466" t="s">
        <v>2127</v>
      </c>
      <c r="AN466" s="3">
        <v>46066.865277777775</v>
      </c>
      <c r="AO466" t="s">
        <v>962</v>
      </c>
    </row>
    <row r="467" spans="1:41" x14ac:dyDescent="0.3">
      <c r="A467" t="s">
        <v>61</v>
      </c>
      <c r="B467" t="s">
        <v>182</v>
      </c>
      <c r="C467" t="s">
        <v>183</v>
      </c>
      <c r="D467" t="s">
        <v>184</v>
      </c>
      <c r="E467" s="1">
        <v>46066</v>
      </c>
      <c r="F467" t="s">
        <v>2113</v>
      </c>
      <c r="G467" t="s">
        <v>128</v>
      </c>
      <c r="H467" s="2">
        <v>0.52083333333333337</v>
      </c>
      <c r="I467" s="2">
        <v>0.99861111111111112</v>
      </c>
      <c r="J467" t="s">
        <v>185</v>
      </c>
      <c r="L467" t="s">
        <v>186</v>
      </c>
      <c r="M467" t="s">
        <v>436</v>
      </c>
      <c r="N467" t="s">
        <v>437</v>
      </c>
      <c r="O467">
        <v>5951773</v>
      </c>
      <c r="Q467" t="s">
        <v>189</v>
      </c>
      <c r="R467" t="s">
        <v>132</v>
      </c>
      <c r="S467" t="s">
        <v>52</v>
      </c>
      <c r="U467">
        <v>890356</v>
      </c>
      <c r="V467" s="3">
        <v>46057.534722222219</v>
      </c>
      <c r="W467" t="s">
        <v>438</v>
      </c>
      <c r="X467" t="s">
        <v>439</v>
      </c>
      <c r="Y467" t="str">
        <f>"0405762113"</f>
        <v>0405762113</v>
      </c>
      <c r="Z467" t="s">
        <v>2299</v>
      </c>
      <c r="AB467" t="s">
        <v>193</v>
      </c>
      <c r="AD467" t="s">
        <v>61</v>
      </c>
      <c r="AE467" t="s">
        <v>194</v>
      </c>
      <c r="AF467">
        <v>2229</v>
      </c>
      <c r="AG467" t="s">
        <v>189</v>
      </c>
      <c r="AI467" t="s">
        <v>59</v>
      </c>
      <c r="AL467" t="s">
        <v>2127</v>
      </c>
      <c r="AN467" s="3">
        <v>46066.706944444442</v>
      </c>
      <c r="AO467" t="s">
        <v>438</v>
      </c>
    </row>
    <row r="468" spans="1:41" x14ac:dyDescent="0.3">
      <c r="A468" t="s">
        <v>61</v>
      </c>
      <c r="B468" t="s">
        <v>992</v>
      </c>
      <c r="C468" t="s">
        <v>993</v>
      </c>
      <c r="D468" t="s">
        <v>63</v>
      </c>
      <c r="E468" s="1">
        <v>46066</v>
      </c>
      <c r="F468" t="s">
        <v>2113</v>
      </c>
      <c r="G468" t="s">
        <v>128</v>
      </c>
      <c r="H468" s="2">
        <v>0.52083333333333337</v>
      </c>
      <c r="I468" s="2">
        <v>0.99861111111111112</v>
      </c>
      <c r="J468" t="s">
        <v>101</v>
      </c>
      <c r="L468" t="s">
        <v>159</v>
      </c>
      <c r="M468" t="s">
        <v>994</v>
      </c>
      <c r="N468" t="s">
        <v>995</v>
      </c>
      <c r="O468">
        <v>5951207</v>
      </c>
      <c r="Q468" t="s">
        <v>2300</v>
      </c>
      <c r="R468" t="s">
        <v>500</v>
      </c>
      <c r="S468" t="s">
        <v>52</v>
      </c>
      <c r="U468">
        <v>890373</v>
      </c>
      <c r="V468" s="3">
        <v>46060.6875</v>
      </c>
      <c r="W468" t="s">
        <v>997</v>
      </c>
      <c r="X468" t="s">
        <v>998</v>
      </c>
      <c r="Y468" t="str">
        <f>"0428557393"</f>
        <v>0428557393</v>
      </c>
      <c r="Z468" t="s">
        <v>2301</v>
      </c>
      <c r="AB468" t="s">
        <v>1000</v>
      </c>
      <c r="AD468" t="s">
        <v>61</v>
      </c>
      <c r="AE468" t="s">
        <v>1001</v>
      </c>
      <c r="AF468">
        <v>2560</v>
      </c>
      <c r="AG468" t="s">
        <v>996</v>
      </c>
      <c r="AI468" t="s">
        <v>59</v>
      </c>
      <c r="AL468" t="s">
        <v>2127</v>
      </c>
      <c r="AN468" s="3">
        <v>46066.79791666667</v>
      </c>
      <c r="AO468" t="s">
        <v>997</v>
      </c>
    </row>
    <row r="469" spans="1:41" x14ac:dyDescent="0.3">
      <c r="A469" t="s">
        <v>75</v>
      </c>
      <c r="B469" t="s">
        <v>1896</v>
      </c>
      <c r="C469" t="s">
        <v>43</v>
      </c>
      <c r="D469" t="s">
        <v>184</v>
      </c>
      <c r="E469" s="1">
        <v>46066</v>
      </c>
      <c r="F469" t="s">
        <v>2113</v>
      </c>
      <c r="G469" t="s">
        <v>128</v>
      </c>
      <c r="H469" s="2">
        <v>0.52083333333333337</v>
      </c>
      <c r="I469" s="2">
        <v>0.77083333333333337</v>
      </c>
      <c r="J469" t="s">
        <v>101</v>
      </c>
      <c r="L469" t="s">
        <v>159</v>
      </c>
      <c r="M469" t="s">
        <v>250</v>
      </c>
      <c r="N469" t="s">
        <v>2302</v>
      </c>
      <c r="O469">
        <v>5952443</v>
      </c>
      <c r="Q469" t="s">
        <v>2303</v>
      </c>
      <c r="R469" t="s">
        <v>81</v>
      </c>
      <c r="S469" t="s">
        <v>52</v>
      </c>
      <c r="U469">
        <v>890392</v>
      </c>
      <c r="V469" s="3">
        <v>46055.543055555558</v>
      </c>
      <c r="W469" t="s">
        <v>2304</v>
      </c>
      <c r="X469" t="s">
        <v>2305</v>
      </c>
      <c r="Y469" t="str">
        <f>"0402925703"</f>
        <v>0402925703</v>
      </c>
      <c r="Z469" t="s">
        <v>55</v>
      </c>
      <c r="AA469" s="1">
        <v>46066</v>
      </c>
      <c r="AB469" t="s">
        <v>1902</v>
      </c>
      <c r="AD469" t="s">
        <v>75</v>
      </c>
      <c r="AE469" t="s">
        <v>1903</v>
      </c>
      <c r="AF469">
        <v>6023</v>
      </c>
      <c r="AG469" t="s">
        <v>2303</v>
      </c>
      <c r="AI469" t="s">
        <v>59</v>
      </c>
      <c r="AL469" t="s">
        <v>87</v>
      </c>
      <c r="AN469" s="3">
        <v>46066.875</v>
      </c>
      <c r="AO469" t="s">
        <v>2304</v>
      </c>
    </row>
    <row r="470" spans="1:41" x14ac:dyDescent="0.3">
      <c r="A470" t="s">
        <v>168</v>
      </c>
      <c r="B470" t="s">
        <v>376</v>
      </c>
      <c r="C470" t="s">
        <v>43</v>
      </c>
      <c r="D470" t="s">
        <v>127</v>
      </c>
      <c r="E470" s="1">
        <v>46066</v>
      </c>
      <c r="F470" t="s">
        <v>2113</v>
      </c>
      <c r="G470" t="s">
        <v>128</v>
      </c>
      <c r="H470" s="2">
        <v>0.52152777777777781</v>
      </c>
      <c r="I470" s="2">
        <v>0.85416666666666663</v>
      </c>
      <c r="J470" t="s">
        <v>185</v>
      </c>
      <c r="K470" t="s">
        <v>2136</v>
      </c>
      <c r="L470" t="s">
        <v>186</v>
      </c>
      <c r="M470" t="s">
        <v>835</v>
      </c>
      <c r="N470" t="s">
        <v>836</v>
      </c>
      <c r="O470">
        <v>22947</v>
      </c>
      <c r="Q470" t="s">
        <v>670</v>
      </c>
      <c r="R470" t="s">
        <v>231</v>
      </c>
      <c r="S470" t="s">
        <v>52</v>
      </c>
      <c r="U470">
        <v>890352</v>
      </c>
      <c r="V470" s="3">
        <v>46035.645833333336</v>
      </c>
      <c r="W470" t="s">
        <v>837</v>
      </c>
      <c r="X470" t="s">
        <v>838</v>
      </c>
      <c r="Y470" t="str">
        <f>"0415626656"</f>
        <v>0415626656</v>
      </c>
      <c r="Z470" t="s">
        <v>545</v>
      </c>
      <c r="AA470" s="1">
        <v>46066</v>
      </c>
      <c r="AB470" t="s">
        <v>383</v>
      </c>
      <c r="AD470" t="s">
        <v>168</v>
      </c>
      <c r="AE470" t="s">
        <v>384</v>
      </c>
      <c r="AF470">
        <v>5000</v>
      </c>
      <c r="AG470" t="s">
        <v>674</v>
      </c>
      <c r="AI470" t="s">
        <v>59</v>
      </c>
      <c r="AL470" t="s">
        <v>385</v>
      </c>
      <c r="AN470" s="3">
        <v>46066.690972222219</v>
      </c>
      <c r="AO470" t="s">
        <v>837</v>
      </c>
    </row>
    <row r="471" spans="1:41" x14ac:dyDescent="0.3">
      <c r="A471" t="s">
        <v>61</v>
      </c>
      <c r="B471" t="s">
        <v>62</v>
      </c>
      <c r="C471" t="s">
        <v>100</v>
      </c>
      <c r="D471" t="s">
        <v>63</v>
      </c>
      <c r="E471" s="1">
        <v>46066</v>
      </c>
      <c r="F471" t="s">
        <v>2113</v>
      </c>
      <c r="G471" t="s">
        <v>128</v>
      </c>
      <c r="H471" s="2">
        <v>0.54166666666666663</v>
      </c>
      <c r="I471" s="2">
        <v>0.89583333333333337</v>
      </c>
      <c r="J471" t="s">
        <v>100</v>
      </c>
      <c r="L471" t="s">
        <v>100</v>
      </c>
      <c r="M471" t="s">
        <v>101</v>
      </c>
      <c r="N471" t="s">
        <v>102</v>
      </c>
      <c r="O471">
        <v>27</v>
      </c>
      <c r="Q471" t="s">
        <v>103</v>
      </c>
      <c r="R471" t="s">
        <v>67</v>
      </c>
      <c r="S471" t="s">
        <v>52</v>
      </c>
      <c r="U471">
        <v>890393</v>
      </c>
      <c r="V471" s="3">
        <v>46034.648611111108</v>
      </c>
      <c r="W471" t="s">
        <v>104</v>
      </c>
      <c r="X471" t="s">
        <v>105</v>
      </c>
      <c r="Y471" t="str">
        <f>"0403748369"</f>
        <v>0403748369</v>
      </c>
      <c r="Z471" t="s">
        <v>2306</v>
      </c>
      <c r="AA471" s="1">
        <v>46066</v>
      </c>
      <c r="AB471" t="s">
        <v>71</v>
      </c>
      <c r="AD471" t="s">
        <v>61</v>
      </c>
      <c r="AE471" t="s">
        <v>72</v>
      </c>
      <c r="AF471">
        <v>2747</v>
      </c>
      <c r="AG471" t="s">
        <v>107</v>
      </c>
      <c r="AI471" t="s">
        <v>59</v>
      </c>
      <c r="AL471" t="s">
        <v>2307</v>
      </c>
      <c r="AN471" s="3">
        <v>46066.882638888892</v>
      </c>
      <c r="AO471" t="s">
        <v>104</v>
      </c>
    </row>
    <row r="472" spans="1:41" x14ac:dyDescent="0.3">
      <c r="A472" t="s">
        <v>61</v>
      </c>
      <c r="B472" t="s">
        <v>768</v>
      </c>
      <c r="C472" t="s">
        <v>2308</v>
      </c>
      <c r="D472" t="s">
        <v>769</v>
      </c>
      <c r="E472" s="1">
        <v>46066</v>
      </c>
      <c r="F472" t="s">
        <v>2113</v>
      </c>
      <c r="G472" t="s">
        <v>128</v>
      </c>
      <c r="H472" s="2">
        <v>0.54166666666666663</v>
      </c>
      <c r="I472" s="2">
        <v>0.875</v>
      </c>
      <c r="J472" t="s">
        <v>185</v>
      </c>
      <c r="L472" t="s">
        <v>186</v>
      </c>
      <c r="M472" t="s">
        <v>2309</v>
      </c>
      <c r="N472" t="s">
        <v>2310</v>
      </c>
      <c r="O472">
        <v>5952011</v>
      </c>
      <c r="Q472" t="s">
        <v>2311</v>
      </c>
      <c r="R472" t="s">
        <v>67</v>
      </c>
      <c r="S472" t="s">
        <v>52</v>
      </c>
      <c r="U472">
        <v>890372</v>
      </c>
      <c r="V472" s="3">
        <v>46063.529861111114</v>
      </c>
      <c r="W472" t="s">
        <v>2312</v>
      </c>
      <c r="X472" t="s">
        <v>2313</v>
      </c>
      <c r="Y472" t="str">
        <f>"0410412022"</f>
        <v>0410412022</v>
      </c>
      <c r="Z472" t="s">
        <v>70</v>
      </c>
      <c r="AA472" s="1">
        <v>46066</v>
      </c>
      <c r="AB472" t="s">
        <v>775</v>
      </c>
      <c r="AD472" t="s">
        <v>61</v>
      </c>
      <c r="AE472" t="s">
        <v>776</v>
      </c>
      <c r="AF472">
        <v>2076</v>
      </c>
      <c r="AG472" t="s">
        <v>2311</v>
      </c>
      <c r="AI472" t="s">
        <v>59</v>
      </c>
      <c r="AL472" t="s">
        <v>2127</v>
      </c>
      <c r="AN472" s="3">
        <v>46066.795138888891</v>
      </c>
      <c r="AO472" t="s">
        <v>2312</v>
      </c>
    </row>
    <row r="473" spans="1:41" x14ac:dyDescent="0.3">
      <c r="A473" t="s">
        <v>168</v>
      </c>
      <c r="B473" t="s">
        <v>1312</v>
      </c>
      <c r="C473" t="s">
        <v>1313</v>
      </c>
      <c r="D473" t="s">
        <v>268</v>
      </c>
      <c r="E473" s="1">
        <v>46066</v>
      </c>
      <c r="F473" t="s">
        <v>2113</v>
      </c>
      <c r="G473" t="s">
        <v>128</v>
      </c>
      <c r="H473" s="2">
        <v>0.54166666666666663</v>
      </c>
      <c r="I473" s="2">
        <v>0.27083333333333331</v>
      </c>
      <c r="J473" t="s">
        <v>296</v>
      </c>
      <c r="K473" t="s">
        <v>849</v>
      </c>
      <c r="L473" t="s">
        <v>47</v>
      </c>
      <c r="M473" t="s">
        <v>1315</v>
      </c>
      <c r="N473" t="s">
        <v>1316</v>
      </c>
      <c r="O473">
        <v>22278</v>
      </c>
      <c r="Q473" t="s">
        <v>2314</v>
      </c>
      <c r="R473" t="s">
        <v>231</v>
      </c>
      <c r="S473" t="s">
        <v>52</v>
      </c>
      <c r="U473">
        <v>890474</v>
      </c>
      <c r="V473" s="3">
        <v>46065.420138888891</v>
      </c>
      <c r="W473" t="s">
        <v>1317</v>
      </c>
      <c r="X473" t="s">
        <v>1318</v>
      </c>
      <c r="Y473" t="str">
        <f>"0413259096"</f>
        <v>0413259096</v>
      </c>
      <c r="Z473" t="s">
        <v>70</v>
      </c>
      <c r="AA473" s="1">
        <v>46066</v>
      </c>
      <c r="AB473" t="s">
        <v>1312</v>
      </c>
      <c r="AC473" t="s">
        <v>1319</v>
      </c>
      <c r="AD473" t="s">
        <v>168</v>
      </c>
      <c r="AE473" t="s">
        <v>1320</v>
      </c>
      <c r="AF473">
        <v>5417</v>
      </c>
      <c r="AI473" t="s">
        <v>59</v>
      </c>
      <c r="AL473" t="s">
        <v>2315</v>
      </c>
      <c r="AM473" t="s">
        <v>2316</v>
      </c>
      <c r="AN473" s="3">
        <v>46069.356944444444</v>
      </c>
      <c r="AO473" t="s">
        <v>176</v>
      </c>
    </row>
    <row r="474" spans="1:41" x14ac:dyDescent="0.3">
      <c r="A474" t="s">
        <v>168</v>
      </c>
      <c r="B474" t="s">
        <v>336</v>
      </c>
      <c r="C474" t="s">
        <v>602</v>
      </c>
      <c r="D474" t="s">
        <v>268</v>
      </c>
      <c r="E474" s="1">
        <v>46066</v>
      </c>
      <c r="F474" t="s">
        <v>2113</v>
      </c>
      <c r="G474" t="s">
        <v>128</v>
      </c>
      <c r="H474" s="2">
        <v>0.54166666666666663</v>
      </c>
      <c r="I474" s="2">
        <v>0.89583333333333337</v>
      </c>
      <c r="J474" t="s">
        <v>269</v>
      </c>
      <c r="K474" t="s">
        <v>712</v>
      </c>
      <c r="L474" t="s">
        <v>713</v>
      </c>
      <c r="M474" t="s">
        <v>476</v>
      </c>
      <c r="N474" t="s">
        <v>714</v>
      </c>
      <c r="O474">
        <v>5951199</v>
      </c>
      <c r="P474" t="s">
        <v>712</v>
      </c>
      <c r="Q474" t="s">
        <v>342</v>
      </c>
      <c r="R474" t="s">
        <v>231</v>
      </c>
      <c r="S474" t="s">
        <v>52</v>
      </c>
      <c r="U474">
        <v>890397</v>
      </c>
      <c r="V474" s="3">
        <v>46057.479166666664</v>
      </c>
      <c r="W474" t="s">
        <v>715</v>
      </c>
      <c r="X474" t="s">
        <v>716</v>
      </c>
      <c r="Y474" t="str">
        <f>"0426611875"</f>
        <v>0426611875</v>
      </c>
      <c r="Z474" t="s">
        <v>70</v>
      </c>
      <c r="AA474" s="1">
        <v>46066</v>
      </c>
      <c r="AB474" t="s">
        <v>346</v>
      </c>
      <c r="AD474" t="s">
        <v>168</v>
      </c>
      <c r="AE474" t="s">
        <v>347</v>
      </c>
      <c r="AF474">
        <v>5042</v>
      </c>
      <c r="AG474" t="s">
        <v>342</v>
      </c>
      <c r="AI474" t="s">
        <v>59</v>
      </c>
      <c r="AL474" t="s">
        <v>2317</v>
      </c>
      <c r="AN474" s="3">
        <v>46066.915972222225</v>
      </c>
      <c r="AO474" t="s">
        <v>715</v>
      </c>
    </row>
    <row r="475" spans="1:41" x14ac:dyDescent="0.3">
      <c r="A475" t="s">
        <v>168</v>
      </c>
      <c r="B475" t="s">
        <v>1178</v>
      </c>
      <c r="C475" t="s">
        <v>43</v>
      </c>
      <c r="D475" t="s">
        <v>127</v>
      </c>
      <c r="E475" s="1">
        <v>46066</v>
      </c>
      <c r="F475" t="s">
        <v>2113</v>
      </c>
      <c r="G475" t="s">
        <v>128</v>
      </c>
      <c r="H475" s="2">
        <v>0.54166666666666663</v>
      </c>
      <c r="I475" s="2">
        <v>0.875</v>
      </c>
      <c r="J475" t="s">
        <v>101</v>
      </c>
      <c r="L475" t="s">
        <v>159</v>
      </c>
      <c r="M475" t="s">
        <v>2318</v>
      </c>
      <c r="N475" t="s">
        <v>2319</v>
      </c>
      <c r="O475">
        <v>5950670</v>
      </c>
      <c r="Q475" t="s">
        <v>2320</v>
      </c>
      <c r="R475" t="s">
        <v>1248</v>
      </c>
      <c r="S475" t="s">
        <v>52</v>
      </c>
      <c r="U475">
        <v>890375</v>
      </c>
      <c r="V475" s="3">
        <v>46065.785416666666</v>
      </c>
      <c r="W475" t="s">
        <v>2321</v>
      </c>
      <c r="X475" t="s">
        <v>2322</v>
      </c>
      <c r="Y475" t="str">
        <f>"0401640102"</f>
        <v>0401640102</v>
      </c>
      <c r="Z475" t="s">
        <v>70</v>
      </c>
      <c r="AA475" s="1">
        <v>46066</v>
      </c>
      <c r="AB475" t="s">
        <v>1184</v>
      </c>
      <c r="AD475" t="s">
        <v>168</v>
      </c>
      <c r="AE475" t="s">
        <v>1185</v>
      </c>
      <c r="AF475">
        <v>5066</v>
      </c>
      <c r="AG475" t="s">
        <v>2323</v>
      </c>
      <c r="AI475" t="s">
        <v>59</v>
      </c>
      <c r="AL475" t="s">
        <v>2324</v>
      </c>
      <c r="AN475" s="3">
        <v>46066.813888888886</v>
      </c>
      <c r="AO475" t="s">
        <v>2321</v>
      </c>
    </row>
    <row r="476" spans="1:41" x14ac:dyDescent="0.3">
      <c r="A476" t="s">
        <v>168</v>
      </c>
      <c r="B476" t="s">
        <v>1021</v>
      </c>
      <c r="C476" t="s">
        <v>216</v>
      </c>
      <c r="D476" t="s">
        <v>127</v>
      </c>
      <c r="E476" s="1">
        <v>46066</v>
      </c>
      <c r="F476" t="s">
        <v>2113</v>
      </c>
      <c r="G476" t="s">
        <v>128</v>
      </c>
      <c r="H476" s="2">
        <v>0.54166666666666663</v>
      </c>
      <c r="I476" s="2">
        <v>0.875</v>
      </c>
      <c r="J476" t="s">
        <v>101</v>
      </c>
      <c r="L476" t="s">
        <v>743</v>
      </c>
      <c r="M476" t="s">
        <v>744</v>
      </c>
      <c r="N476" t="s">
        <v>745</v>
      </c>
      <c r="O476">
        <v>5951894</v>
      </c>
      <c r="Q476" t="s">
        <v>1025</v>
      </c>
      <c r="R476" t="s">
        <v>1026</v>
      </c>
      <c r="S476" t="s">
        <v>52</v>
      </c>
      <c r="U476">
        <v>890366</v>
      </c>
      <c r="V476" s="3">
        <v>46062.370138888888</v>
      </c>
      <c r="W476" t="s">
        <v>746</v>
      </c>
      <c r="X476" t="s">
        <v>747</v>
      </c>
      <c r="Y476" t="str">
        <f>"0420536678"</f>
        <v>0420536678</v>
      </c>
      <c r="Z476" t="s">
        <v>70</v>
      </c>
      <c r="AA476" s="1">
        <v>46066</v>
      </c>
      <c r="AB476" t="s">
        <v>1029</v>
      </c>
      <c r="AD476" t="s">
        <v>168</v>
      </c>
      <c r="AE476" t="s">
        <v>1030</v>
      </c>
      <c r="AF476">
        <v>5022</v>
      </c>
      <c r="AI476" t="s">
        <v>59</v>
      </c>
      <c r="AL476" t="s">
        <v>2325</v>
      </c>
      <c r="AN476" s="3">
        <v>46066.772222222222</v>
      </c>
      <c r="AO476" t="s">
        <v>746</v>
      </c>
    </row>
    <row r="477" spans="1:41" x14ac:dyDescent="0.3">
      <c r="A477" t="s">
        <v>168</v>
      </c>
      <c r="B477" t="s">
        <v>376</v>
      </c>
      <c r="C477" t="s">
        <v>202</v>
      </c>
      <c r="D477" t="s">
        <v>127</v>
      </c>
      <c r="E477" s="1">
        <v>46066</v>
      </c>
      <c r="F477" t="s">
        <v>2113</v>
      </c>
      <c r="G477" t="s">
        <v>128</v>
      </c>
      <c r="H477" s="2">
        <v>0.54166666666666663</v>
      </c>
      <c r="I477" s="2">
        <v>0.875</v>
      </c>
      <c r="J477" t="s">
        <v>46</v>
      </c>
      <c r="L477" t="s">
        <v>47</v>
      </c>
      <c r="M477" t="s">
        <v>1401</v>
      </c>
      <c r="N477" t="s">
        <v>1944</v>
      </c>
      <c r="O477">
        <v>22123</v>
      </c>
      <c r="Q477" t="s">
        <v>1389</v>
      </c>
      <c r="R477" t="s">
        <v>231</v>
      </c>
      <c r="S477" t="s">
        <v>52</v>
      </c>
      <c r="U477">
        <v>890362</v>
      </c>
      <c r="V477" s="3">
        <v>46051.607638888891</v>
      </c>
      <c r="W477" t="s">
        <v>1945</v>
      </c>
      <c r="X477" t="s">
        <v>1946</v>
      </c>
      <c r="Y477" t="str">
        <f>"0439908622"</f>
        <v>0439908622</v>
      </c>
      <c r="Z477" t="s">
        <v>2326</v>
      </c>
      <c r="AB477" t="s">
        <v>383</v>
      </c>
      <c r="AD477" t="s">
        <v>168</v>
      </c>
      <c r="AE477" t="s">
        <v>384</v>
      </c>
      <c r="AF477">
        <v>5000</v>
      </c>
      <c r="AG477" t="s">
        <v>1389</v>
      </c>
      <c r="AI477" t="s">
        <v>59</v>
      </c>
      <c r="AL477" t="s">
        <v>385</v>
      </c>
      <c r="AN477" s="3">
        <v>46066.726388888892</v>
      </c>
      <c r="AO477" t="s">
        <v>1945</v>
      </c>
    </row>
    <row r="478" spans="1:41" x14ac:dyDescent="0.3">
      <c r="A478" t="s">
        <v>61</v>
      </c>
      <c r="B478" t="s">
        <v>182</v>
      </c>
      <c r="C478" t="s">
        <v>100</v>
      </c>
      <c r="D478" t="s">
        <v>184</v>
      </c>
      <c r="E478" s="1">
        <v>46066</v>
      </c>
      <c r="F478" t="s">
        <v>2113</v>
      </c>
      <c r="G478" t="s">
        <v>128</v>
      </c>
      <c r="H478" s="2">
        <v>0.54166666666666663</v>
      </c>
      <c r="I478" s="2">
        <v>0.89583333333333337</v>
      </c>
      <c r="J478" t="s">
        <v>100</v>
      </c>
      <c r="L478" t="s">
        <v>100</v>
      </c>
      <c r="M478" t="s">
        <v>2327</v>
      </c>
      <c r="N478" t="s">
        <v>2328</v>
      </c>
      <c r="O478">
        <v>21018</v>
      </c>
      <c r="Q478" t="s">
        <v>1190</v>
      </c>
      <c r="R478" t="s">
        <v>67</v>
      </c>
      <c r="S478" t="s">
        <v>52</v>
      </c>
      <c r="U478">
        <v>890370</v>
      </c>
      <c r="V478" s="3">
        <v>46044.34097222222</v>
      </c>
      <c r="W478" t="s">
        <v>2329</v>
      </c>
      <c r="X478" t="s">
        <v>2330</v>
      </c>
      <c r="Y478" t="str">
        <f>"0470381674"</f>
        <v>0470381674</v>
      </c>
      <c r="Z478" t="s">
        <v>2331</v>
      </c>
      <c r="AB478" t="s">
        <v>193</v>
      </c>
      <c r="AD478" t="s">
        <v>61</v>
      </c>
      <c r="AE478" t="s">
        <v>194</v>
      </c>
      <c r="AF478">
        <v>2229</v>
      </c>
      <c r="AG478" t="s">
        <v>1045</v>
      </c>
      <c r="AI478" t="s">
        <v>59</v>
      </c>
      <c r="AL478" t="s">
        <v>2127</v>
      </c>
      <c r="AN478" s="3">
        <v>46066.788194444445</v>
      </c>
      <c r="AO478" t="s">
        <v>2329</v>
      </c>
    </row>
    <row r="479" spans="1:41" x14ac:dyDescent="0.3">
      <c r="A479" t="s">
        <v>61</v>
      </c>
      <c r="B479" t="s">
        <v>1937</v>
      </c>
      <c r="C479" t="s">
        <v>100</v>
      </c>
      <c r="D479" t="s">
        <v>184</v>
      </c>
      <c r="E479" s="1">
        <v>46066</v>
      </c>
      <c r="F479" t="s">
        <v>2113</v>
      </c>
      <c r="G479" t="s">
        <v>128</v>
      </c>
      <c r="H479" s="2">
        <v>0.5625</v>
      </c>
      <c r="I479" s="2">
        <v>0.91666666666666663</v>
      </c>
      <c r="J479" t="s">
        <v>100</v>
      </c>
      <c r="L479" t="s">
        <v>100</v>
      </c>
      <c r="M479" t="s">
        <v>1938</v>
      </c>
      <c r="N479" t="s">
        <v>1939</v>
      </c>
      <c r="O479">
        <v>5951653</v>
      </c>
      <c r="Q479" t="s">
        <v>1087</v>
      </c>
      <c r="R479" t="s">
        <v>67</v>
      </c>
      <c r="S479" t="s">
        <v>52</v>
      </c>
      <c r="U479">
        <v>890398</v>
      </c>
      <c r="V479" s="3">
        <v>46051.433333333334</v>
      </c>
      <c r="W479" t="s">
        <v>1940</v>
      </c>
      <c r="X479" t="s">
        <v>1941</v>
      </c>
      <c r="Y479" t="str">
        <f>"0422928911"</f>
        <v>0422928911</v>
      </c>
      <c r="Z479" t="s">
        <v>984</v>
      </c>
      <c r="AA479" s="1">
        <v>46066</v>
      </c>
      <c r="AB479" t="s">
        <v>1942</v>
      </c>
      <c r="AD479" t="s">
        <v>61</v>
      </c>
      <c r="AE479" t="s">
        <v>1943</v>
      </c>
      <c r="AF479">
        <v>2065</v>
      </c>
      <c r="AG479" t="s">
        <v>1087</v>
      </c>
      <c r="AI479" t="s">
        <v>59</v>
      </c>
      <c r="AL479" t="s">
        <v>2127</v>
      </c>
      <c r="AN479" s="3">
        <v>46066.919444444444</v>
      </c>
      <c r="AO479" t="s">
        <v>1940</v>
      </c>
    </row>
    <row r="480" spans="1:41" x14ac:dyDescent="0.3">
      <c r="A480" t="s">
        <v>306</v>
      </c>
      <c r="B480" t="s">
        <v>1435</v>
      </c>
      <c r="C480" t="s">
        <v>2332</v>
      </c>
      <c r="D480" t="s">
        <v>1436</v>
      </c>
      <c r="E480" s="1">
        <v>46066</v>
      </c>
      <c r="F480" t="s">
        <v>2113</v>
      </c>
      <c r="G480" t="s">
        <v>128</v>
      </c>
      <c r="H480" s="2">
        <v>0.58333333333333337</v>
      </c>
      <c r="I480" s="2">
        <v>0.91666666666666663</v>
      </c>
      <c r="J480" t="s">
        <v>296</v>
      </c>
      <c r="L480" t="s">
        <v>310</v>
      </c>
      <c r="M480" t="s">
        <v>311</v>
      </c>
      <c r="N480" t="s">
        <v>312</v>
      </c>
      <c r="O480">
        <v>5952174</v>
      </c>
      <c r="Q480" t="s">
        <v>705</v>
      </c>
      <c r="R480" t="s">
        <v>1248</v>
      </c>
      <c r="S480" t="s">
        <v>52</v>
      </c>
      <c r="U480">
        <v>890394</v>
      </c>
      <c r="V480" s="3">
        <v>46065.879166666666</v>
      </c>
      <c r="W480" t="s">
        <v>315</v>
      </c>
      <c r="X480" t="s">
        <v>316</v>
      </c>
      <c r="Y480" t="str">
        <f>"0452621529"</f>
        <v>0452621529</v>
      </c>
      <c r="Z480" t="s">
        <v>70</v>
      </c>
      <c r="AA480" s="1">
        <v>46066</v>
      </c>
      <c r="AB480" t="s">
        <v>1438</v>
      </c>
      <c r="AD480" t="s">
        <v>306</v>
      </c>
      <c r="AE480" t="s">
        <v>1439</v>
      </c>
      <c r="AF480">
        <v>3128</v>
      </c>
      <c r="AG480" t="s">
        <v>413</v>
      </c>
      <c r="AI480" t="s">
        <v>59</v>
      </c>
      <c r="AL480" t="s">
        <v>87</v>
      </c>
      <c r="AN480" s="3">
        <v>46066.894444444442</v>
      </c>
      <c r="AO480" t="s">
        <v>315</v>
      </c>
    </row>
    <row r="481" spans="1:41" x14ac:dyDescent="0.3">
      <c r="A481" t="s">
        <v>61</v>
      </c>
      <c r="B481" t="s">
        <v>768</v>
      </c>
      <c r="C481" t="s">
        <v>2308</v>
      </c>
      <c r="D481" t="s">
        <v>769</v>
      </c>
      <c r="E481" s="1">
        <v>46066</v>
      </c>
      <c r="F481" t="s">
        <v>2113</v>
      </c>
      <c r="G481" t="s">
        <v>128</v>
      </c>
      <c r="H481" s="2">
        <v>0.58333333333333337</v>
      </c>
      <c r="I481" s="2">
        <v>0.875</v>
      </c>
      <c r="J481" t="s">
        <v>185</v>
      </c>
      <c r="L481" t="s">
        <v>186</v>
      </c>
      <c r="M481" t="s">
        <v>2333</v>
      </c>
      <c r="N481" t="s">
        <v>2334</v>
      </c>
      <c r="O481">
        <v>5950886</v>
      </c>
      <c r="Q481" t="s">
        <v>2311</v>
      </c>
      <c r="R481" t="s">
        <v>132</v>
      </c>
      <c r="S481" t="s">
        <v>52</v>
      </c>
      <c r="U481">
        <v>890378</v>
      </c>
      <c r="V481" s="3">
        <v>46059.393750000003</v>
      </c>
      <c r="W481" t="s">
        <v>2335</v>
      </c>
      <c r="X481" t="s">
        <v>2336</v>
      </c>
      <c r="Y481" t="str">
        <f>"0412581895"</f>
        <v>0412581895</v>
      </c>
      <c r="Z481" t="s">
        <v>55</v>
      </c>
      <c r="AA481" s="1">
        <v>46066</v>
      </c>
      <c r="AB481" t="s">
        <v>775</v>
      </c>
      <c r="AD481" t="s">
        <v>61</v>
      </c>
      <c r="AE481" t="s">
        <v>776</v>
      </c>
      <c r="AF481">
        <v>2076</v>
      </c>
      <c r="AG481" t="s">
        <v>2311</v>
      </c>
      <c r="AI481" t="s">
        <v>59</v>
      </c>
      <c r="AL481" t="s">
        <v>2127</v>
      </c>
      <c r="AN481" s="3">
        <v>46066.820138888892</v>
      </c>
      <c r="AO481" t="s">
        <v>2335</v>
      </c>
    </row>
    <row r="482" spans="1:41" x14ac:dyDescent="0.3">
      <c r="A482" t="s">
        <v>41</v>
      </c>
      <c r="B482" t="s">
        <v>568</v>
      </c>
      <c r="C482" t="s">
        <v>602</v>
      </c>
      <c r="D482" t="s">
        <v>246</v>
      </c>
      <c r="E482" s="1">
        <v>46066</v>
      </c>
      <c r="F482" t="s">
        <v>2113</v>
      </c>
      <c r="G482" t="s">
        <v>128</v>
      </c>
      <c r="H482" s="2">
        <v>0.60416666666666663</v>
      </c>
      <c r="I482" s="2">
        <v>0.95833333333333337</v>
      </c>
      <c r="J482" t="s">
        <v>269</v>
      </c>
      <c r="L482" t="s">
        <v>47</v>
      </c>
      <c r="M482" t="s">
        <v>603</v>
      </c>
      <c r="N482" t="s">
        <v>604</v>
      </c>
      <c r="O482">
        <v>80</v>
      </c>
      <c r="P482" t="s">
        <v>571</v>
      </c>
      <c r="Q482" t="s">
        <v>572</v>
      </c>
      <c r="R482" t="s">
        <v>573</v>
      </c>
      <c r="S482" t="s">
        <v>52</v>
      </c>
      <c r="T482" t="s">
        <v>252</v>
      </c>
      <c r="U482">
        <v>890753</v>
      </c>
      <c r="V482" s="3">
        <v>46070.46597222222</v>
      </c>
      <c r="W482" t="s">
        <v>605</v>
      </c>
      <c r="X482" t="s">
        <v>606</v>
      </c>
      <c r="Y482" t="str">
        <f>"0414330986"</f>
        <v>0414330986</v>
      </c>
      <c r="Z482" t="s">
        <v>375</v>
      </c>
      <c r="AA482" s="1">
        <v>46068</v>
      </c>
      <c r="AB482" t="s">
        <v>576</v>
      </c>
      <c r="AD482" t="s">
        <v>41</v>
      </c>
      <c r="AE482" t="s">
        <v>577</v>
      </c>
      <c r="AF482">
        <v>4700</v>
      </c>
      <c r="AG482" t="s">
        <v>572</v>
      </c>
      <c r="AI482" t="s">
        <v>59</v>
      </c>
      <c r="AJ482" t="str">
        <f>"0050075176"</f>
        <v>0050075176</v>
      </c>
      <c r="AN482" s="3">
        <v>46070.46597222222</v>
      </c>
      <c r="AO482" t="s">
        <v>573</v>
      </c>
    </row>
    <row r="483" spans="1:41" x14ac:dyDescent="0.3">
      <c r="A483" t="s">
        <v>168</v>
      </c>
      <c r="B483" t="s">
        <v>1963</v>
      </c>
      <c r="C483" t="s">
        <v>1964</v>
      </c>
      <c r="D483" t="s">
        <v>401</v>
      </c>
      <c r="E483" s="1">
        <v>46066</v>
      </c>
      <c r="F483" t="s">
        <v>2113</v>
      </c>
      <c r="G483" t="s">
        <v>128</v>
      </c>
      <c r="H483" s="2">
        <v>0.60416666666666663</v>
      </c>
      <c r="I483" s="2">
        <v>0.9375</v>
      </c>
      <c r="J483" t="s">
        <v>296</v>
      </c>
      <c r="K483" t="s">
        <v>750</v>
      </c>
      <c r="L483" t="s">
        <v>159</v>
      </c>
      <c r="M483" t="s">
        <v>1033</v>
      </c>
      <c r="N483" t="s">
        <v>1034</v>
      </c>
      <c r="O483">
        <v>5952456</v>
      </c>
      <c r="Q483" t="s">
        <v>2337</v>
      </c>
      <c r="R483" t="s">
        <v>231</v>
      </c>
      <c r="S483" t="s">
        <v>52</v>
      </c>
      <c r="U483">
        <v>890403</v>
      </c>
      <c r="V483" s="3">
        <v>46052.661111111112</v>
      </c>
      <c r="W483" t="s">
        <v>1035</v>
      </c>
      <c r="X483" t="s">
        <v>1036</v>
      </c>
      <c r="Y483" t="str">
        <f>"0431375216"</f>
        <v>0431375216</v>
      </c>
      <c r="Z483" t="s">
        <v>123</v>
      </c>
      <c r="AB483" t="s">
        <v>1967</v>
      </c>
      <c r="AD483" t="s">
        <v>168</v>
      </c>
      <c r="AE483" t="s">
        <v>1968</v>
      </c>
      <c r="AF483">
        <v>5000</v>
      </c>
      <c r="AG483" t="s">
        <v>2337</v>
      </c>
      <c r="AI483" t="s">
        <v>59</v>
      </c>
      <c r="AL483" t="s">
        <v>2338</v>
      </c>
      <c r="AN483" s="3">
        <v>46066.956944444442</v>
      </c>
      <c r="AO483" t="s">
        <v>1035</v>
      </c>
    </row>
    <row r="484" spans="1:41" x14ac:dyDescent="0.3">
      <c r="A484" t="s">
        <v>75</v>
      </c>
      <c r="B484" t="s">
        <v>895</v>
      </c>
      <c r="C484" t="s">
        <v>896</v>
      </c>
      <c r="D484" t="s">
        <v>184</v>
      </c>
      <c r="E484" s="1">
        <v>46066</v>
      </c>
      <c r="F484" t="s">
        <v>2113</v>
      </c>
      <c r="G484" t="s">
        <v>128</v>
      </c>
      <c r="H484" s="2">
        <v>0.625</v>
      </c>
      <c r="I484" s="2">
        <v>0.83333333333333337</v>
      </c>
      <c r="J484" t="s">
        <v>46</v>
      </c>
      <c r="L484" t="s">
        <v>47</v>
      </c>
      <c r="M484" t="s">
        <v>1206</v>
      </c>
      <c r="N484" t="s">
        <v>2339</v>
      </c>
      <c r="O484">
        <v>5950965</v>
      </c>
      <c r="Q484" t="s">
        <v>2206</v>
      </c>
      <c r="R484" t="s">
        <v>500</v>
      </c>
      <c r="S484" t="s">
        <v>52</v>
      </c>
      <c r="U484">
        <v>890399</v>
      </c>
      <c r="V484" s="3">
        <v>46042.95</v>
      </c>
      <c r="W484" t="s">
        <v>2340</v>
      </c>
      <c r="X484" t="s">
        <v>2341</v>
      </c>
      <c r="Y484" t="str">
        <f>"0417284000"</f>
        <v>0417284000</v>
      </c>
      <c r="Z484" t="s">
        <v>687</v>
      </c>
      <c r="AB484" t="s">
        <v>902</v>
      </c>
      <c r="AD484" t="s">
        <v>75</v>
      </c>
      <c r="AE484" t="s">
        <v>903</v>
      </c>
      <c r="AF484">
        <v>6009</v>
      </c>
      <c r="AG484" t="s">
        <v>2229</v>
      </c>
      <c r="AI484" t="s">
        <v>59</v>
      </c>
      <c r="AL484" t="s">
        <v>2342</v>
      </c>
      <c r="AN484" s="3">
        <v>46066.952777777777</v>
      </c>
      <c r="AO484" t="s">
        <v>2340</v>
      </c>
    </row>
    <row r="485" spans="1:41" x14ac:dyDescent="0.3">
      <c r="A485" t="s">
        <v>306</v>
      </c>
      <c r="B485" t="s">
        <v>450</v>
      </c>
      <c r="C485" t="s">
        <v>100</v>
      </c>
      <c r="D485" t="s">
        <v>63</v>
      </c>
      <c r="E485" s="1">
        <v>46066</v>
      </c>
      <c r="F485" t="s">
        <v>2113</v>
      </c>
      <c r="G485" t="s">
        <v>128</v>
      </c>
      <c r="H485" s="2">
        <v>0.625</v>
      </c>
      <c r="I485" s="2">
        <v>0.91666666666666663</v>
      </c>
      <c r="J485" t="s">
        <v>451</v>
      </c>
      <c r="L485" t="s">
        <v>473</v>
      </c>
      <c r="M485" t="s">
        <v>474</v>
      </c>
      <c r="N485" t="s">
        <v>475</v>
      </c>
      <c r="O485">
        <v>5950662</v>
      </c>
      <c r="Q485" t="s">
        <v>461</v>
      </c>
      <c r="R485" t="s">
        <v>476</v>
      </c>
      <c r="S485" t="s">
        <v>52</v>
      </c>
      <c r="U485">
        <v>890396</v>
      </c>
      <c r="V485" s="3">
        <v>46064.363194444442</v>
      </c>
      <c r="W485" t="s">
        <v>477</v>
      </c>
      <c r="X485" t="s">
        <v>478</v>
      </c>
      <c r="Y485" t="str">
        <f>"0449808311"</f>
        <v>0449808311</v>
      </c>
      <c r="Z485" t="s">
        <v>70</v>
      </c>
      <c r="AA485" s="1">
        <v>46066</v>
      </c>
      <c r="AB485" t="s">
        <v>459</v>
      </c>
      <c r="AD485" t="s">
        <v>306</v>
      </c>
      <c r="AE485" t="s">
        <v>460</v>
      </c>
      <c r="AF485">
        <v>3058</v>
      </c>
      <c r="AG485" t="s">
        <v>455</v>
      </c>
      <c r="AI485" t="s">
        <v>59</v>
      </c>
      <c r="AL485" t="s">
        <v>87</v>
      </c>
      <c r="AN485" s="3">
        <v>46066.90902777778</v>
      </c>
      <c r="AO485" t="s">
        <v>477</v>
      </c>
    </row>
    <row r="486" spans="1:41" x14ac:dyDescent="0.3">
      <c r="A486" t="s">
        <v>306</v>
      </c>
      <c r="B486" t="s">
        <v>450</v>
      </c>
      <c r="C486" t="s">
        <v>100</v>
      </c>
      <c r="D486" t="s">
        <v>63</v>
      </c>
      <c r="E486" s="1">
        <v>46066</v>
      </c>
      <c r="F486" t="s">
        <v>2113</v>
      </c>
      <c r="G486" t="s">
        <v>128</v>
      </c>
      <c r="H486" s="2">
        <v>0.625</v>
      </c>
      <c r="I486" s="2">
        <v>0.91666666666666663</v>
      </c>
      <c r="J486" t="s">
        <v>451</v>
      </c>
      <c r="L486" t="s">
        <v>452</v>
      </c>
      <c r="M486" t="s">
        <v>1980</v>
      </c>
      <c r="N486" t="s">
        <v>1981</v>
      </c>
      <c r="O486">
        <v>21297</v>
      </c>
      <c r="Q486" t="s">
        <v>455</v>
      </c>
      <c r="R486" t="s">
        <v>476</v>
      </c>
      <c r="S486" t="s">
        <v>52</v>
      </c>
      <c r="U486">
        <v>890395</v>
      </c>
      <c r="V486" s="3">
        <v>46062.376388888886</v>
      </c>
      <c r="W486" t="s">
        <v>1983</v>
      </c>
      <c r="X486" t="s">
        <v>1984</v>
      </c>
      <c r="Y486" t="str">
        <f>"0434131195"</f>
        <v>0434131195</v>
      </c>
      <c r="Z486" t="s">
        <v>70</v>
      </c>
      <c r="AA486" s="1">
        <v>46066</v>
      </c>
      <c r="AB486" t="s">
        <v>459</v>
      </c>
      <c r="AD486" t="s">
        <v>306</v>
      </c>
      <c r="AE486" t="s">
        <v>460</v>
      </c>
      <c r="AF486">
        <v>3058</v>
      </c>
      <c r="AG486" t="s">
        <v>455</v>
      </c>
      <c r="AI486" t="s">
        <v>59</v>
      </c>
      <c r="AL486" t="s">
        <v>87</v>
      </c>
      <c r="AN486" s="3">
        <v>46066.908333333333</v>
      </c>
      <c r="AO486" t="s">
        <v>1983</v>
      </c>
    </row>
    <row r="487" spans="1:41" x14ac:dyDescent="0.3">
      <c r="A487" t="s">
        <v>61</v>
      </c>
      <c r="B487" t="s">
        <v>753</v>
      </c>
      <c r="C487" t="s">
        <v>2343</v>
      </c>
      <c r="D487" t="s">
        <v>754</v>
      </c>
      <c r="E487" s="1">
        <v>46066</v>
      </c>
      <c r="F487" t="s">
        <v>2113</v>
      </c>
      <c r="G487" t="s">
        <v>485</v>
      </c>
      <c r="H487" s="2">
        <v>0.79166666666666663</v>
      </c>
      <c r="I487" s="2">
        <v>0.3125</v>
      </c>
      <c r="J487" t="s">
        <v>590</v>
      </c>
      <c r="L487" t="s">
        <v>487</v>
      </c>
      <c r="M487" t="s">
        <v>488</v>
      </c>
      <c r="N487" t="s">
        <v>489</v>
      </c>
      <c r="O487">
        <v>5951809</v>
      </c>
      <c r="Q487" t="s">
        <v>758</v>
      </c>
      <c r="R487" t="s">
        <v>67</v>
      </c>
      <c r="S487" t="s">
        <v>52</v>
      </c>
      <c r="U487">
        <v>890408</v>
      </c>
      <c r="V487" s="3">
        <v>46064.515277777777</v>
      </c>
      <c r="W487" t="s">
        <v>491</v>
      </c>
      <c r="X487" t="s">
        <v>492</v>
      </c>
      <c r="Y487" t="str">
        <f>"0431000508"</f>
        <v>0431000508</v>
      </c>
      <c r="Z487" t="s">
        <v>1635</v>
      </c>
      <c r="AA487" s="1">
        <v>46066</v>
      </c>
      <c r="AB487" t="s">
        <v>764</v>
      </c>
      <c r="AD487" t="s">
        <v>61</v>
      </c>
      <c r="AE487" t="s">
        <v>765</v>
      </c>
      <c r="AF487">
        <v>2220</v>
      </c>
      <c r="AG487" t="s">
        <v>758</v>
      </c>
      <c r="AI487" t="s">
        <v>59</v>
      </c>
      <c r="AL487" t="s">
        <v>2127</v>
      </c>
      <c r="AN487" s="3">
        <v>46067.302083333336</v>
      </c>
      <c r="AO487" t="s">
        <v>491</v>
      </c>
    </row>
    <row r="488" spans="1:41" x14ac:dyDescent="0.3">
      <c r="A488" t="s">
        <v>61</v>
      </c>
      <c r="B488" t="s">
        <v>507</v>
      </c>
      <c r="D488" t="s">
        <v>63</v>
      </c>
      <c r="E488" s="1">
        <v>46066</v>
      </c>
      <c r="F488" t="s">
        <v>2113</v>
      </c>
      <c r="G488" t="s">
        <v>485</v>
      </c>
      <c r="H488" s="2">
        <v>0.79166666666666663</v>
      </c>
      <c r="I488" s="2">
        <v>0.3125</v>
      </c>
      <c r="J488" t="s">
        <v>389</v>
      </c>
      <c r="L488" t="s">
        <v>487</v>
      </c>
      <c r="M488" t="s">
        <v>596</v>
      </c>
      <c r="N488" t="s">
        <v>1280</v>
      </c>
      <c r="O488">
        <v>5952187</v>
      </c>
      <c r="Q488" t="s">
        <v>516</v>
      </c>
      <c r="R488" t="s">
        <v>556</v>
      </c>
      <c r="S488" t="s">
        <v>52</v>
      </c>
      <c r="U488">
        <v>890411</v>
      </c>
      <c r="V488" s="3">
        <v>46064.99722222222</v>
      </c>
      <c r="W488" t="s">
        <v>1281</v>
      </c>
      <c r="X488" t="s">
        <v>1282</v>
      </c>
      <c r="Y488" t="str">
        <f>"0417203844"</f>
        <v>0417203844</v>
      </c>
      <c r="Z488" t="s">
        <v>550</v>
      </c>
      <c r="AB488" t="s">
        <v>514</v>
      </c>
      <c r="AD488" t="s">
        <v>61</v>
      </c>
      <c r="AE488" t="s">
        <v>515</v>
      </c>
      <c r="AF488">
        <v>2086</v>
      </c>
      <c r="AG488" t="s">
        <v>516</v>
      </c>
      <c r="AI488" t="s">
        <v>59</v>
      </c>
      <c r="AL488" t="s">
        <v>2344</v>
      </c>
      <c r="AN488" s="3">
        <v>46067.342361111114</v>
      </c>
      <c r="AO488" t="s">
        <v>1281</v>
      </c>
    </row>
    <row r="489" spans="1:41" x14ac:dyDescent="0.3">
      <c r="A489" t="s">
        <v>61</v>
      </c>
      <c r="B489" t="s">
        <v>507</v>
      </c>
      <c r="D489" t="s">
        <v>63</v>
      </c>
      <c r="E489" s="1">
        <v>46066</v>
      </c>
      <c r="F489" t="s">
        <v>2113</v>
      </c>
      <c r="G489" t="s">
        <v>485</v>
      </c>
      <c r="H489" s="2">
        <v>0.83333333333333337</v>
      </c>
      <c r="I489" s="2">
        <v>0.3125</v>
      </c>
      <c r="J489" t="s">
        <v>296</v>
      </c>
      <c r="L489" t="s">
        <v>298</v>
      </c>
      <c r="M489" t="s">
        <v>508</v>
      </c>
      <c r="N489" t="s">
        <v>509</v>
      </c>
      <c r="O489">
        <v>22014</v>
      </c>
      <c r="Q489" t="s">
        <v>1310</v>
      </c>
      <c r="R489" t="s">
        <v>208</v>
      </c>
      <c r="S489" t="s">
        <v>52</v>
      </c>
      <c r="U489">
        <v>890409</v>
      </c>
      <c r="V489" s="3">
        <v>46066.833333333336</v>
      </c>
      <c r="W489" t="s">
        <v>511</v>
      </c>
      <c r="X489" t="s">
        <v>512</v>
      </c>
      <c r="Y489" t="str">
        <f>"0430326260"</f>
        <v>0430326260</v>
      </c>
      <c r="Z489" t="s">
        <v>70</v>
      </c>
      <c r="AA489" s="1">
        <v>46066</v>
      </c>
      <c r="AB489" t="s">
        <v>514</v>
      </c>
      <c r="AD489" t="s">
        <v>61</v>
      </c>
      <c r="AE489" t="s">
        <v>515</v>
      </c>
      <c r="AF489">
        <v>2086</v>
      </c>
      <c r="AG489" t="s">
        <v>1310</v>
      </c>
      <c r="AI489" t="s">
        <v>59</v>
      </c>
      <c r="AN489" s="3">
        <v>46067.309027777781</v>
      </c>
      <c r="AO489" t="s">
        <v>511</v>
      </c>
    </row>
    <row r="490" spans="1:41" x14ac:dyDescent="0.3">
      <c r="A490" t="s">
        <v>41</v>
      </c>
      <c r="B490" t="s">
        <v>1452</v>
      </c>
      <c r="D490" t="s">
        <v>246</v>
      </c>
      <c r="E490" s="1">
        <v>46066</v>
      </c>
      <c r="F490" t="s">
        <v>2113</v>
      </c>
      <c r="G490" t="s">
        <v>485</v>
      </c>
      <c r="H490" s="2">
        <v>0.875</v>
      </c>
      <c r="I490" s="2">
        <v>0.3125</v>
      </c>
      <c r="J490" t="s">
        <v>296</v>
      </c>
      <c r="L490" t="s">
        <v>1453</v>
      </c>
      <c r="M490" t="s">
        <v>1454</v>
      </c>
      <c r="N490" t="s">
        <v>1455</v>
      </c>
      <c r="O490">
        <v>5951941</v>
      </c>
      <c r="Q490" t="s">
        <v>1456</v>
      </c>
      <c r="R490" t="s">
        <v>573</v>
      </c>
      <c r="S490" t="s">
        <v>52</v>
      </c>
      <c r="T490" t="s">
        <v>252</v>
      </c>
      <c r="U490">
        <v>890652</v>
      </c>
      <c r="V490" s="3">
        <v>46069.638888888891</v>
      </c>
      <c r="W490" t="s">
        <v>1457</v>
      </c>
      <c r="X490" t="s">
        <v>1458</v>
      </c>
      <c r="Y490" t="str">
        <f>"0413847722"</f>
        <v>0413847722</v>
      </c>
      <c r="Z490" t="s">
        <v>345</v>
      </c>
      <c r="AA490" s="1">
        <v>46097</v>
      </c>
      <c r="AB490" t="s">
        <v>1459</v>
      </c>
      <c r="AD490" t="s">
        <v>41</v>
      </c>
      <c r="AE490" t="s">
        <v>1460</v>
      </c>
      <c r="AF490">
        <v>4740</v>
      </c>
      <c r="AG490" t="s">
        <v>1456</v>
      </c>
      <c r="AI490" t="s">
        <v>59</v>
      </c>
      <c r="AJ490" t="str">
        <f>"0050076628"</f>
        <v>0050076628</v>
      </c>
      <c r="AN490" s="3">
        <v>46069.638888888891</v>
      </c>
      <c r="AO490" t="s">
        <v>573</v>
      </c>
    </row>
    <row r="491" spans="1:41" x14ac:dyDescent="0.3">
      <c r="A491" t="s">
        <v>168</v>
      </c>
      <c r="B491" t="s">
        <v>336</v>
      </c>
      <c r="D491" t="s">
        <v>268</v>
      </c>
      <c r="E491" s="1">
        <v>46066</v>
      </c>
      <c r="F491" t="s">
        <v>2113</v>
      </c>
      <c r="G491" t="s">
        <v>485</v>
      </c>
      <c r="H491" s="2">
        <v>0.875</v>
      </c>
      <c r="I491" s="2">
        <v>0.3125</v>
      </c>
      <c r="J491" t="s">
        <v>296</v>
      </c>
      <c r="K491" t="s">
        <v>338</v>
      </c>
      <c r="L491" t="s">
        <v>522</v>
      </c>
      <c r="M491" t="s">
        <v>523</v>
      </c>
      <c r="N491" t="s">
        <v>524</v>
      </c>
      <c r="O491">
        <v>5951086</v>
      </c>
      <c r="P491" t="s">
        <v>338</v>
      </c>
      <c r="Q491" t="s">
        <v>342</v>
      </c>
      <c r="R491" t="s">
        <v>176</v>
      </c>
      <c r="S491" t="s">
        <v>52</v>
      </c>
      <c r="U491">
        <v>890404</v>
      </c>
      <c r="V491" s="3">
        <v>46050.414583333331</v>
      </c>
      <c r="W491" t="s">
        <v>525</v>
      </c>
      <c r="X491" t="s">
        <v>526</v>
      </c>
      <c r="Y491" t="str">
        <f>"0415251474"</f>
        <v>0415251474</v>
      </c>
      <c r="Z491" t="s">
        <v>234</v>
      </c>
      <c r="AA491" s="1">
        <v>46066</v>
      </c>
      <c r="AB491" t="s">
        <v>346</v>
      </c>
      <c r="AD491" t="s">
        <v>168</v>
      </c>
      <c r="AE491" t="s">
        <v>347</v>
      </c>
      <c r="AF491">
        <v>5042</v>
      </c>
      <c r="AG491" t="s">
        <v>342</v>
      </c>
      <c r="AI491" t="s">
        <v>59</v>
      </c>
      <c r="AL491" t="s">
        <v>2345</v>
      </c>
      <c r="AM491" t="s">
        <v>349</v>
      </c>
      <c r="AN491" s="3">
        <v>46066.966666666667</v>
      </c>
      <c r="AO491" t="s">
        <v>525</v>
      </c>
    </row>
    <row r="492" spans="1:41" x14ac:dyDescent="0.3">
      <c r="A492" t="s">
        <v>61</v>
      </c>
      <c r="B492" t="s">
        <v>62</v>
      </c>
      <c r="C492" t="s">
        <v>43</v>
      </c>
      <c r="D492" t="s">
        <v>63</v>
      </c>
      <c r="E492" s="1">
        <v>46077</v>
      </c>
      <c r="F492" t="s">
        <v>1376</v>
      </c>
      <c r="G492" t="s">
        <v>128</v>
      </c>
      <c r="H492" s="2">
        <v>0.5</v>
      </c>
      <c r="I492" s="2">
        <v>0.99861111111111112</v>
      </c>
      <c r="J492" t="s">
        <v>101</v>
      </c>
      <c r="L492" t="s">
        <v>159</v>
      </c>
      <c r="M492" t="s">
        <v>1746</v>
      </c>
      <c r="N492" t="s">
        <v>1747</v>
      </c>
      <c r="O492">
        <v>20760</v>
      </c>
      <c r="Q492" t="s">
        <v>2346</v>
      </c>
      <c r="R492" t="s">
        <v>67</v>
      </c>
      <c r="S492" t="s">
        <v>52</v>
      </c>
      <c r="U492">
        <v>891670</v>
      </c>
      <c r="V492" s="3">
        <v>46076.477083333331</v>
      </c>
      <c r="W492" t="s">
        <v>1748</v>
      </c>
      <c r="X492" t="s">
        <v>1749</v>
      </c>
      <c r="Y492" t="str">
        <f>"0433858379"</f>
        <v>0433858379</v>
      </c>
      <c r="Z492" t="s">
        <v>70</v>
      </c>
      <c r="AB492" t="s">
        <v>71</v>
      </c>
      <c r="AD492" t="s">
        <v>61</v>
      </c>
      <c r="AE492" t="s">
        <v>72</v>
      </c>
      <c r="AF492">
        <v>2747</v>
      </c>
      <c r="AG492" t="s">
        <v>73</v>
      </c>
      <c r="AI492" t="s">
        <v>59</v>
      </c>
      <c r="AL492" t="s">
        <v>2347</v>
      </c>
      <c r="AN492" s="3">
        <v>46077.788888888892</v>
      </c>
      <c r="AO492" t="s">
        <v>1748</v>
      </c>
    </row>
    <row r="493" spans="1:41" x14ac:dyDescent="0.3">
      <c r="A493" t="s">
        <v>168</v>
      </c>
      <c r="B493" t="s">
        <v>982</v>
      </c>
      <c r="C493" t="s">
        <v>100</v>
      </c>
      <c r="D493" t="s">
        <v>127</v>
      </c>
      <c r="E493" s="1">
        <v>46077</v>
      </c>
      <c r="F493" t="s">
        <v>1376</v>
      </c>
      <c r="G493" t="s">
        <v>128</v>
      </c>
      <c r="H493" s="2">
        <v>0.5</v>
      </c>
      <c r="I493" s="2">
        <v>0.83333333333333337</v>
      </c>
      <c r="J493" t="s">
        <v>100</v>
      </c>
      <c r="L493" t="s">
        <v>100</v>
      </c>
      <c r="M493" t="s">
        <v>411</v>
      </c>
      <c r="N493" t="s">
        <v>412</v>
      </c>
      <c r="O493">
        <v>228</v>
      </c>
      <c r="Q493" t="s">
        <v>986</v>
      </c>
      <c r="R493" t="s">
        <v>176</v>
      </c>
      <c r="S493" t="s">
        <v>52</v>
      </c>
      <c r="U493">
        <v>891683</v>
      </c>
      <c r="V493" s="3">
        <v>46043.802777777775</v>
      </c>
      <c r="W493" t="s">
        <v>415</v>
      </c>
      <c r="X493" t="s">
        <v>416</v>
      </c>
      <c r="Y493" t="str">
        <f>"0414869673"</f>
        <v>0414869673</v>
      </c>
      <c r="Z493" t="s">
        <v>1299</v>
      </c>
      <c r="AB493" t="s">
        <v>985</v>
      </c>
      <c r="AD493" t="s">
        <v>168</v>
      </c>
      <c r="AE493" t="s">
        <v>279</v>
      </c>
      <c r="AF493">
        <v>5092</v>
      </c>
      <c r="AG493" t="s">
        <v>986</v>
      </c>
      <c r="AI493" t="s">
        <v>59</v>
      </c>
      <c r="AL493" t="s">
        <v>1098</v>
      </c>
      <c r="AN493" s="3">
        <v>46077.847222222219</v>
      </c>
      <c r="AO493" t="s">
        <v>415</v>
      </c>
    </row>
    <row r="494" spans="1:41" x14ac:dyDescent="0.3">
      <c r="A494" t="s">
        <v>168</v>
      </c>
      <c r="B494" t="s">
        <v>441</v>
      </c>
      <c r="C494" t="s">
        <v>101</v>
      </c>
      <c r="E494" s="1">
        <v>46077</v>
      </c>
      <c r="F494" t="s">
        <v>1376</v>
      </c>
      <c r="G494" t="s">
        <v>128</v>
      </c>
      <c r="H494" s="2">
        <v>0.50069444444444444</v>
      </c>
      <c r="I494" s="2">
        <v>0.83333333333333337</v>
      </c>
      <c r="J494" t="s">
        <v>101</v>
      </c>
      <c r="L494" t="s">
        <v>159</v>
      </c>
      <c r="M494" t="s">
        <v>1377</v>
      </c>
      <c r="N494" t="s">
        <v>1378</v>
      </c>
      <c r="O494">
        <v>22414</v>
      </c>
      <c r="Q494" t="s">
        <v>944</v>
      </c>
      <c r="R494" t="s">
        <v>208</v>
      </c>
      <c r="S494" t="s">
        <v>52</v>
      </c>
      <c r="U494">
        <v>891680</v>
      </c>
      <c r="V494" s="3">
        <v>46064.86041666667</v>
      </c>
      <c r="W494" t="s">
        <v>1379</v>
      </c>
      <c r="X494" t="s">
        <v>1380</v>
      </c>
      <c r="Y494" t="str">
        <f>"0425653004"</f>
        <v>0425653004</v>
      </c>
      <c r="Z494" t="s">
        <v>55</v>
      </c>
      <c r="AA494" s="1">
        <v>46077</v>
      </c>
      <c r="AB494" t="s">
        <v>448</v>
      </c>
      <c r="AD494" t="s">
        <v>168</v>
      </c>
      <c r="AE494" t="s">
        <v>180</v>
      </c>
      <c r="AF494">
        <v>5063</v>
      </c>
      <c r="AG494" t="s">
        <v>1381</v>
      </c>
      <c r="AI494" t="s">
        <v>59</v>
      </c>
      <c r="AL494" t="s">
        <v>1121</v>
      </c>
      <c r="AN494" s="3">
        <v>46077.822222222225</v>
      </c>
      <c r="AO494" t="s">
        <v>1379</v>
      </c>
    </row>
    <row r="495" spans="1:41" x14ac:dyDescent="0.3">
      <c r="A495" t="s">
        <v>168</v>
      </c>
      <c r="B495" t="s">
        <v>1199</v>
      </c>
      <c r="C495" t="s">
        <v>2348</v>
      </c>
      <c r="D495" t="s">
        <v>127</v>
      </c>
      <c r="E495" s="1">
        <v>46077</v>
      </c>
      <c r="F495" t="s">
        <v>1376</v>
      </c>
      <c r="G495" t="s">
        <v>128</v>
      </c>
      <c r="H495" s="2">
        <v>0.52083333333333337</v>
      </c>
      <c r="I495" s="2">
        <v>0.83333333333333337</v>
      </c>
      <c r="J495" t="s">
        <v>2349</v>
      </c>
      <c r="K495" t="s">
        <v>203</v>
      </c>
      <c r="L495" t="s">
        <v>2350</v>
      </c>
      <c r="M495" t="s">
        <v>2351</v>
      </c>
      <c r="N495" t="s">
        <v>2352</v>
      </c>
      <c r="O495">
        <v>5951464</v>
      </c>
      <c r="Q495" t="s">
        <v>1200</v>
      </c>
      <c r="R495" t="s">
        <v>231</v>
      </c>
      <c r="S495" t="s">
        <v>52</v>
      </c>
      <c r="U495">
        <v>891671</v>
      </c>
      <c r="V495" s="3">
        <v>46073.645833333336</v>
      </c>
      <c r="W495" t="s">
        <v>2353</v>
      </c>
      <c r="X495" t="s">
        <v>2354</v>
      </c>
      <c r="Y495" t="str">
        <f>"0433735359"</f>
        <v>0433735359</v>
      </c>
      <c r="Z495" t="s">
        <v>345</v>
      </c>
      <c r="AB495" t="s">
        <v>1202</v>
      </c>
      <c r="AD495" t="s">
        <v>168</v>
      </c>
      <c r="AE495" t="s">
        <v>1203</v>
      </c>
      <c r="AF495">
        <v>5152</v>
      </c>
      <c r="AG495" t="s">
        <v>1200</v>
      </c>
      <c r="AI495" t="s">
        <v>59</v>
      </c>
      <c r="AL495" t="s">
        <v>1417</v>
      </c>
      <c r="AN495" s="3">
        <v>46077.791666666664</v>
      </c>
      <c r="AO495" t="s">
        <v>2353</v>
      </c>
    </row>
    <row r="496" spans="1:41" x14ac:dyDescent="0.3">
      <c r="A496" t="s">
        <v>61</v>
      </c>
      <c r="B496" t="s">
        <v>88</v>
      </c>
      <c r="C496" t="s">
        <v>1856</v>
      </c>
      <c r="D496" t="s">
        <v>90</v>
      </c>
      <c r="E496" s="1">
        <v>46077</v>
      </c>
      <c r="F496" t="s">
        <v>1376</v>
      </c>
      <c r="G496" t="s">
        <v>128</v>
      </c>
      <c r="H496" s="2">
        <v>0.52083333333333337</v>
      </c>
      <c r="I496" s="2">
        <v>0.875</v>
      </c>
      <c r="J496" t="s">
        <v>46</v>
      </c>
      <c r="L496" t="s">
        <v>47</v>
      </c>
      <c r="M496" t="s">
        <v>1578</v>
      </c>
      <c r="N496" t="s">
        <v>1803</v>
      </c>
      <c r="O496">
        <v>5950668</v>
      </c>
      <c r="P496">
        <v>11763437</v>
      </c>
      <c r="Q496" t="s">
        <v>1245</v>
      </c>
      <c r="R496" t="s">
        <v>67</v>
      </c>
      <c r="S496" t="s">
        <v>52</v>
      </c>
      <c r="U496">
        <v>891684</v>
      </c>
      <c r="V496" s="3">
        <v>46076.45</v>
      </c>
      <c r="W496" t="s">
        <v>1804</v>
      </c>
      <c r="X496" t="s">
        <v>1805</v>
      </c>
      <c r="Y496" t="str">
        <f>"0429048174"</f>
        <v>0429048174</v>
      </c>
      <c r="Z496" t="s">
        <v>70</v>
      </c>
      <c r="AA496" s="1">
        <v>46077</v>
      </c>
      <c r="AB496" t="s">
        <v>96</v>
      </c>
      <c r="AD496" t="s">
        <v>61</v>
      </c>
      <c r="AE496" t="s">
        <v>97</v>
      </c>
      <c r="AF496">
        <v>2010</v>
      </c>
      <c r="AG496" t="s">
        <v>98</v>
      </c>
      <c r="AI496" t="s">
        <v>59</v>
      </c>
      <c r="AL496" t="s">
        <v>2355</v>
      </c>
      <c r="AN496" s="3">
        <v>46077.855555555558</v>
      </c>
      <c r="AO496" t="s">
        <v>1804</v>
      </c>
    </row>
    <row r="497" spans="1:41" x14ac:dyDescent="0.3">
      <c r="A497" t="s">
        <v>168</v>
      </c>
      <c r="B497" t="s">
        <v>1021</v>
      </c>
      <c r="D497" t="s">
        <v>127</v>
      </c>
      <c r="E497" s="1">
        <v>46077</v>
      </c>
      <c r="F497" t="s">
        <v>1376</v>
      </c>
      <c r="G497" t="s">
        <v>128</v>
      </c>
      <c r="H497" s="2">
        <v>0.52083333333333337</v>
      </c>
      <c r="I497" s="2">
        <v>0.85416666666666663</v>
      </c>
      <c r="J497" t="s">
        <v>101</v>
      </c>
      <c r="L497" t="s">
        <v>159</v>
      </c>
      <c r="M497" t="s">
        <v>1151</v>
      </c>
      <c r="N497" t="s">
        <v>1152</v>
      </c>
      <c r="O497">
        <v>13</v>
      </c>
      <c r="Q497" t="s">
        <v>2356</v>
      </c>
      <c r="R497" t="s">
        <v>1026</v>
      </c>
      <c r="S497" t="s">
        <v>52</v>
      </c>
      <c r="U497">
        <v>891678</v>
      </c>
      <c r="V497" s="3">
        <v>46071.511111111111</v>
      </c>
      <c r="W497" t="s">
        <v>1153</v>
      </c>
      <c r="X497" t="s">
        <v>1154</v>
      </c>
      <c r="Y497" t="str">
        <f>"0424485060"</f>
        <v>0424485060</v>
      </c>
      <c r="Z497" t="s">
        <v>70</v>
      </c>
      <c r="AA497" s="1">
        <v>46077</v>
      </c>
      <c r="AB497" t="s">
        <v>1029</v>
      </c>
      <c r="AD497" t="s">
        <v>168</v>
      </c>
      <c r="AE497" t="s">
        <v>1030</v>
      </c>
      <c r="AF497">
        <v>5022</v>
      </c>
      <c r="AI497" t="s">
        <v>59</v>
      </c>
      <c r="AL497" t="s">
        <v>2357</v>
      </c>
      <c r="AN497" s="3">
        <v>46077.813194444447</v>
      </c>
      <c r="AO497" t="s">
        <v>1153</v>
      </c>
    </row>
    <row r="498" spans="1:41" x14ac:dyDescent="0.3">
      <c r="A498" t="s">
        <v>168</v>
      </c>
      <c r="B498" t="s">
        <v>1199</v>
      </c>
      <c r="C498" t="s">
        <v>2348</v>
      </c>
      <c r="D498" t="s">
        <v>127</v>
      </c>
      <c r="E498" s="1">
        <v>46077</v>
      </c>
      <c r="F498" t="s">
        <v>1376</v>
      </c>
      <c r="G498" t="s">
        <v>128</v>
      </c>
      <c r="H498" s="2">
        <v>0.52083333333333337</v>
      </c>
      <c r="I498" s="2">
        <v>0.83333333333333337</v>
      </c>
      <c r="J498" t="s">
        <v>170</v>
      </c>
      <c r="K498" t="s">
        <v>171</v>
      </c>
      <c r="L498" t="s">
        <v>204</v>
      </c>
      <c r="M498" t="s">
        <v>1876</v>
      </c>
      <c r="N498" t="s">
        <v>1877</v>
      </c>
      <c r="O498">
        <v>22978</v>
      </c>
      <c r="Q498" t="s">
        <v>1200</v>
      </c>
      <c r="R498" t="s">
        <v>231</v>
      </c>
      <c r="S498" t="s">
        <v>52</v>
      </c>
      <c r="U498">
        <v>891675</v>
      </c>
      <c r="V498" s="3">
        <v>46073.645833333336</v>
      </c>
      <c r="W498" t="s">
        <v>1878</v>
      </c>
      <c r="X498" t="s">
        <v>1879</v>
      </c>
      <c r="Y498" t="str">
        <f>"0401845401"</f>
        <v>0401845401</v>
      </c>
      <c r="Z498" t="s">
        <v>254</v>
      </c>
      <c r="AB498" t="s">
        <v>1202</v>
      </c>
      <c r="AD498" t="s">
        <v>168</v>
      </c>
      <c r="AE498" t="s">
        <v>1203</v>
      </c>
      <c r="AF498">
        <v>5152</v>
      </c>
      <c r="AG498" t="s">
        <v>1200</v>
      </c>
      <c r="AI498" t="s">
        <v>59</v>
      </c>
      <c r="AL498" t="s">
        <v>1417</v>
      </c>
      <c r="AN498" s="3">
        <v>46077.808333333334</v>
      </c>
      <c r="AO498" t="s">
        <v>1878</v>
      </c>
    </row>
    <row r="499" spans="1:41" x14ac:dyDescent="0.3">
      <c r="A499" t="s">
        <v>61</v>
      </c>
      <c r="B499" t="s">
        <v>88</v>
      </c>
      <c r="C499" t="s">
        <v>1856</v>
      </c>
      <c r="D499" t="s">
        <v>90</v>
      </c>
      <c r="E499" s="1">
        <v>46077</v>
      </c>
      <c r="F499" t="s">
        <v>1376</v>
      </c>
      <c r="G499" t="s">
        <v>128</v>
      </c>
      <c r="H499" s="2">
        <v>0.52083333333333337</v>
      </c>
      <c r="I499" s="2">
        <v>0.875</v>
      </c>
      <c r="J499" t="s">
        <v>46</v>
      </c>
      <c r="L499" t="s">
        <v>298</v>
      </c>
      <c r="M499" t="s">
        <v>960</v>
      </c>
      <c r="N499" t="s">
        <v>961</v>
      </c>
      <c r="O499">
        <v>5952208</v>
      </c>
      <c r="P499">
        <v>11745337</v>
      </c>
      <c r="Q499" t="s">
        <v>98</v>
      </c>
      <c r="R499" t="s">
        <v>132</v>
      </c>
      <c r="S499" t="s">
        <v>52</v>
      </c>
      <c r="U499">
        <v>891685</v>
      </c>
      <c r="V499" s="3">
        <v>46073.563888888886</v>
      </c>
      <c r="W499" t="s">
        <v>962</v>
      </c>
      <c r="X499" t="s">
        <v>963</v>
      </c>
      <c r="Y499" t="str">
        <f>"0427301257"</f>
        <v>0427301257</v>
      </c>
      <c r="Z499" t="s">
        <v>70</v>
      </c>
      <c r="AA499" s="1">
        <v>46077</v>
      </c>
      <c r="AB499" t="s">
        <v>96</v>
      </c>
      <c r="AD499" t="s">
        <v>61</v>
      </c>
      <c r="AE499" t="s">
        <v>97</v>
      </c>
      <c r="AF499">
        <v>2010</v>
      </c>
      <c r="AG499" t="s">
        <v>98</v>
      </c>
      <c r="AI499" t="s">
        <v>59</v>
      </c>
      <c r="AL499" t="s">
        <v>1446</v>
      </c>
      <c r="AN499" s="3">
        <v>46077.869444444441</v>
      </c>
      <c r="AO499" t="s">
        <v>962</v>
      </c>
    </row>
    <row r="500" spans="1:41" x14ac:dyDescent="0.3">
      <c r="A500" t="s">
        <v>41</v>
      </c>
      <c r="B500" t="s">
        <v>244</v>
      </c>
      <c r="C500" t="s">
        <v>245</v>
      </c>
      <c r="D500" t="s">
        <v>246</v>
      </c>
      <c r="E500" s="1">
        <v>46077</v>
      </c>
      <c r="F500" t="s">
        <v>1376</v>
      </c>
      <c r="G500" t="s">
        <v>45</v>
      </c>
      <c r="H500" s="2">
        <v>0.52083333333333337</v>
      </c>
      <c r="I500" s="2">
        <v>0.875</v>
      </c>
      <c r="J500" t="s">
        <v>100</v>
      </c>
      <c r="L500" t="s">
        <v>452</v>
      </c>
      <c r="M500" t="s">
        <v>1122</v>
      </c>
      <c r="N500" t="s">
        <v>1123</v>
      </c>
      <c r="O500">
        <v>5951585</v>
      </c>
      <c r="P500" t="s">
        <v>249</v>
      </c>
      <c r="Q500" t="s">
        <v>250</v>
      </c>
      <c r="R500" t="s">
        <v>1124</v>
      </c>
      <c r="S500" t="s">
        <v>52</v>
      </c>
      <c r="T500" t="s">
        <v>252</v>
      </c>
      <c r="U500">
        <v>892197</v>
      </c>
      <c r="V500" s="3">
        <v>46083.347916666666</v>
      </c>
      <c r="W500" t="s">
        <v>1124</v>
      </c>
      <c r="X500" t="s">
        <v>1125</v>
      </c>
      <c r="Y500" t="str">
        <f>"0406622986"</f>
        <v>0406622986</v>
      </c>
      <c r="Z500" t="s">
        <v>254</v>
      </c>
      <c r="AA500" s="1">
        <v>46082</v>
      </c>
      <c r="AB500" t="s">
        <v>255</v>
      </c>
      <c r="AD500" t="s">
        <v>41</v>
      </c>
      <c r="AE500" t="s">
        <v>256</v>
      </c>
      <c r="AF500">
        <v>4655</v>
      </c>
      <c r="AG500" t="s">
        <v>257</v>
      </c>
      <c r="AI500" t="s">
        <v>59</v>
      </c>
      <c r="AJ500" t="str">
        <f>"0050076953"</f>
        <v>0050076953</v>
      </c>
      <c r="AN500" s="3">
        <v>46083.347916666666</v>
      </c>
      <c r="AO500" t="s">
        <v>1124</v>
      </c>
    </row>
    <row r="501" spans="1:41" x14ac:dyDescent="0.3">
      <c r="A501" t="s">
        <v>61</v>
      </c>
      <c r="B501" t="s">
        <v>182</v>
      </c>
      <c r="C501" t="s">
        <v>183</v>
      </c>
      <c r="D501" t="s">
        <v>184</v>
      </c>
      <c r="E501" s="1">
        <v>46077</v>
      </c>
      <c r="F501" t="s">
        <v>1376</v>
      </c>
      <c r="G501" t="s">
        <v>128</v>
      </c>
      <c r="H501" s="2">
        <v>0.52083333333333337</v>
      </c>
      <c r="I501" s="2">
        <v>0.99861111111111112</v>
      </c>
      <c r="J501" t="s">
        <v>185</v>
      </c>
      <c r="L501" t="s">
        <v>790</v>
      </c>
      <c r="M501" t="s">
        <v>791</v>
      </c>
      <c r="N501" t="s">
        <v>792</v>
      </c>
      <c r="O501">
        <v>5952334</v>
      </c>
      <c r="Q501" t="s">
        <v>189</v>
      </c>
      <c r="R501" t="s">
        <v>500</v>
      </c>
      <c r="S501" t="s">
        <v>52</v>
      </c>
      <c r="U501">
        <v>891677</v>
      </c>
      <c r="V501" s="3">
        <v>46071.829861111109</v>
      </c>
      <c r="W501" t="s">
        <v>793</v>
      </c>
      <c r="X501" t="s">
        <v>794</v>
      </c>
      <c r="Y501" t="str">
        <f>"0422273393"</f>
        <v>0422273393</v>
      </c>
      <c r="Z501" t="s">
        <v>2358</v>
      </c>
      <c r="AB501" t="s">
        <v>193</v>
      </c>
      <c r="AD501" t="s">
        <v>61</v>
      </c>
      <c r="AE501" t="s">
        <v>194</v>
      </c>
      <c r="AF501">
        <v>2229</v>
      </c>
      <c r="AG501" t="s">
        <v>189</v>
      </c>
      <c r="AI501" t="s">
        <v>59</v>
      </c>
      <c r="AL501" t="s">
        <v>1423</v>
      </c>
      <c r="AN501" s="3">
        <v>46077.811805555553</v>
      </c>
      <c r="AO501" t="s">
        <v>793</v>
      </c>
    </row>
    <row r="502" spans="1:41" x14ac:dyDescent="0.3">
      <c r="A502" t="s">
        <v>75</v>
      </c>
      <c r="B502" t="s">
        <v>2359</v>
      </c>
      <c r="C502" t="s">
        <v>43</v>
      </c>
      <c r="D502" t="s">
        <v>283</v>
      </c>
      <c r="E502" s="1">
        <v>46077</v>
      </c>
      <c r="F502" t="s">
        <v>1376</v>
      </c>
      <c r="G502" t="s">
        <v>128</v>
      </c>
      <c r="H502" s="2">
        <v>0.52083333333333337</v>
      </c>
      <c r="I502" s="2">
        <v>0.75</v>
      </c>
      <c r="J502" t="s">
        <v>101</v>
      </c>
      <c r="L502" t="s">
        <v>159</v>
      </c>
      <c r="M502" t="s">
        <v>2360</v>
      </c>
      <c r="N502" t="s">
        <v>2361</v>
      </c>
      <c r="O502">
        <v>22336</v>
      </c>
      <c r="Q502" t="s">
        <v>823</v>
      </c>
      <c r="R502" t="s">
        <v>926</v>
      </c>
      <c r="S502" t="s">
        <v>52</v>
      </c>
      <c r="U502">
        <v>891679</v>
      </c>
      <c r="V502" s="3">
        <v>46073.637499999997</v>
      </c>
      <c r="W502" t="s">
        <v>2362</v>
      </c>
      <c r="X502" t="s">
        <v>2363</v>
      </c>
      <c r="Y502" t="str">
        <f>"0438980706"</f>
        <v>0438980706</v>
      </c>
      <c r="Z502" t="s">
        <v>70</v>
      </c>
      <c r="AA502" s="1">
        <v>46077</v>
      </c>
      <c r="AB502" t="s">
        <v>2364</v>
      </c>
      <c r="AD502" t="s">
        <v>75</v>
      </c>
      <c r="AE502" t="s">
        <v>368</v>
      </c>
      <c r="AF502">
        <v>6027</v>
      </c>
      <c r="AG502" t="s">
        <v>823</v>
      </c>
      <c r="AI502" t="s">
        <v>59</v>
      </c>
      <c r="AL502" t="s">
        <v>87</v>
      </c>
      <c r="AM502" t="s">
        <v>2365</v>
      </c>
      <c r="AN502" s="3">
        <v>46077.818749999999</v>
      </c>
      <c r="AO502" t="s">
        <v>2362</v>
      </c>
    </row>
    <row r="503" spans="1:41" x14ac:dyDescent="0.3">
      <c r="A503" t="s">
        <v>168</v>
      </c>
      <c r="B503" t="s">
        <v>215</v>
      </c>
      <c r="C503" t="s">
        <v>43</v>
      </c>
      <c r="D503" t="s">
        <v>127</v>
      </c>
      <c r="E503" s="1">
        <v>46077</v>
      </c>
      <c r="F503" t="s">
        <v>1376</v>
      </c>
      <c r="G503" t="s">
        <v>128</v>
      </c>
      <c r="H503" s="2">
        <v>0.52083333333333337</v>
      </c>
      <c r="I503" s="2">
        <v>0.85416666666666663</v>
      </c>
      <c r="J503" t="s">
        <v>258</v>
      </c>
      <c r="K503" t="s">
        <v>259</v>
      </c>
      <c r="L503" t="s">
        <v>186</v>
      </c>
      <c r="M503" t="s">
        <v>2366</v>
      </c>
      <c r="N503" t="s">
        <v>2367</v>
      </c>
      <c r="O503">
        <v>5951060</v>
      </c>
      <c r="Q503" t="s">
        <v>219</v>
      </c>
      <c r="R503" t="s">
        <v>556</v>
      </c>
      <c r="S503" t="s">
        <v>52</v>
      </c>
      <c r="U503">
        <v>891673</v>
      </c>
      <c r="V503" s="3">
        <v>46057.072916666664</v>
      </c>
      <c r="W503" t="s">
        <v>2368</v>
      </c>
      <c r="X503" t="s">
        <v>2369</v>
      </c>
      <c r="Y503" t="str">
        <f>"0412358684"</f>
        <v>0412358684</v>
      </c>
      <c r="Z503" t="s">
        <v>70</v>
      </c>
      <c r="AA503" s="1">
        <v>46077</v>
      </c>
      <c r="AB503" t="s">
        <v>222</v>
      </c>
      <c r="AD503" t="s">
        <v>168</v>
      </c>
      <c r="AE503" t="s">
        <v>223</v>
      </c>
      <c r="AF503">
        <v>5069</v>
      </c>
      <c r="AG503" t="s">
        <v>219</v>
      </c>
      <c r="AI503" t="s">
        <v>59</v>
      </c>
      <c r="AL503" t="s">
        <v>1417</v>
      </c>
      <c r="AN503" s="3">
        <v>46077.801388888889</v>
      </c>
      <c r="AO503" t="s">
        <v>2368</v>
      </c>
    </row>
    <row r="504" spans="1:41" x14ac:dyDescent="0.3">
      <c r="A504" t="s">
        <v>168</v>
      </c>
      <c r="B504" t="s">
        <v>1199</v>
      </c>
      <c r="C504" t="s">
        <v>202</v>
      </c>
      <c r="D504" t="s">
        <v>127</v>
      </c>
      <c r="E504" s="1">
        <v>46077</v>
      </c>
      <c r="F504" t="s">
        <v>1376</v>
      </c>
      <c r="G504" t="s">
        <v>128</v>
      </c>
      <c r="H504" s="2">
        <v>0.54166666666666663</v>
      </c>
      <c r="I504" s="2">
        <v>0.875</v>
      </c>
      <c r="J504" t="s">
        <v>46</v>
      </c>
      <c r="L504" t="s">
        <v>47</v>
      </c>
      <c r="M504" t="s">
        <v>541</v>
      </c>
      <c r="N504" t="s">
        <v>2370</v>
      </c>
      <c r="O504">
        <v>5952154</v>
      </c>
      <c r="Q504" t="s">
        <v>1200</v>
      </c>
      <c r="R504" t="s">
        <v>231</v>
      </c>
      <c r="S504" t="s">
        <v>52</v>
      </c>
      <c r="U504">
        <v>891687</v>
      </c>
      <c r="V504" s="3">
        <v>46073.645833333336</v>
      </c>
      <c r="W504" t="s">
        <v>2371</v>
      </c>
      <c r="X504" t="s">
        <v>2372</v>
      </c>
      <c r="Y504" t="str">
        <f>"0434933949"</f>
        <v>0434933949</v>
      </c>
      <c r="Z504" t="s">
        <v>290</v>
      </c>
      <c r="AB504" t="s">
        <v>1202</v>
      </c>
      <c r="AD504" t="s">
        <v>168</v>
      </c>
      <c r="AE504" t="s">
        <v>1203</v>
      </c>
      <c r="AF504">
        <v>5152</v>
      </c>
      <c r="AG504" t="s">
        <v>1200</v>
      </c>
      <c r="AI504" t="s">
        <v>59</v>
      </c>
      <c r="AL504" t="s">
        <v>1417</v>
      </c>
      <c r="AN504" s="3">
        <v>46077.879166666666</v>
      </c>
      <c r="AO504" t="s">
        <v>2371</v>
      </c>
    </row>
    <row r="505" spans="1:41" x14ac:dyDescent="0.3">
      <c r="A505" t="s">
        <v>306</v>
      </c>
      <c r="B505" t="s">
        <v>307</v>
      </c>
      <c r="C505" t="s">
        <v>308</v>
      </c>
      <c r="D505" t="s">
        <v>309</v>
      </c>
      <c r="E505" s="1">
        <v>46077</v>
      </c>
      <c r="F505" t="s">
        <v>1376</v>
      </c>
      <c r="G505" t="s">
        <v>128</v>
      </c>
      <c r="H505" s="2">
        <v>0.54166666666666663</v>
      </c>
      <c r="I505" s="2">
        <v>0.89583333333333337</v>
      </c>
      <c r="J505" t="s">
        <v>296</v>
      </c>
      <c r="K505" t="s">
        <v>2373</v>
      </c>
      <c r="L505" t="s">
        <v>2374</v>
      </c>
      <c r="M505" t="s">
        <v>2375</v>
      </c>
      <c r="N505" t="s">
        <v>2376</v>
      </c>
      <c r="O505">
        <v>5952415</v>
      </c>
      <c r="Q505" t="s">
        <v>2377</v>
      </c>
      <c r="R505" t="s">
        <v>1763</v>
      </c>
      <c r="S505" t="s">
        <v>52</v>
      </c>
      <c r="U505">
        <v>891691</v>
      </c>
      <c r="V505" s="3">
        <v>46073.695138888892</v>
      </c>
      <c r="W505" t="s">
        <v>2378</v>
      </c>
      <c r="X505" t="s">
        <v>2379</v>
      </c>
      <c r="Y505" t="str">
        <f>"0422461185"</f>
        <v>0422461185</v>
      </c>
      <c r="Z505" t="s">
        <v>70</v>
      </c>
      <c r="AA505" s="1">
        <v>46077</v>
      </c>
      <c r="AB505" t="s">
        <v>317</v>
      </c>
      <c r="AD505" t="s">
        <v>306</v>
      </c>
      <c r="AE505" t="s">
        <v>318</v>
      </c>
      <c r="AF505">
        <v>3162</v>
      </c>
      <c r="AG505" t="s">
        <v>2380</v>
      </c>
      <c r="AI505" t="s">
        <v>59</v>
      </c>
      <c r="AL505" t="s">
        <v>87</v>
      </c>
      <c r="AN505" s="3">
        <v>46077.897222222222</v>
      </c>
      <c r="AO505" t="s">
        <v>2378</v>
      </c>
    </row>
    <row r="506" spans="1:41" x14ac:dyDescent="0.3">
      <c r="A506" t="s">
        <v>168</v>
      </c>
      <c r="B506" t="s">
        <v>1021</v>
      </c>
      <c r="C506" t="s">
        <v>216</v>
      </c>
      <c r="D506" t="s">
        <v>127</v>
      </c>
      <c r="E506" s="1">
        <v>46077</v>
      </c>
      <c r="F506" t="s">
        <v>1376</v>
      </c>
      <c r="G506" t="s">
        <v>128</v>
      </c>
      <c r="H506" s="2">
        <v>0.54166666666666663</v>
      </c>
      <c r="I506" s="2">
        <v>0.875</v>
      </c>
      <c r="J506" t="s">
        <v>101</v>
      </c>
      <c r="L506" t="s">
        <v>159</v>
      </c>
      <c r="M506" t="s">
        <v>1156</v>
      </c>
      <c r="N506" t="s">
        <v>1157</v>
      </c>
      <c r="O506">
        <v>5952460</v>
      </c>
      <c r="Q506" t="s">
        <v>1158</v>
      </c>
      <c r="R506" t="s">
        <v>1026</v>
      </c>
      <c r="S506" t="s">
        <v>52</v>
      </c>
      <c r="U506">
        <v>891659</v>
      </c>
      <c r="V506" s="3">
        <v>46071.511805555558</v>
      </c>
      <c r="W506" t="s">
        <v>1159</v>
      </c>
      <c r="X506" t="s">
        <v>1160</v>
      </c>
      <c r="Y506" t="str">
        <f>"0432288420"</f>
        <v>0432288420</v>
      </c>
      <c r="Z506" t="s">
        <v>70</v>
      </c>
      <c r="AA506" s="1">
        <v>46077</v>
      </c>
      <c r="AB506" t="s">
        <v>1029</v>
      </c>
      <c r="AD506" t="s">
        <v>168</v>
      </c>
      <c r="AE506" t="s">
        <v>1030</v>
      </c>
      <c r="AF506">
        <v>5022</v>
      </c>
      <c r="AI506" t="s">
        <v>59</v>
      </c>
      <c r="AL506" t="s">
        <v>2381</v>
      </c>
      <c r="AN506" s="3">
        <v>46077.739583333336</v>
      </c>
      <c r="AO506" t="s">
        <v>1159</v>
      </c>
    </row>
    <row r="507" spans="1:41" x14ac:dyDescent="0.3">
      <c r="A507" t="s">
        <v>168</v>
      </c>
      <c r="B507" t="s">
        <v>1021</v>
      </c>
      <c r="C507" t="s">
        <v>43</v>
      </c>
      <c r="D507" t="s">
        <v>127</v>
      </c>
      <c r="E507" s="1">
        <v>46077</v>
      </c>
      <c r="F507" t="s">
        <v>1376</v>
      </c>
      <c r="G507" t="s">
        <v>128</v>
      </c>
      <c r="H507" s="2">
        <v>0.54166666666666663</v>
      </c>
      <c r="I507" s="2">
        <v>0.875</v>
      </c>
      <c r="J507" t="s">
        <v>258</v>
      </c>
      <c r="L507" t="s">
        <v>186</v>
      </c>
      <c r="M507" t="s">
        <v>1206</v>
      </c>
      <c r="N507" t="s">
        <v>2382</v>
      </c>
      <c r="O507">
        <v>20763</v>
      </c>
      <c r="Q507" t="s">
        <v>2356</v>
      </c>
      <c r="R507" t="s">
        <v>1026</v>
      </c>
      <c r="S507" t="s">
        <v>52</v>
      </c>
      <c r="U507">
        <v>891681</v>
      </c>
      <c r="V507" s="3">
        <v>46071.512499999997</v>
      </c>
      <c r="W507" t="s">
        <v>2383</v>
      </c>
      <c r="X507" t="s">
        <v>2384</v>
      </c>
      <c r="Y507" t="str">
        <f>"0416929214"</f>
        <v>0416929214</v>
      </c>
      <c r="Z507" t="s">
        <v>70</v>
      </c>
      <c r="AB507" t="s">
        <v>1029</v>
      </c>
      <c r="AD507" t="s">
        <v>168</v>
      </c>
      <c r="AE507" t="s">
        <v>1030</v>
      </c>
      <c r="AF507">
        <v>5022</v>
      </c>
      <c r="AI507" t="s">
        <v>59</v>
      </c>
      <c r="AL507" t="s">
        <v>370</v>
      </c>
      <c r="AM507" t="s">
        <v>2385</v>
      </c>
      <c r="AN507" s="3">
        <v>46077.828472222223</v>
      </c>
      <c r="AO507" t="s">
        <v>2383</v>
      </c>
    </row>
    <row r="508" spans="1:41" x14ac:dyDescent="0.3">
      <c r="A508" t="s">
        <v>168</v>
      </c>
      <c r="B508" t="s">
        <v>336</v>
      </c>
      <c r="C508" t="s">
        <v>602</v>
      </c>
      <c r="D508" t="s">
        <v>268</v>
      </c>
      <c r="E508" s="1">
        <v>46077</v>
      </c>
      <c r="F508" t="s">
        <v>1376</v>
      </c>
      <c r="G508" t="s">
        <v>128</v>
      </c>
      <c r="H508" s="2">
        <v>0.54166666666666663</v>
      </c>
      <c r="I508" s="2">
        <v>0.89583333333333337</v>
      </c>
      <c r="J508" t="s">
        <v>269</v>
      </c>
      <c r="K508" t="s">
        <v>712</v>
      </c>
      <c r="L508" t="s">
        <v>713</v>
      </c>
      <c r="M508" t="s">
        <v>476</v>
      </c>
      <c r="N508" t="s">
        <v>714</v>
      </c>
      <c r="O508">
        <v>5951199</v>
      </c>
      <c r="P508" t="s">
        <v>712</v>
      </c>
      <c r="Q508" t="s">
        <v>342</v>
      </c>
      <c r="R508" t="s">
        <v>231</v>
      </c>
      <c r="S508" t="s">
        <v>52</v>
      </c>
      <c r="U508">
        <v>891693</v>
      </c>
      <c r="V508" s="3">
        <v>46072.438194444447</v>
      </c>
      <c r="W508" t="s">
        <v>715</v>
      </c>
      <c r="X508" t="s">
        <v>716</v>
      </c>
      <c r="Y508" t="str">
        <f>"0426611875"</f>
        <v>0426611875</v>
      </c>
      <c r="Z508" t="s">
        <v>70</v>
      </c>
      <c r="AA508" s="1">
        <v>46077</v>
      </c>
      <c r="AB508" t="s">
        <v>346</v>
      </c>
      <c r="AD508" t="s">
        <v>168</v>
      </c>
      <c r="AE508" t="s">
        <v>347</v>
      </c>
      <c r="AF508">
        <v>5042</v>
      </c>
      <c r="AG508" t="s">
        <v>342</v>
      </c>
      <c r="AI508" t="s">
        <v>59</v>
      </c>
      <c r="AL508" t="s">
        <v>1451</v>
      </c>
      <c r="AN508" s="3">
        <v>46077.902083333334</v>
      </c>
      <c r="AO508" t="s">
        <v>715</v>
      </c>
    </row>
    <row r="509" spans="1:41" x14ac:dyDescent="0.3">
      <c r="A509" t="s">
        <v>168</v>
      </c>
      <c r="B509" t="s">
        <v>441</v>
      </c>
      <c r="C509" t="s">
        <v>43</v>
      </c>
      <c r="E509" s="1">
        <v>46077</v>
      </c>
      <c r="F509" t="s">
        <v>1376</v>
      </c>
      <c r="G509" t="s">
        <v>128</v>
      </c>
      <c r="H509" s="2">
        <v>0.54166666666666663</v>
      </c>
      <c r="I509" s="2">
        <v>0.875</v>
      </c>
      <c r="J509" t="s">
        <v>185</v>
      </c>
      <c r="K509" t="s">
        <v>678</v>
      </c>
      <c r="L509" t="s">
        <v>186</v>
      </c>
      <c r="M509" t="s">
        <v>1117</v>
      </c>
      <c r="N509" t="s">
        <v>1118</v>
      </c>
      <c r="O509">
        <v>5952419</v>
      </c>
      <c r="Q509" t="s">
        <v>944</v>
      </c>
      <c r="R509" t="s">
        <v>500</v>
      </c>
      <c r="S509" t="s">
        <v>52</v>
      </c>
      <c r="U509">
        <v>891651</v>
      </c>
      <c r="V509" s="3">
        <v>46050.959027777775</v>
      </c>
      <c r="W509" t="s">
        <v>1119</v>
      </c>
      <c r="X509" t="s">
        <v>1120</v>
      </c>
      <c r="Y509" t="str">
        <f>"0433820679"</f>
        <v>0433820679</v>
      </c>
      <c r="Z509" t="s">
        <v>2386</v>
      </c>
      <c r="AB509" t="s">
        <v>448</v>
      </c>
      <c r="AD509" t="s">
        <v>168</v>
      </c>
      <c r="AE509" t="s">
        <v>180</v>
      </c>
      <c r="AF509">
        <v>5063</v>
      </c>
      <c r="AG509" t="s">
        <v>944</v>
      </c>
      <c r="AI509" t="s">
        <v>59</v>
      </c>
      <c r="AL509" t="s">
        <v>1121</v>
      </c>
      <c r="AN509" s="3">
        <v>46077.70208333333</v>
      </c>
      <c r="AO509" t="s">
        <v>1119</v>
      </c>
    </row>
    <row r="510" spans="1:41" x14ac:dyDescent="0.3">
      <c r="A510" t="s">
        <v>168</v>
      </c>
      <c r="B510" t="s">
        <v>376</v>
      </c>
      <c r="C510" t="s">
        <v>43</v>
      </c>
      <c r="D510" t="s">
        <v>127</v>
      </c>
      <c r="E510" s="1">
        <v>46077</v>
      </c>
      <c r="F510" t="s">
        <v>1376</v>
      </c>
      <c r="G510" t="s">
        <v>128</v>
      </c>
      <c r="H510" s="2">
        <v>0.54166666666666663</v>
      </c>
      <c r="I510" s="2">
        <v>0.875</v>
      </c>
      <c r="J510" t="s">
        <v>185</v>
      </c>
      <c r="L510" t="s">
        <v>186</v>
      </c>
      <c r="M510" t="s">
        <v>835</v>
      </c>
      <c r="N510" t="s">
        <v>836</v>
      </c>
      <c r="O510">
        <v>22947</v>
      </c>
      <c r="Q510" t="s">
        <v>1936</v>
      </c>
      <c r="R510" t="s">
        <v>231</v>
      </c>
      <c r="S510" t="s">
        <v>52</v>
      </c>
      <c r="U510">
        <v>891669</v>
      </c>
      <c r="V510" s="3">
        <v>46055.394444444442</v>
      </c>
      <c r="W510" t="s">
        <v>837</v>
      </c>
      <c r="X510" t="s">
        <v>838</v>
      </c>
      <c r="Y510" t="str">
        <f>"0415626656"</f>
        <v>0415626656</v>
      </c>
      <c r="Z510" t="s">
        <v>1399</v>
      </c>
      <c r="AB510" t="s">
        <v>383</v>
      </c>
      <c r="AD510" t="s">
        <v>168</v>
      </c>
      <c r="AE510" t="s">
        <v>384</v>
      </c>
      <c r="AF510">
        <v>5000</v>
      </c>
      <c r="AG510" t="s">
        <v>674</v>
      </c>
      <c r="AI510" t="s">
        <v>59</v>
      </c>
      <c r="AL510" t="s">
        <v>2387</v>
      </c>
      <c r="AN510" s="3">
        <v>46077.785416666666</v>
      </c>
      <c r="AO510" t="s">
        <v>837</v>
      </c>
    </row>
    <row r="511" spans="1:41" x14ac:dyDescent="0.3">
      <c r="A511" t="s">
        <v>168</v>
      </c>
      <c r="B511" t="s">
        <v>1178</v>
      </c>
      <c r="C511" t="s">
        <v>1150</v>
      </c>
      <c r="D511" t="s">
        <v>127</v>
      </c>
      <c r="E511" s="1">
        <v>46077</v>
      </c>
      <c r="F511" t="s">
        <v>1376</v>
      </c>
      <c r="G511" t="s">
        <v>128</v>
      </c>
      <c r="H511" s="2">
        <v>0.54166666666666663</v>
      </c>
      <c r="I511" s="2">
        <v>0.875</v>
      </c>
      <c r="J511" t="s">
        <v>101</v>
      </c>
      <c r="L511" t="s">
        <v>159</v>
      </c>
      <c r="M511" t="s">
        <v>1023</v>
      </c>
      <c r="N511" t="s">
        <v>1024</v>
      </c>
      <c r="O511">
        <v>22730</v>
      </c>
      <c r="P511" t="s">
        <v>2388</v>
      </c>
      <c r="Q511" t="s">
        <v>2389</v>
      </c>
      <c r="R511" t="s">
        <v>231</v>
      </c>
      <c r="S511" t="s">
        <v>52</v>
      </c>
      <c r="U511">
        <v>891662</v>
      </c>
      <c r="V511" s="3">
        <v>46043.511805555558</v>
      </c>
      <c r="W511" t="s">
        <v>1027</v>
      </c>
      <c r="X511" t="s">
        <v>1028</v>
      </c>
      <c r="Y511" t="str">
        <f>"0402354674"</f>
        <v>0402354674</v>
      </c>
      <c r="Z511" t="s">
        <v>1324</v>
      </c>
      <c r="AB511" t="s">
        <v>1184</v>
      </c>
      <c r="AD511" t="s">
        <v>168</v>
      </c>
      <c r="AE511" t="s">
        <v>1185</v>
      </c>
      <c r="AF511">
        <v>5066</v>
      </c>
      <c r="AG511" t="s">
        <v>2047</v>
      </c>
      <c r="AI511" t="s">
        <v>59</v>
      </c>
      <c r="AL511" t="s">
        <v>1417</v>
      </c>
      <c r="AN511" s="3">
        <v>46077.745138888888</v>
      </c>
      <c r="AO511" t="s">
        <v>1027</v>
      </c>
    </row>
    <row r="512" spans="1:41" x14ac:dyDescent="0.3">
      <c r="A512" t="s">
        <v>61</v>
      </c>
      <c r="B512" t="s">
        <v>182</v>
      </c>
      <c r="C512" t="s">
        <v>100</v>
      </c>
      <c r="D512" t="s">
        <v>184</v>
      </c>
      <c r="E512" s="1">
        <v>46077</v>
      </c>
      <c r="F512" t="s">
        <v>1376</v>
      </c>
      <c r="G512" t="s">
        <v>128</v>
      </c>
      <c r="H512" s="2">
        <v>0.54166666666666663</v>
      </c>
      <c r="I512" s="2">
        <v>0.89583333333333337</v>
      </c>
      <c r="J512" t="s">
        <v>100</v>
      </c>
      <c r="L512" t="s">
        <v>100</v>
      </c>
      <c r="M512" t="s">
        <v>1188</v>
      </c>
      <c r="N512" t="s">
        <v>1189</v>
      </c>
      <c r="O512">
        <v>21235</v>
      </c>
      <c r="Q512" t="s">
        <v>1190</v>
      </c>
      <c r="R512" t="s">
        <v>67</v>
      </c>
      <c r="S512" t="s">
        <v>52</v>
      </c>
      <c r="U512">
        <v>891682</v>
      </c>
      <c r="V512" s="3">
        <v>46044.34097222222</v>
      </c>
      <c r="W512" t="s">
        <v>1191</v>
      </c>
      <c r="X512" t="s">
        <v>1192</v>
      </c>
      <c r="Y512" t="str">
        <f>"0479157796"</f>
        <v>0479157796</v>
      </c>
      <c r="Z512" t="s">
        <v>2390</v>
      </c>
      <c r="AB512" t="s">
        <v>193</v>
      </c>
      <c r="AD512" t="s">
        <v>61</v>
      </c>
      <c r="AE512" t="s">
        <v>194</v>
      </c>
      <c r="AF512">
        <v>2229</v>
      </c>
      <c r="AG512" t="s">
        <v>1045</v>
      </c>
      <c r="AI512" t="s">
        <v>59</v>
      </c>
      <c r="AL512" t="s">
        <v>1423</v>
      </c>
      <c r="AN512" s="3">
        <v>46077.845138888886</v>
      </c>
      <c r="AO512" t="s">
        <v>1191</v>
      </c>
    </row>
    <row r="513" spans="1:41" x14ac:dyDescent="0.3">
      <c r="A513" t="s">
        <v>168</v>
      </c>
      <c r="B513" t="s">
        <v>1199</v>
      </c>
      <c r="C513" t="s">
        <v>100</v>
      </c>
      <c r="D513" t="s">
        <v>127</v>
      </c>
      <c r="E513" s="1">
        <v>46077</v>
      </c>
      <c r="F513" t="s">
        <v>1376</v>
      </c>
      <c r="G513" t="s">
        <v>128</v>
      </c>
      <c r="H513" s="2">
        <v>0.54166666666666663</v>
      </c>
      <c r="I513" s="2">
        <v>0.875</v>
      </c>
      <c r="J513" t="s">
        <v>100</v>
      </c>
      <c r="L513" t="s">
        <v>100</v>
      </c>
      <c r="M513" t="s">
        <v>247</v>
      </c>
      <c r="N513" t="s">
        <v>248</v>
      </c>
      <c r="O513">
        <v>20770</v>
      </c>
      <c r="Q513" t="s">
        <v>1200</v>
      </c>
      <c r="R513" t="s">
        <v>176</v>
      </c>
      <c r="S513" t="s">
        <v>52</v>
      </c>
      <c r="U513">
        <v>891692</v>
      </c>
      <c r="V513" s="3">
        <v>46070.466666666667</v>
      </c>
      <c r="W513" t="s">
        <v>251</v>
      </c>
      <c r="X513" t="s">
        <v>253</v>
      </c>
      <c r="Y513" t="str">
        <f>"0429586658"</f>
        <v>0429586658</v>
      </c>
      <c r="Z513" t="s">
        <v>1862</v>
      </c>
      <c r="AB513" t="s">
        <v>1202</v>
      </c>
      <c r="AD513" t="s">
        <v>168</v>
      </c>
      <c r="AE513" t="s">
        <v>1203</v>
      </c>
      <c r="AF513">
        <v>5152</v>
      </c>
      <c r="AG513" t="s">
        <v>1200</v>
      </c>
      <c r="AI513" t="s">
        <v>59</v>
      </c>
      <c r="AL513" t="s">
        <v>1417</v>
      </c>
      <c r="AN513" s="3">
        <v>46077.897916666669</v>
      </c>
      <c r="AO513" t="s">
        <v>251</v>
      </c>
    </row>
    <row r="514" spans="1:41" x14ac:dyDescent="0.3">
      <c r="A514" t="s">
        <v>61</v>
      </c>
      <c r="B514" t="s">
        <v>1937</v>
      </c>
      <c r="C514" t="s">
        <v>100</v>
      </c>
      <c r="D514" t="s">
        <v>184</v>
      </c>
      <c r="E514" s="1">
        <v>46077</v>
      </c>
      <c r="F514" t="s">
        <v>1376</v>
      </c>
      <c r="G514" t="s">
        <v>128</v>
      </c>
      <c r="H514" s="2">
        <v>0.5625</v>
      </c>
      <c r="I514" s="2">
        <v>0.91666666666666663</v>
      </c>
      <c r="J514" t="s">
        <v>100</v>
      </c>
      <c r="L514" t="s">
        <v>100</v>
      </c>
      <c r="M514" t="s">
        <v>1938</v>
      </c>
      <c r="N514" t="s">
        <v>1939</v>
      </c>
      <c r="O514">
        <v>5951653</v>
      </c>
      <c r="Q514" t="s">
        <v>2391</v>
      </c>
      <c r="R514" t="s">
        <v>132</v>
      </c>
      <c r="S514" t="s">
        <v>52</v>
      </c>
      <c r="U514">
        <v>891696</v>
      </c>
      <c r="V514" s="3">
        <v>46064.501388888886</v>
      </c>
      <c r="W514" t="s">
        <v>1940</v>
      </c>
      <c r="X514" t="s">
        <v>1941</v>
      </c>
      <c r="Y514" t="str">
        <f>"0422928911"</f>
        <v>0422928911</v>
      </c>
      <c r="Z514" t="s">
        <v>2392</v>
      </c>
      <c r="AB514" t="s">
        <v>1942</v>
      </c>
      <c r="AD514" t="s">
        <v>61</v>
      </c>
      <c r="AE514" t="s">
        <v>1943</v>
      </c>
      <c r="AF514">
        <v>2065</v>
      </c>
      <c r="AG514" t="s">
        <v>2391</v>
      </c>
      <c r="AI514" t="s">
        <v>59</v>
      </c>
      <c r="AL514" t="s">
        <v>1423</v>
      </c>
      <c r="AN514" s="3">
        <v>46077.914583333331</v>
      </c>
      <c r="AO514" t="s">
        <v>1940</v>
      </c>
    </row>
    <row r="515" spans="1:41" x14ac:dyDescent="0.3">
      <c r="A515" t="s">
        <v>41</v>
      </c>
      <c r="B515" t="s">
        <v>1219</v>
      </c>
      <c r="C515" t="s">
        <v>43</v>
      </c>
      <c r="D515" t="s">
        <v>184</v>
      </c>
      <c r="E515" s="1">
        <v>46077</v>
      </c>
      <c r="F515" t="s">
        <v>1376</v>
      </c>
      <c r="G515" t="s">
        <v>128</v>
      </c>
      <c r="H515" s="2">
        <v>0.5625</v>
      </c>
      <c r="I515" s="2">
        <v>0.91666666666666663</v>
      </c>
      <c r="J515" t="s">
        <v>46</v>
      </c>
      <c r="L515" t="s">
        <v>47</v>
      </c>
      <c r="M515" t="s">
        <v>1220</v>
      </c>
      <c r="N515" t="s">
        <v>1221</v>
      </c>
      <c r="O515">
        <v>5950857</v>
      </c>
      <c r="Q515" t="s">
        <v>1222</v>
      </c>
      <c r="R515" t="s">
        <v>723</v>
      </c>
      <c r="S515" t="s">
        <v>52</v>
      </c>
      <c r="U515">
        <v>891697</v>
      </c>
      <c r="V515" s="3">
        <v>46065.433333333334</v>
      </c>
      <c r="W515" t="s">
        <v>1223</v>
      </c>
      <c r="X515" t="s">
        <v>1224</v>
      </c>
      <c r="Y515" t="str">
        <f>"0431426020"</f>
        <v>0431426020</v>
      </c>
      <c r="Z515" t="s">
        <v>1324</v>
      </c>
      <c r="AB515" t="s">
        <v>1226</v>
      </c>
      <c r="AD515" t="s">
        <v>41</v>
      </c>
      <c r="AE515" t="s">
        <v>1227</v>
      </c>
      <c r="AF515">
        <v>4217</v>
      </c>
      <c r="AG515" t="s">
        <v>1222</v>
      </c>
      <c r="AI515" t="s">
        <v>59</v>
      </c>
      <c r="AN515" s="3">
        <v>46077.925694444442</v>
      </c>
      <c r="AO515" t="s">
        <v>1223</v>
      </c>
    </row>
    <row r="516" spans="1:41" x14ac:dyDescent="0.3">
      <c r="A516" t="s">
        <v>168</v>
      </c>
      <c r="B516" t="s">
        <v>376</v>
      </c>
      <c r="C516" t="s">
        <v>100</v>
      </c>
      <c r="D516" t="s">
        <v>127</v>
      </c>
      <c r="E516" s="1">
        <v>46077</v>
      </c>
      <c r="F516" t="s">
        <v>1376</v>
      </c>
      <c r="G516" t="s">
        <v>128</v>
      </c>
      <c r="H516" s="2">
        <v>0.58333333333333337</v>
      </c>
      <c r="I516" s="2">
        <v>0.875</v>
      </c>
      <c r="J516" t="s">
        <v>100</v>
      </c>
      <c r="L516" t="s">
        <v>100</v>
      </c>
      <c r="M516" t="s">
        <v>975</v>
      </c>
      <c r="N516" t="s">
        <v>976</v>
      </c>
      <c r="O516">
        <v>5950948</v>
      </c>
      <c r="Q516" t="s">
        <v>670</v>
      </c>
      <c r="R516" t="s">
        <v>380</v>
      </c>
      <c r="S516" t="s">
        <v>52</v>
      </c>
      <c r="U516">
        <v>891688</v>
      </c>
      <c r="V516" s="3">
        <v>46045.370833333334</v>
      </c>
      <c r="W516" t="s">
        <v>978</v>
      </c>
      <c r="X516" t="s">
        <v>979</v>
      </c>
      <c r="Y516" t="str">
        <f>"0451011613"</f>
        <v>0451011613</v>
      </c>
      <c r="Z516" t="s">
        <v>254</v>
      </c>
      <c r="AB516" t="s">
        <v>383</v>
      </c>
      <c r="AD516" t="s">
        <v>168</v>
      </c>
      <c r="AE516" t="s">
        <v>384</v>
      </c>
      <c r="AF516">
        <v>5000</v>
      </c>
      <c r="AI516" t="s">
        <v>59</v>
      </c>
      <c r="AL516" t="s">
        <v>385</v>
      </c>
      <c r="AN516" s="3">
        <v>46077.888888888891</v>
      </c>
      <c r="AO516" t="s">
        <v>978</v>
      </c>
    </row>
    <row r="517" spans="1:41" x14ac:dyDescent="0.3">
      <c r="A517" t="s">
        <v>41</v>
      </c>
      <c r="B517" t="s">
        <v>426</v>
      </c>
      <c r="C517" t="s">
        <v>296</v>
      </c>
      <c r="D517" t="s">
        <v>246</v>
      </c>
      <c r="E517" s="1">
        <v>46077</v>
      </c>
      <c r="F517" t="s">
        <v>1376</v>
      </c>
      <c r="G517" t="s">
        <v>128</v>
      </c>
      <c r="H517" s="2">
        <v>0.60416666666666663</v>
      </c>
      <c r="I517" s="2">
        <v>0.95833333333333337</v>
      </c>
      <c r="J517" t="s">
        <v>296</v>
      </c>
      <c r="K517" t="s">
        <v>553</v>
      </c>
      <c r="L517" t="s">
        <v>428</v>
      </c>
      <c r="M517" t="s">
        <v>429</v>
      </c>
      <c r="N517" t="s">
        <v>430</v>
      </c>
      <c r="O517">
        <v>5950727</v>
      </c>
      <c r="Q517" t="s">
        <v>2101</v>
      </c>
      <c r="R517" t="s">
        <v>51</v>
      </c>
      <c r="S517" t="s">
        <v>52</v>
      </c>
      <c r="U517">
        <v>891711</v>
      </c>
      <c r="V517" s="3">
        <v>46077.354166666664</v>
      </c>
      <c r="W517" t="s">
        <v>432</v>
      </c>
      <c r="X517" t="s">
        <v>433</v>
      </c>
      <c r="Y517" t="str">
        <f>"0420946792"</f>
        <v>0420946792</v>
      </c>
      <c r="Z517" t="s">
        <v>70</v>
      </c>
      <c r="AA517" s="1">
        <v>46077</v>
      </c>
      <c r="AB517" t="s">
        <v>434</v>
      </c>
      <c r="AD517" t="s">
        <v>41</v>
      </c>
      <c r="AE517" t="s">
        <v>435</v>
      </c>
      <c r="AF517">
        <v>4163</v>
      </c>
      <c r="AG517" t="s">
        <v>2101</v>
      </c>
      <c r="AI517" t="s">
        <v>59</v>
      </c>
      <c r="AL517" t="s">
        <v>2393</v>
      </c>
      <c r="AN517" s="3">
        <v>46078.001388888886</v>
      </c>
      <c r="AO517" t="s">
        <v>432</v>
      </c>
    </row>
    <row r="518" spans="1:41" x14ac:dyDescent="0.3">
      <c r="A518" t="s">
        <v>61</v>
      </c>
      <c r="B518" t="s">
        <v>1271</v>
      </c>
      <c r="C518" t="s">
        <v>1272</v>
      </c>
      <c r="D518" t="s">
        <v>184</v>
      </c>
      <c r="E518" s="1">
        <v>46077</v>
      </c>
      <c r="F518" t="s">
        <v>1376</v>
      </c>
      <c r="G518" t="s">
        <v>128</v>
      </c>
      <c r="H518" s="2">
        <v>0.625</v>
      </c>
      <c r="I518" s="2">
        <v>0.97916666666666663</v>
      </c>
      <c r="J518" t="s">
        <v>486</v>
      </c>
      <c r="L518" t="s">
        <v>487</v>
      </c>
      <c r="M518" t="s">
        <v>2064</v>
      </c>
      <c r="N518" t="s">
        <v>2065</v>
      </c>
      <c r="O518">
        <v>5952410</v>
      </c>
      <c r="Q518" t="s">
        <v>1190</v>
      </c>
      <c r="R518" t="s">
        <v>132</v>
      </c>
      <c r="S518" t="s">
        <v>52</v>
      </c>
      <c r="U518">
        <v>891712</v>
      </c>
      <c r="V518" s="3">
        <v>46057.565972222219</v>
      </c>
      <c r="W518" t="s">
        <v>2067</v>
      </c>
      <c r="X518" t="s">
        <v>2068</v>
      </c>
      <c r="Y518" t="str">
        <f>"0410100247"</f>
        <v>0410100247</v>
      </c>
      <c r="Z518" t="s">
        <v>2394</v>
      </c>
      <c r="AB518" t="s">
        <v>1278</v>
      </c>
      <c r="AD518" t="s">
        <v>61</v>
      </c>
      <c r="AE518" t="s">
        <v>1279</v>
      </c>
      <c r="AF518">
        <v>2145</v>
      </c>
      <c r="AG518" t="s">
        <v>1190</v>
      </c>
      <c r="AI518" t="s">
        <v>59</v>
      </c>
      <c r="AL518" t="s">
        <v>1423</v>
      </c>
      <c r="AN518" s="3">
        <v>46078.006249999999</v>
      </c>
      <c r="AO518" t="s">
        <v>2067</v>
      </c>
    </row>
    <row r="519" spans="1:41" x14ac:dyDescent="0.3">
      <c r="A519" t="s">
        <v>41</v>
      </c>
      <c r="B519" t="s">
        <v>1284</v>
      </c>
      <c r="C519" t="s">
        <v>2395</v>
      </c>
      <c r="D519" t="s">
        <v>1286</v>
      </c>
      <c r="E519" s="1">
        <v>46077</v>
      </c>
      <c r="F519" t="s">
        <v>1376</v>
      </c>
      <c r="G519" t="s">
        <v>128</v>
      </c>
      <c r="H519" s="2">
        <v>0.625</v>
      </c>
      <c r="I519" s="2">
        <v>0.9375</v>
      </c>
      <c r="J519" t="s">
        <v>1287</v>
      </c>
      <c r="L519" t="s">
        <v>540</v>
      </c>
      <c r="M519" t="s">
        <v>563</v>
      </c>
      <c r="N519" t="s">
        <v>564</v>
      </c>
      <c r="O519">
        <v>402477</v>
      </c>
      <c r="Q519" t="s">
        <v>413</v>
      </c>
      <c r="R519" t="s">
        <v>51</v>
      </c>
      <c r="S519" t="s">
        <v>119</v>
      </c>
      <c r="T519" t="s">
        <v>414</v>
      </c>
      <c r="U519">
        <v>892176</v>
      </c>
      <c r="V519" s="3">
        <v>46077.479166666664</v>
      </c>
      <c r="W519" t="s">
        <v>565</v>
      </c>
      <c r="X519" t="s">
        <v>566</v>
      </c>
      <c r="Y519" t="str">
        <f>"0417873276"</f>
        <v>0417873276</v>
      </c>
      <c r="Z519" t="s">
        <v>70</v>
      </c>
      <c r="AB519" t="s">
        <v>1288</v>
      </c>
      <c r="AD519" t="s">
        <v>41</v>
      </c>
      <c r="AE519" t="s">
        <v>150</v>
      </c>
      <c r="AF519">
        <v>4000</v>
      </c>
      <c r="AI519" t="s">
        <v>59</v>
      </c>
      <c r="AL519" t="s">
        <v>1361</v>
      </c>
      <c r="AM519" t="s">
        <v>2396</v>
      </c>
      <c r="AN519" s="3">
        <v>46077.486111111109</v>
      </c>
      <c r="AO519" t="s">
        <v>51</v>
      </c>
    </row>
    <row r="520" spans="1:41" x14ac:dyDescent="0.3">
      <c r="A520" t="s">
        <v>306</v>
      </c>
      <c r="B520" t="s">
        <v>450</v>
      </c>
      <c r="C520" t="s">
        <v>100</v>
      </c>
      <c r="D520" t="s">
        <v>63</v>
      </c>
      <c r="E520" s="1">
        <v>46077</v>
      </c>
      <c r="F520" t="s">
        <v>1376</v>
      </c>
      <c r="G520" t="s">
        <v>128</v>
      </c>
      <c r="H520" s="2">
        <v>0.625</v>
      </c>
      <c r="I520" s="2">
        <v>0.91666666666666663</v>
      </c>
      <c r="J520" t="s">
        <v>100</v>
      </c>
      <c r="L520" t="s">
        <v>473</v>
      </c>
      <c r="M520" t="s">
        <v>474</v>
      </c>
      <c r="N520" t="s">
        <v>475</v>
      </c>
      <c r="O520">
        <v>5950662</v>
      </c>
      <c r="Q520" t="s">
        <v>461</v>
      </c>
      <c r="R520" t="s">
        <v>132</v>
      </c>
      <c r="S520" t="s">
        <v>52</v>
      </c>
      <c r="U520">
        <v>891694</v>
      </c>
      <c r="V520" s="3">
        <v>46072.5</v>
      </c>
      <c r="W520" t="s">
        <v>477</v>
      </c>
      <c r="X520" t="s">
        <v>478</v>
      </c>
      <c r="Y520" t="str">
        <f>"0449808311"</f>
        <v>0449808311</v>
      </c>
      <c r="Z520" t="s">
        <v>1155</v>
      </c>
      <c r="AB520" t="s">
        <v>459</v>
      </c>
      <c r="AD520" t="s">
        <v>306</v>
      </c>
      <c r="AE520" t="s">
        <v>460</v>
      </c>
      <c r="AF520">
        <v>3058</v>
      </c>
      <c r="AG520" t="s">
        <v>2397</v>
      </c>
      <c r="AI520" t="s">
        <v>59</v>
      </c>
      <c r="AL520" t="s">
        <v>87</v>
      </c>
      <c r="AN520" s="3">
        <v>46077.909722222219</v>
      </c>
      <c r="AO520" t="s">
        <v>477</v>
      </c>
    </row>
    <row r="521" spans="1:41" x14ac:dyDescent="0.3">
      <c r="A521" t="s">
        <v>306</v>
      </c>
      <c r="B521" t="s">
        <v>450</v>
      </c>
      <c r="C521" t="s">
        <v>100</v>
      </c>
      <c r="D521" t="s">
        <v>63</v>
      </c>
      <c r="E521" s="1">
        <v>46077</v>
      </c>
      <c r="F521" t="s">
        <v>1376</v>
      </c>
      <c r="G521" t="s">
        <v>128</v>
      </c>
      <c r="H521" s="2">
        <v>0.625</v>
      </c>
      <c r="I521" s="2">
        <v>0.91666666666666663</v>
      </c>
      <c r="J521" t="s">
        <v>451</v>
      </c>
      <c r="L521" t="s">
        <v>452</v>
      </c>
      <c r="M521" t="s">
        <v>1980</v>
      </c>
      <c r="N521" t="s">
        <v>1981</v>
      </c>
      <c r="O521">
        <v>21297</v>
      </c>
      <c r="Q521" t="s">
        <v>461</v>
      </c>
      <c r="R521" t="s">
        <v>476</v>
      </c>
      <c r="S521" t="s">
        <v>52</v>
      </c>
      <c r="U521">
        <v>891695</v>
      </c>
      <c r="V521" s="3">
        <v>46077.350694444445</v>
      </c>
      <c r="W521" t="s">
        <v>1983</v>
      </c>
      <c r="X521" t="s">
        <v>1984</v>
      </c>
      <c r="Y521" t="str">
        <f>"0434131195"</f>
        <v>0434131195</v>
      </c>
      <c r="Z521" t="s">
        <v>70</v>
      </c>
      <c r="AA521" s="1">
        <v>46077</v>
      </c>
      <c r="AB521" t="s">
        <v>459</v>
      </c>
      <c r="AD521" t="s">
        <v>306</v>
      </c>
      <c r="AE521" t="s">
        <v>460</v>
      </c>
      <c r="AF521">
        <v>3058</v>
      </c>
      <c r="AG521" t="s">
        <v>455</v>
      </c>
      <c r="AI521" t="s">
        <v>59</v>
      </c>
      <c r="AL521" t="s">
        <v>87</v>
      </c>
      <c r="AN521" s="3">
        <v>46077.910416666666</v>
      </c>
      <c r="AO521" t="s">
        <v>1983</v>
      </c>
    </row>
    <row r="522" spans="1:41" x14ac:dyDescent="0.3">
      <c r="A522" t="s">
        <v>168</v>
      </c>
      <c r="B522" t="s">
        <v>2398</v>
      </c>
      <c r="C522" t="s">
        <v>2348</v>
      </c>
      <c r="D522" t="s">
        <v>127</v>
      </c>
      <c r="E522" s="1">
        <v>46077</v>
      </c>
      <c r="F522" t="s">
        <v>1376</v>
      </c>
      <c r="G522" t="s">
        <v>128</v>
      </c>
      <c r="H522" s="2">
        <v>0.66666666666666663</v>
      </c>
      <c r="I522" s="2">
        <v>0.83333333333333337</v>
      </c>
      <c r="J522" t="s">
        <v>170</v>
      </c>
      <c r="K522" t="s">
        <v>171</v>
      </c>
      <c r="L522" t="s">
        <v>204</v>
      </c>
      <c r="M522" t="s">
        <v>1774</v>
      </c>
      <c r="N522" t="s">
        <v>1775</v>
      </c>
      <c r="O522">
        <v>5952428</v>
      </c>
      <c r="Q522" t="s">
        <v>2399</v>
      </c>
      <c r="R522" t="s">
        <v>176</v>
      </c>
      <c r="S522" t="s">
        <v>52</v>
      </c>
      <c r="U522">
        <v>891674</v>
      </c>
      <c r="V522" s="3">
        <v>46072.442361111112</v>
      </c>
      <c r="W522" t="s">
        <v>1777</v>
      </c>
      <c r="X522" t="s">
        <v>1778</v>
      </c>
      <c r="Y522" t="str">
        <f>"0433533329"</f>
        <v>0433533329</v>
      </c>
      <c r="Z522" t="s">
        <v>123</v>
      </c>
      <c r="AB522" t="s">
        <v>2400</v>
      </c>
      <c r="AD522" t="s">
        <v>168</v>
      </c>
      <c r="AE522" t="s">
        <v>2401</v>
      </c>
      <c r="AF522">
        <v>5006</v>
      </c>
      <c r="AG522" t="s">
        <v>2399</v>
      </c>
      <c r="AI522" t="s">
        <v>59</v>
      </c>
      <c r="AL522" t="s">
        <v>2402</v>
      </c>
      <c r="AN522" s="3">
        <v>46077.808333333334</v>
      </c>
      <c r="AO522" t="s">
        <v>1777</v>
      </c>
    </row>
    <row r="523" spans="1:41" x14ac:dyDescent="0.3">
      <c r="A523" t="s">
        <v>168</v>
      </c>
      <c r="B523" t="s">
        <v>441</v>
      </c>
      <c r="C523" t="s">
        <v>100</v>
      </c>
      <c r="E523" s="1">
        <v>46077</v>
      </c>
      <c r="F523" t="s">
        <v>1376</v>
      </c>
      <c r="G523" t="s">
        <v>128</v>
      </c>
      <c r="H523" s="2">
        <v>0.70833333333333337</v>
      </c>
      <c r="I523" s="2">
        <v>0.875</v>
      </c>
      <c r="J523" t="s">
        <v>100</v>
      </c>
      <c r="L523" t="s">
        <v>100</v>
      </c>
      <c r="M523" t="s">
        <v>1014</v>
      </c>
      <c r="N523" t="s">
        <v>2403</v>
      </c>
      <c r="O523">
        <v>5952239</v>
      </c>
      <c r="Q523" t="s">
        <v>981</v>
      </c>
      <c r="R523" t="s">
        <v>176</v>
      </c>
      <c r="S523" t="s">
        <v>52</v>
      </c>
      <c r="U523">
        <v>891689</v>
      </c>
      <c r="V523" s="3">
        <v>46076.506249999999</v>
      </c>
      <c r="W523" t="s">
        <v>2404</v>
      </c>
      <c r="X523" t="s">
        <v>2405</v>
      </c>
      <c r="Y523" t="str">
        <f>"0411369478"</f>
        <v>0411369478</v>
      </c>
      <c r="Z523" t="s">
        <v>70</v>
      </c>
      <c r="AB523" t="s">
        <v>448</v>
      </c>
      <c r="AD523" t="s">
        <v>168</v>
      </c>
      <c r="AE523" t="s">
        <v>180</v>
      </c>
      <c r="AF523">
        <v>5063</v>
      </c>
      <c r="AG523" t="s">
        <v>981</v>
      </c>
      <c r="AI523" t="s">
        <v>59</v>
      </c>
      <c r="AL523" t="s">
        <v>2406</v>
      </c>
      <c r="AN523" s="3">
        <v>46077.892361111109</v>
      </c>
      <c r="AO523" t="s">
        <v>2404</v>
      </c>
    </row>
    <row r="524" spans="1:41" x14ac:dyDescent="0.3">
      <c r="A524" t="s">
        <v>306</v>
      </c>
      <c r="B524" t="s">
        <v>2407</v>
      </c>
      <c r="C524" t="s">
        <v>913</v>
      </c>
      <c r="D524" t="s">
        <v>184</v>
      </c>
      <c r="E524" s="1">
        <v>46077</v>
      </c>
      <c r="F524" t="s">
        <v>1376</v>
      </c>
      <c r="G524" t="s">
        <v>128</v>
      </c>
      <c r="H524" s="2">
        <v>0.75</v>
      </c>
      <c r="I524" s="2">
        <v>0.91666666666666663</v>
      </c>
      <c r="J524" t="s">
        <v>1837</v>
      </c>
      <c r="L524" t="s">
        <v>1327</v>
      </c>
      <c r="M524" t="s">
        <v>1328</v>
      </c>
      <c r="N524" t="s">
        <v>1329</v>
      </c>
      <c r="O524">
        <v>20185</v>
      </c>
      <c r="Q524" t="s">
        <v>705</v>
      </c>
      <c r="R524" t="s">
        <v>500</v>
      </c>
      <c r="S524" t="s">
        <v>119</v>
      </c>
      <c r="T524" t="s">
        <v>414</v>
      </c>
      <c r="U524">
        <v>892170</v>
      </c>
      <c r="V524" s="3">
        <v>46077.70416666667</v>
      </c>
      <c r="W524" t="s">
        <v>1331</v>
      </c>
      <c r="X524" t="s">
        <v>1332</v>
      </c>
      <c r="Y524" t="str">
        <f>"0422616195"</f>
        <v>0422616195</v>
      </c>
      <c r="Z524" t="s">
        <v>70</v>
      </c>
      <c r="AB524" t="s">
        <v>2408</v>
      </c>
      <c r="AD524" t="s">
        <v>306</v>
      </c>
      <c r="AE524" t="s">
        <v>2409</v>
      </c>
      <c r="AF524">
        <v>3149</v>
      </c>
      <c r="AI524" t="s">
        <v>59</v>
      </c>
      <c r="AL524" t="s">
        <v>1068</v>
      </c>
      <c r="AM524" t="s">
        <v>2410</v>
      </c>
      <c r="AN524" s="3">
        <v>46077.705555555556</v>
      </c>
      <c r="AO524" t="s">
        <v>500</v>
      </c>
    </row>
    <row r="525" spans="1:41" x14ac:dyDescent="0.3">
      <c r="A525" t="s">
        <v>306</v>
      </c>
      <c r="B525" t="s">
        <v>494</v>
      </c>
      <c r="C525" t="s">
        <v>495</v>
      </c>
      <c r="D525" t="s">
        <v>63</v>
      </c>
      <c r="E525" s="1">
        <v>46077</v>
      </c>
      <c r="F525" t="s">
        <v>1376</v>
      </c>
      <c r="G525" t="s">
        <v>485</v>
      </c>
      <c r="H525" s="2">
        <v>0.79166666666666663</v>
      </c>
      <c r="I525" s="2">
        <v>0.3125</v>
      </c>
      <c r="J525" t="s">
        <v>496</v>
      </c>
      <c r="L525" t="s">
        <v>172</v>
      </c>
      <c r="M525" t="s">
        <v>497</v>
      </c>
      <c r="N525" t="s">
        <v>498</v>
      </c>
      <c r="O525">
        <v>21749</v>
      </c>
      <c r="Q525" t="s">
        <v>1301</v>
      </c>
      <c r="R525" t="s">
        <v>1302</v>
      </c>
      <c r="S525" t="s">
        <v>52</v>
      </c>
      <c r="U525">
        <v>891699</v>
      </c>
      <c r="V525" s="3">
        <v>46074.705555555556</v>
      </c>
      <c r="W525" t="s">
        <v>501</v>
      </c>
      <c r="X525" t="s">
        <v>502</v>
      </c>
      <c r="Y525" t="str">
        <f>"0400876131"</f>
        <v>0400876131</v>
      </c>
      <c r="Z525" t="s">
        <v>55</v>
      </c>
      <c r="AA525" s="1">
        <v>46077</v>
      </c>
      <c r="AB525" t="s">
        <v>504</v>
      </c>
      <c r="AD525" t="s">
        <v>306</v>
      </c>
      <c r="AE525" t="s">
        <v>505</v>
      </c>
      <c r="AF525">
        <v>3052</v>
      </c>
      <c r="AG525" t="s">
        <v>1303</v>
      </c>
      <c r="AI525" t="s">
        <v>59</v>
      </c>
      <c r="AL525" t="s">
        <v>1304</v>
      </c>
      <c r="AN525" s="3">
        <v>46077.939583333333</v>
      </c>
      <c r="AO525" t="s">
        <v>501</v>
      </c>
    </row>
    <row r="526" spans="1:41" x14ac:dyDescent="0.3">
      <c r="A526" t="s">
        <v>306</v>
      </c>
      <c r="B526" t="s">
        <v>2411</v>
      </c>
      <c r="C526" t="s">
        <v>1354</v>
      </c>
      <c r="D526" t="s">
        <v>184</v>
      </c>
      <c r="E526" s="1">
        <v>46077</v>
      </c>
      <c r="F526" t="s">
        <v>1376</v>
      </c>
      <c r="G526" t="s">
        <v>485</v>
      </c>
      <c r="H526" s="2">
        <v>0.79166666666666663</v>
      </c>
      <c r="I526" s="2">
        <v>0.3125</v>
      </c>
      <c r="J526" t="s">
        <v>1355</v>
      </c>
      <c r="L526" t="s">
        <v>735</v>
      </c>
      <c r="M526" t="s">
        <v>1651</v>
      </c>
      <c r="N526" t="s">
        <v>1652</v>
      </c>
      <c r="O526">
        <v>20581</v>
      </c>
      <c r="Q526" t="s">
        <v>413</v>
      </c>
      <c r="R526" t="s">
        <v>500</v>
      </c>
      <c r="S526" t="s">
        <v>119</v>
      </c>
      <c r="T526" t="s">
        <v>1356</v>
      </c>
      <c r="U526">
        <v>892172</v>
      </c>
      <c r="V526" s="3">
        <v>46077.672222222223</v>
      </c>
      <c r="W526" t="s">
        <v>1654</v>
      </c>
      <c r="X526" t="s">
        <v>1655</v>
      </c>
      <c r="Y526" t="str">
        <f>"0420857417"</f>
        <v>0420857417</v>
      </c>
      <c r="Z526" t="s">
        <v>70</v>
      </c>
      <c r="AB526" t="s">
        <v>2412</v>
      </c>
      <c r="AD526" t="s">
        <v>306</v>
      </c>
      <c r="AE526" t="s">
        <v>827</v>
      </c>
      <c r="AF526">
        <v>3181</v>
      </c>
      <c r="AI526" t="s">
        <v>59</v>
      </c>
      <c r="AL526" t="s">
        <v>2413</v>
      </c>
      <c r="AM526" t="s">
        <v>2414</v>
      </c>
      <c r="AN526" s="3">
        <v>46077.703472222223</v>
      </c>
      <c r="AO526" t="s">
        <v>1654</v>
      </c>
    </row>
    <row r="527" spans="1:41" x14ac:dyDescent="0.3">
      <c r="A527" t="s">
        <v>306</v>
      </c>
      <c r="B527" t="s">
        <v>528</v>
      </c>
      <c r="C527" t="s">
        <v>529</v>
      </c>
      <c r="D527" t="s">
        <v>63</v>
      </c>
      <c r="E527" s="1">
        <v>46077</v>
      </c>
      <c r="F527" t="s">
        <v>1376</v>
      </c>
      <c r="G527" t="s">
        <v>485</v>
      </c>
      <c r="H527" s="2">
        <v>0.79166666666666663</v>
      </c>
      <c r="I527" s="2">
        <v>0.3125</v>
      </c>
      <c r="J527" t="s">
        <v>529</v>
      </c>
      <c r="K527" t="s">
        <v>530</v>
      </c>
      <c r="L527" t="s">
        <v>531</v>
      </c>
      <c r="M527" t="s">
        <v>532</v>
      </c>
      <c r="N527" t="s">
        <v>533</v>
      </c>
      <c r="O527">
        <v>20495</v>
      </c>
      <c r="Q527" t="s">
        <v>2415</v>
      </c>
      <c r="R527" t="s">
        <v>500</v>
      </c>
      <c r="S527" t="s">
        <v>52</v>
      </c>
      <c r="U527">
        <v>891713</v>
      </c>
      <c r="V527" s="3">
        <v>46076.672222222223</v>
      </c>
      <c r="W527" t="s">
        <v>535</v>
      </c>
      <c r="X527" t="s">
        <v>536</v>
      </c>
      <c r="Y527" t="str">
        <f>"0447625522"</f>
        <v>0447625522</v>
      </c>
      <c r="Z527" t="s">
        <v>70</v>
      </c>
      <c r="AA527" s="1">
        <v>46077</v>
      </c>
      <c r="AB527" t="s">
        <v>537</v>
      </c>
      <c r="AD527" t="s">
        <v>306</v>
      </c>
      <c r="AE527" t="s">
        <v>538</v>
      </c>
      <c r="AF527">
        <v>3152</v>
      </c>
      <c r="AG527" t="s">
        <v>2415</v>
      </c>
      <c r="AI527" t="s">
        <v>59</v>
      </c>
      <c r="AL527" t="s">
        <v>2416</v>
      </c>
      <c r="AN527" s="3">
        <v>46078.259722222225</v>
      </c>
      <c r="AO527" t="s">
        <v>535</v>
      </c>
    </row>
    <row r="528" spans="1:41" x14ac:dyDescent="0.3">
      <c r="A528" t="s">
        <v>168</v>
      </c>
      <c r="B528" t="s">
        <v>336</v>
      </c>
      <c r="D528" t="s">
        <v>268</v>
      </c>
      <c r="E528" s="1">
        <v>46077</v>
      </c>
      <c r="F528" t="s">
        <v>1376</v>
      </c>
      <c r="G528" t="s">
        <v>485</v>
      </c>
      <c r="H528" s="2">
        <v>0.875</v>
      </c>
      <c r="I528" s="2">
        <v>0.3125</v>
      </c>
      <c r="J528" t="s">
        <v>296</v>
      </c>
      <c r="K528" t="s">
        <v>338</v>
      </c>
      <c r="L528" t="s">
        <v>339</v>
      </c>
      <c r="M528" t="s">
        <v>806</v>
      </c>
      <c r="N528" t="s">
        <v>1671</v>
      </c>
      <c r="O528">
        <v>5951069</v>
      </c>
      <c r="P528" t="s">
        <v>338</v>
      </c>
      <c r="Q528" t="s">
        <v>342</v>
      </c>
      <c r="R528" t="s">
        <v>176</v>
      </c>
      <c r="S528" t="s">
        <v>52</v>
      </c>
      <c r="U528">
        <v>891690</v>
      </c>
      <c r="V528" s="3">
        <v>46063.549305555556</v>
      </c>
      <c r="W528" t="s">
        <v>1672</v>
      </c>
      <c r="X528" t="s">
        <v>1673</v>
      </c>
      <c r="Y528" t="str">
        <f>"0402344127"</f>
        <v>0402344127</v>
      </c>
      <c r="Z528" t="s">
        <v>2417</v>
      </c>
      <c r="AB528" t="s">
        <v>346</v>
      </c>
      <c r="AD528" t="s">
        <v>168</v>
      </c>
      <c r="AE528" t="s">
        <v>347</v>
      </c>
      <c r="AF528">
        <v>5042</v>
      </c>
      <c r="AG528" t="s">
        <v>342</v>
      </c>
      <c r="AI528" t="s">
        <v>59</v>
      </c>
      <c r="AL528" t="s">
        <v>2418</v>
      </c>
      <c r="AM528" t="s">
        <v>349</v>
      </c>
      <c r="AN528" s="3">
        <v>46077.895833333336</v>
      </c>
      <c r="AO528" t="s">
        <v>1672</v>
      </c>
    </row>
    <row r="529" spans="1:41" x14ac:dyDescent="0.3">
      <c r="A529" t="s">
        <v>61</v>
      </c>
      <c r="B529" t="s">
        <v>182</v>
      </c>
      <c r="C529" t="s">
        <v>484</v>
      </c>
      <c r="D529" t="s">
        <v>184</v>
      </c>
      <c r="E529" s="1">
        <v>46077</v>
      </c>
      <c r="F529" t="s">
        <v>1376</v>
      </c>
      <c r="G529" t="s">
        <v>485</v>
      </c>
      <c r="H529" s="2">
        <v>0.89583333333333337</v>
      </c>
      <c r="I529" s="2">
        <v>0.29166666666666669</v>
      </c>
      <c r="J529" t="s">
        <v>486</v>
      </c>
      <c r="L529" t="s">
        <v>487</v>
      </c>
      <c r="M529" t="s">
        <v>1645</v>
      </c>
      <c r="N529" t="s">
        <v>1646</v>
      </c>
      <c r="O529">
        <v>5951065</v>
      </c>
      <c r="Q529" t="s">
        <v>2419</v>
      </c>
      <c r="R529" t="s">
        <v>1248</v>
      </c>
      <c r="S529" t="s">
        <v>52</v>
      </c>
      <c r="U529">
        <v>891715</v>
      </c>
      <c r="V529" s="3">
        <v>46072.677777777775</v>
      </c>
      <c r="W529" t="s">
        <v>1647</v>
      </c>
      <c r="X529" t="s">
        <v>1648</v>
      </c>
      <c r="Y529" t="str">
        <f>"0408979009"</f>
        <v>0408979009</v>
      </c>
      <c r="Z529" t="s">
        <v>70</v>
      </c>
      <c r="AA529" s="1">
        <v>46077</v>
      </c>
      <c r="AB529" t="s">
        <v>193</v>
      </c>
      <c r="AD529" t="s">
        <v>61</v>
      </c>
      <c r="AE529" t="s">
        <v>194</v>
      </c>
      <c r="AF529">
        <v>2229</v>
      </c>
      <c r="AG529" t="s">
        <v>2066</v>
      </c>
      <c r="AI529" t="s">
        <v>59</v>
      </c>
      <c r="AL529" t="s">
        <v>2420</v>
      </c>
      <c r="AN529" s="3">
        <v>46078.281944444447</v>
      </c>
      <c r="AO529" t="s">
        <v>1647</v>
      </c>
    </row>
    <row r="530" spans="1:41" x14ac:dyDescent="0.3">
      <c r="A530" t="s">
        <v>61</v>
      </c>
      <c r="B530" t="s">
        <v>1462</v>
      </c>
      <c r="C530" t="s">
        <v>296</v>
      </c>
      <c r="D530" t="s">
        <v>90</v>
      </c>
      <c r="E530" s="1">
        <v>46077</v>
      </c>
      <c r="F530" t="s">
        <v>1376</v>
      </c>
      <c r="G530" t="s">
        <v>485</v>
      </c>
      <c r="H530" s="2">
        <v>0.89583333333333337</v>
      </c>
      <c r="I530" s="2">
        <v>0.3125</v>
      </c>
      <c r="J530" t="s">
        <v>296</v>
      </c>
      <c r="L530" t="s">
        <v>1453</v>
      </c>
      <c r="M530" t="s">
        <v>78</v>
      </c>
      <c r="N530" t="s">
        <v>2421</v>
      </c>
      <c r="O530">
        <v>5951072</v>
      </c>
      <c r="Q530" t="s">
        <v>1744</v>
      </c>
      <c r="R530" t="s">
        <v>67</v>
      </c>
      <c r="S530" t="s">
        <v>52</v>
      </c>
      <c r="U530">
        <v>891723</v>
      </c>
      <c r="V530" s="3">
        <v>46076.468055555553</v>
      </c>
      <c r="W530" t="s">
        <v>2422</v>
      </c>
      <c r="X530" t="s">
        <v>2423</v>
      </c>
      <c r="Y530" t="str">
        <f>"0400632262"</f>
        <v>0400632262</v>
      </c>
      <c r="Z530" t="s">
        <v>375</v>
      </c>
      <c r="AB530" t="s">
        <v>1468</v>
      </c>
      <c r="AD530" t="s">
        <v>61</v>
      </c>
      <c r="AE530" t="s">
        <v>1469</v>
      </c>
      <c r="AF530">
        <v>2060</v>
      </c>
      <c r="AG530" t="s">
        <v>2012</v>
      </c>
      <c r="AI530" t="s">
        <v>59</v>
      </c>
      <c r="AL530" t="s">
        <v>2424</v>
      </c>
      <c r="AN530" s="3">
        <v>46078.324305555558</v>
      </c>
      <c r="AO530" t="s">
        <v>2422</v>
      </c>
    </row>
    <row r="531" spans="1:41" x14ac:dyDescent="0.3">
      <c r="A531" t="s">
        <v>61</v>
      </c>
      <c r="B531" t="s">
        <v>929</v>
      </c>
      <c r="C531" t="s">
        <v>929</v>
      </c>
      <c r="D531" t="s">
        <v>309</v>
      </c>
      <c r="E531" s="1">
        <v>46077</v>
      </c>
      <c r="F531" t="s">
        <v>1376</v>
      </c>
      <c r="G531" t="s">
        <v>485</v>
      </c>
      <c r="H531" s="2">
        <v>0.89583333333333337</v>
      </c>
      <c r="I531" s="2">
        <v>0.3125</v>
      </c>
      <c r="J531" t="s">
        <v>2425</v>
      </c>
      <c r="L531" t="s">
        <v>931</v>
      </c>
      <c r="M531" t="s">
        <v>932</v>
      </c>
      <c r="N531" t="s">
        <v>933</v>
      </c>
      <c r="O531">
        <v>5952462</v>
      </c>
      <c r="P531" t="s">
        <v>2426</v>
      </c>
      <c r="Q531" t="s">
        <v>2427</v>
      </c>
      <c r="R531" t="s">
        <v>2428</v>
      </c>
      <c r="S531" t="s">
        <v>119</v>
      </c>
      <c r="T531" t="s">
        <v>414</v>
      </c>
      <c r="V531" s="3">
        <v>46077.623611111114</v>
      </c>
      <c r="W531" t="s">
        <v>936</v>
      </c>
      <c r="X531" t="s">
        <v>937</v>
      </c>
      <c r="Y531" t="str">
        <f>"9999999999"</f>
        <v>9999999999</v>
      </c>
      <c r="Z531" t="s">
        <v>70</v>
      </c>
      <c r="AA531" s="1">
        <v>46077</v>
      </c>
      <c r="AB531" t="s">
        <v>938</v>
      </c>
      <c r="AD531" t="s">
        <v>61</v>
      </c>
      <c r="AE531" t="s">
        <v>939</v>
      </c>
      <c r="AF531">
        <v>2085</v>
      </c>
      <c r="AG531" t="s">
        <v>2429</v>
      </c>
      <c r="AI531" t="s">
        <v>59</v>
      </c>
      <c r="AL531" t="s">
        <v>2430</v>
      </c>
      <c r="AN531" s="3">
        <v>46077.625</v>
      </c>
      <c r="AO531" t="s">
        <v>2428</v>
      </c>
    </row>
    <row r="532" spans="1:41" x14ac:dyDescent="0.3">
      <c r="A532" t="s">
        <v>61</v>
      </c>
      <c r="B532" t="s">
        <v>1462</v>
      </c>
      <c r="C532" t="s">
        <v>296</v>
      </c>
      <c r="D532" t="s">
        <v>90</v>
      </c>
      <c r="E532" s="1">
        <v>46077</v>
      </c>
      <c r="F532" t="s">
        <v>1376</v>
      </c>
      <c r="G532" t="s">
        <v>485</v>
      </c>
      <c r="H532" s="2">
        <v>0.91666666666666663</v>
      </c>
      <c r="I532" s="2">
        <v>0.29166666666666669</v>
      </c>
      <c r="J532" t="s">
        <v>464</v>
      </c>
      <c r="L532" t="s">
        <v>464</v>
      </c>
      <c r="M532" t="s">
        <v>2431</v>
      </c>
      <c r="N532" t="s">
        <v>2432</v>
      </c>
      <c r="O532">
        <v>21966</v>
      </c>
      <c r="Q532" t="s">
        <v>541</v>
      </c>
      <c r="R532" t="s">
        <v>67</v>
      </c>
      <c r="S532" t="s">
        <v>52</v>
      </c>
      <c r="U532">
        <v>891716</v>
      </c>
      <c r="V532" s="3">
        <v>46077.599305555559</v>
      </c>
      <c r="W532" t="s">
        <v>2433</v>
      </c>
      <c r="X532" t="s">
        <v>2434</v>
      </c>
      <c r="Y532" t="str">
        <f>"0498795565"</f>
        <v>0498795565</v>
      </c>
      <c r="Z532" t="s">
        <v>70</v>
      </c>
      <c r="AA532" s="1">
        <v>46077</v>
      </c>
      <c r="AB532" t="s">
        <v>1468</v>
      </c>
      <c r="AD532" t="s">
        <v>61</v>
      </c>
      <c r="AE532" t="s">
        <v>1469</v>
      </c>
      <c r="AF532">
        <v>2060</v>
      </c>
      <c r="AG532" t="s">
        <v>2012</v>
      </c>
      <c r="AI532" t="s">
        <v>59</v>
      </c>
      <c r="AL532" t="s">
        <v>87</v>
      </c>
      <c r="AN532" s="3">
        <v>46078.286805555559</v>
      </c>
      <c r="AO532" t="s">
        <v>2433</v>
      </c>
    </row>
    <row r="533" spans="1:41" x14ac:dyDescent="0.3">
      <c r="A533" t="s">
        <v>41</v>
      </c>
      <c r="B533" t="s">
        <v>632</v>
      </c>
      <c r="C533" t="s">
        <v>296</v>
      </c>
      <c r="D533" t="s">
        <v>246</v>
      </c>
      <c r="E533" s="1">
        <v>46077</v>
      </c>
      <c r="F533" t="s">
        <v>1376</v>
      </c>
      <c r="G533" t="s">
        <v>485</v>
      </c>
      <c r="H533" s="2">
        <v>0.9375</v>
      </c>
      <c r="I533" s="2">
        <v>0.29166666666666669</v>
      </c>
      <c r="J533" t="s">
        <v>296</v>
      </c>
      <c r="L533" t="s">
        <v>428</v>
      </c>
      <c r="M533" t="s">
        <v>554</v>
      </c>
      <c r="N533" t="s">
        <v>555</v>
      </c>
      <c r="O533">
        <v>5950685</v>
      </c>
      <c r="Q533" t="s">
        <v>2435</v>
      </c>
      <c r="R533" t="s">
        <v>500</v>
      </c>
      <c r="S533" t="s">
        <v>52</v>
      </c>
      <c r="U533">
        <v>891724</v>
      </c>
      <c r="V533" s="3">
        <v>46077.925000000003</v>
      </c>
      <c r="W533" t="s">
        <v>557</v>
      </c>
      <c r="X533" t="s">
        <v>558</v>
      </c>
      <c r="Y533" t="str">
        <f>"0431966228"</f>
        <v>0431966228</v>
      </c>
      <c r="Z533" t="s">
        <v>70</v>
      </c>
      <c r="AA533" s="1">
        <v>46077</v>
      </c>
      <c r="AB533" t="s">
        <v>640</v>
      </c>
      <c r="AD533" t="s">
        <v>41</v>
      </c>
      <c r="AE533" t="s">
        <v>641</v>
      </c>
      <c r="AF533">
        <v>4305</v>
      </c>
      <c r="AG533" t="s">
        <v>2435</v>
      </c>
      <c r="AI533" t="s">
        <v>59</v>
      </c>
      <c r="AL533" t="s">
        <v>87</v>
      </c>
      <c r="AN533" s="3">
        <v>46078.330555555556</v>
      </c>
      <c r="AO533" t="s">
        <v>557</v>
      </c>
    </row>
    <row r="534" spans="1:41" x14ac:dyDescent="0.3">
      <c r="A534" t="s">
        <v>41</v>
      </c>
      <c r="B534" t="s">
        <v>426</v>
      </c>
      <c r="C534" t="s">
        <v>296</v>
      </c>
      <c r="D534" t="s">
        <v>246</v>
      </c>
      <c r="E534" s="1">
        <v>46077</v>
      </c>
      <c r="F534" t="s">
        <v>1376</v>
      </c>
      <c r="G534" t="s">
        <v>485</v>
      </c>
      <c r="H534" s="2">
        <v>0.94791666666666663</v>
      </c>
      <c r="I534" s="2">
        <v>0.30208333333333331</v>
      </c>
      <c r="J534" t="s">
        <v>464</v>
      </c>
      <c r="L534" t="s">
        <v>540</v>
      </c>
      <c r="M534" t="s">
        <v>541</v>
      </c>
      <c r="N534" t="s">
        <v>542</v>
      </c>
      <c r="O534">
        <v>402297</v>
      </c>
      <c r="Q534" t="s">
        <v>2101</v>
      </c>
      <c r="R534" t="s">
        <v>723</v>
      </c>
      <c r="S534" t="s">
        <v>52</v>
      </c>
      <c r="U534">
        <v>891725</v>
      </c>
      <c r="V534" s="3">
        <v>46077.643055555556</v>
      </c>
      <c r="W534" t="s">
        <v>543</v>
      </c>
      <c r="X534" t="s">
        <v>544</v>
      </c>
      <c r="Y534" t="str">
        <f>"0434044099"</f>
        <v>0434044099</v>
      </c>
      <c r="Z534" t="s">
        <v>70</v>
      </c>
      <c r="AA534" s="1">
        <v>46077</v>
      </c>
      <c r="AB534" t="s">
        <v>434</v>
      </c>
      <c r="AD534" t="s">
        <v>41</v>
      </c>
      <c r="AE534" t="s">
        <v>435</v>
      </c>
      <c r="AF534">
        <v>4163</v>
      </c>
      <c r="AG534" t="s">
        <v>2101</v>
      </c>
      <c r="AI534" t="s">
        <v>59</v>
      </c>
      <c r="AL534" t="s">
        <v>2152</v>
      </c>
      <c r="AN534" s="3">
        <v>46078.35</v>
      </c>
      <c r="AO534" t="s">
        <v>543</v>
      </c>
    </row>
    <row r="535" spans="1:41" x14ac:dyDescent="0.3">
      <c r="A535" t="s">
        <v>41</v>
      </c>
      <c r="B535" t="s">
        <v>589</v>
      </c>
      <c r="C535" t="s">
        <v>590</v>
      </c>
      <c r="D535" t="s">
        <v>246</v>
      </c>
      <c r="E535" s="1">
        <v>46077</v>
      </c>
      <c r="F535" t="s">
        <v>1376</v>
      </c>
      <c r="G535" t="s">
        <v>485</v>
      </c>
      <c r="H535" s="2">
        <v>0.94791666666666663</v>
      </c>
      <c r="I535" s="2">
        <v>0.30208333333333331</v>
      </c>
      <c r="J535" t="s">
        <v>591</v>
      </c>
      <c r="L535" t="s">
        <v>592</v>
      </c>
      <c r="M535" t="s">
        <v>593</v>
      </c>
      <c r="N535" t="s">
        <v>594</v>
      </c>
      <c r="O535">
        <v>5952427</v>
      </c>
      <c r="P535" t="s">
        <v>249</v>
      </c>
      <c r="Q535" t="s">
        <v>596</v>
      </c>
      <c r="R535" t="s">
        <v>392</v>
      </c>
      <c r="S535" t="s">
        <v>52</v>
      </c>
      <c r="T535" t="s">
        <v>252</v>
      </c>
      <c r="U535">
        <v>892268</v>
      </c>
      <c r="V535" s="3">
        <v>46083.681250000001</v>
      </c>
      <c r="W535" t="s">
        <v>597</v>
      </c>
      <c r="X535" t="s">
        <v>598</v>
      </c>
      <c r="Y535" t="str">
        <f>"0432677728"</f>
        <v>0432677728</v>
      </c>
      <c r="Z535" t="s">
        <v>254</v>
      </c>
      <c r="AA535" s="1">
        <v>46082</v>
      </c>
      <c r="AB535" t="s">
        <v>599</v>
      </c>
      <c r="AC535" t="s">
        <v>600</v>
      </c>
      <c r="AD535" t="s">
        <v>41</v>
      </c>
      <c r="AE535" t="s">
        <v>600</v>
      </c>
      <c r="AF535">
        <v>4610</v>
      </c>
      <c r="AG535" t="s">
        <v>601</v>
      </c>
      <c r="AI535" t="s">
        <v>59</v>
      </c>
      <c r="AJ535" t="str">
        <f>"0050075752"</f>
        <v>0050075752</v>
      </c>
      <c r="AN535" s="3">
        <v>46083.681250000001</v>
      </c>
      <c r="AO535" t="s">
        <v>392</v>
      </c>
    </row>
    <row r="536" spans="1:41" x14ac:dyDescent="0.3">
      <c r="A536" t="s">
        <v>61</v>
      </c>
      <c r="B536" t="s">
        <v>753</v>
      </c>
      <c r="C536" t="s">
        <v>484</v>
      </c>
      <c r="D536" t="s">
        <v>754</v>
      </c>
      <c r="E536" s="1">
        <v>46077</v>
      </c>
      <c r="F536" t="s">
        <v>1376</v>
      </c>
      <c r="G536" t="s">
        <v>485</v>
      </c>
      <c r="H536" s="2">
        <v>0.94791666666666663</v>
      </c>
      <c r="I536" s="2">
        <v>0.30208333333333331</v>
      </c>
      <c r="J536" t="s">
        <v>486</v>
      </c>
      <c r="L536" t="s">
        <v>2436</v>
      </c>
      <c r="M536" t="s">
        <v>1987</v>
      </c>
      <c r="N536" t="s">
        <v>2437</v>
      </c>
      <c r="O536">
        <v>5952336</v>
      </c>
      <c r="Q536" t="s">
        <v>2438</v>
      </c>
      <c r="R536" t="s">
        <v>132</v>
      </c>
      <c r="S536" t="s">
        <v>52</v>
      </c>
      <c r="U536">
        <v>891714</v>
      </c>
      <c r="V536" s="3">
        <v>46069.347222222219</v>
      </c>
      <c r="W536" t="s">
        <v>2439</v>
      </c>
      <c r="X536" t="s">
        <v>2440</v>
      </c>
      <c r="Y536" t="str">
        <f>"0450594540"</f>
        <v>0450594540</v>
      </c>
      <c r="Z536" t="s">
        <v>550</v>
      </c>
      <c r="AB536" t="s">
        <v>764</v>
      </c>
      <c r="AD536" t="s">
        <v>61</v>
      </c>
      <c r="AE536" t="s">
        <v>765</v>
      </c>
      <c r="AF536">
        <v>2220</v>
      </c>
      <c r="AG536" t="s">
        <v>758</v>
      </c>
      <c r="AI536" t="s">
        <v>59</v>
      </c>
      <c r="AL536" t="s">
        <v>1423</v>
      </c>
      <c r="AN536" s="3">
        <v>46078.27847222222</v>
      </c>
      <c r="AO536" t="s">
        <v>2439</v>
      </c>
    </row>
    <row r="537" spans="1:41" x14ac:dyDescent="0.3">
      <c r="A537" t="s">
        <v>41</v>
      </c>
      <c r="B537" t="s">
        <v>568</v>
      </c>
      <c r="D537" t="s">
        <v>246</v>
      </c>
      <c r="E537" s="1">
        <v>46047</v>
      </c>
      <c r="F537" t="s">
        <v>1617</v>
      </c>
      <c r="G537" t="s">
        <v>45</v>
      </c>
      <c r="H537" s="2">
        <v>0.29166666666666669</v>
      </c>
      <c r="I537" s="2">
        <v>0.64583333333333337</v>
      </c>
      <c r="J537" t="s">
        <v>269</v>
      </c>
      <c r="L537" t="s">
        <v>172</v>
      </c>
      <c r="M537" t="s">
        <v>311</v>
      </c>
      <c r="N537" t="s">
        <v>570</v>
      </c>
      <c r="O537">
        <v>5951685</v>
      </c>
      <c r="P537" t="s">
        <v>571</v>
      </c>
      <c r="Q537" t="s">
        <v>572</v>
      </c>
      <c r="R537" t="s">
        <v>573</v>
      </c>
      <c r="S537" t="s">
        <v>52</v>
      </c>
      <c r="T537" t="s">
        <v>252</v>
      </c>
      <c r="U537">
        <v>888439</v>
      </c>
      <c r="V537" s="3">
        <v>46049.585416666669</v>
      </c>
      <c r="W537" t="s">
        <v>574</v>
      </c>
      <c r="X537" t="s">
        <v>575</v>
      </c>
      <c r="Y537" t="str">
        <f>"0407007024"</f>
        <v>0407007024</v>
      </c>
      <c r="Z537" t="s">
        <v>234</v>
      </c>
      <c r="AA537" s="1">
        <v>46075</v>
      </c>
      <c r="AB537" t="s">
        <v>576</v>
      </c>
      <c r="AD537" t="s">
        <v>41</v>
      </c>
      <c r="AE537" t="s">
        <v>577</v>
      </c>
      <c r="AF537">
        <v>4700</v>
      </c>
      <c r="AG537" t="s">
        <v>572</v>
      </c>
      <c r="AI537" t="s">
        <v>59</v>
      </c>
      <c r="AJ537" t="str">
        <f>"0050076113"</f>
        <v>0050076113</v>
      </c>
      <c r="AN537" s="3">
        <v>46049.585416666669</v>
      </c>
      <c r="AO537" t="s">
        <v>573</v>
      </c>
    </row>
    <row r="538" spans="1:41" x14ac:dyDescent="0.3">
      <c r="A538" t="s">
        <v>168</v>
      </c>
      <c r="B538" t="s">
        <v>607</v>
      </c>
      <c r="C538" t="s">
        <v>267</v>
      </c>
      <c r="D538" t="s">
        <v>268</v>
      </c>
      <c r="E538" s="1">
        <v>46047</v>
      </c>
      <c r="F538" t="s">
        <v>1617</v>
      </c>
      <c r="G538" t="s">
        <v>45</v>
      </c>
      <c r="H538" s="2">
        <v>0.60416666666666663</v>
      </c>
      <c r="I538" s="2">
        <v>0.95833333333333337</v>
      </c>
      <c r="J538" t="s">
        <v>269</v>
      </c>
      <c r="K538" t="s">
        <v>608</v>
      </c>
      <c r="L538" t="s">
        <v>609</v>
      </c>
      <c r="M538" t="s">
        <v>610</v>
      </c>
      <c r="N538" t="s">
        <v>611</v>
      </c>
      <c r="O538">
        <v>5952121</v>
      </c>
      <c r="P538" t="s">
        <v>249</v>
      </c>
      <c r="Q538" t="s">
        <v>612</v>
      </c>
      <c r="R538" t="s">
        <v>613</v>
      </c>
      <c r="S538" t="s">
        <v>52</v>
      </c>
      <c r="T538" t="s">
        <v>252</v>
      </c>
      <c r="U538">
        <v>888336</v>
      </c>
      <c r="V538" s="3">
        <v>46048.029166666667</v>
      </c>
      <c r="W538" t="s">
        <v>613</v>
      </c>
      <c r="X538" t="s">
        <v>614</v>
      </c>
      <c r="Y538" t="str">
        <f>"0412297150"</f>
        <v>0412297150</v>
      </c>
      <c r="Z538" t="s">
        <v>234</v>
      </c>
      <c r="AA538" s="1">
        <v>46077</v>
      </c>
      <c r="AB538" t="s">
        <v>615</v>
      </c>
      <c r="AC538" t="s">
        <v>616</v>
      </c>
      <c r="AD538" t="s">
        <v>168</v>
      </c>
      <c r="AE538" t="s">
        <v>617</v>
      </c>
      <c r="AF538">
        <v>5290</v>
      </c>
      <c r="AG538" t="s">
        <v>618</v>
      </c>
      <c r="AI538" t="s">
        <v>59</v>
      </c>
      <c r="AJ538" t="str">
        <f>"0020171780"</f>
        <v>0020171780</v>
      </c>
      <c r="AM538" t="s">
        <v>2441</v>
      </c>
      <c r="AN538" s="3">
        <v>46048.029166666667</v>
      </c>
      <c r="AO538" t="s">
        <v>613</v>
      </c>
    </row>
    <row r="539" spans="1:41" x14ac:dyDescent="0.3">
      <c r="A539" t="s">
        <v>61</v>
      </c>
      <c r="B539" t="s">
        <v>578</v>
      </c>
      <c r="D539" t="s">
        <v>579</v>
      </c>
      <c r="E539" s="1">
        <v>46047</v>
      </c>
      <c r="F539" t="s">
        <v>1617</v>
      </c>
      <c r="G539" t="s">
        <v>485</v>
      </c>
      <c r="H539" s="2">
        <v>0.94791666666666663</v>
      </c>
      <c r="I539" s="2">
        <v>0.1111111111111111</v>
      </c>
      <c r="J539" t="s">
        <v>269</v>
      </c>
      <c r="L539" t="s">
        <v>172</v>
      </c>
      <c r="M539" t="s">
        <v>580</v>
      </c>
      <c r="N539" t="s">
        <v>581</v>
      </c>
      <c r="O539">
        <v>5951721</v>
      </c>
      <c r="P539" t="s">
        <v>571</v>
      </c>
      <c r="Q539" t="s">
        <v>582</v>
      </c>
      <c r="R539" t="s">
        <v>573</v>
      </c>
      <c r="S539" t="s">
        <v>52</v>
      </c>
      <c r="T539" t="s">
        <v>252</v>
      </c>
      <c r="U539">
        <v>888583</v>
      </c>
      <c r="V539" s="3">
        <v>46050.645833333336</v>
      </c>
      <c r="W539" t="s">
        <v>583</v>
      </c>
      <c r="X539" t="s">
        <v>584</v>
      </c>
      <c r="Y539" t="str">
        <f>"0456677559"</f>
        <v>0456677559</v>
      </c>
      <c r="Z539" t="s">
        <v>375</v>
      </c>
      <c r="AA539" s="1">
        <v>46061</v>
      </c>
      <c r="AB539" t="s">
        <v>586</v>
      </c>
      <c r="AD539" t="s">
        <v>61</v>
      </c>
      <c r="AE539" t="s">
        <v>587</v>
      </c>
      <c r="AF539">
        <v>2320</v>
      </c>
      <c r="AG539" t="s">
        <v>588</v>
      </c>
      <c r="AI539" t="s">
        <v>59</v>
      </c>
      <c r="AJ539" t="str">
        <f>"0010193654"</f>
        <v>0010193654</v>
      </c>
      <c r="AN539" s="3">
        <v>46050.645833333336</v>
      </c>
      <c r="AO539" t="s">
        <v>573</v>
      </c>
    </row>
    <row r="540" spans="1:41" x14ac:dyDescent="0.3">
      <c r="A540" t="s">
        <v>61</v>
      </c>
      <c r="B540" t="s">
        <v>182</v>
      </c>
      <c r="C540" t="s">
        <v>183</v>
      </c>
      <c r="D540" t="s">
        <v>184</v>
      </c>
      <c r="E540" s="1">
        <v>46078</v>
      </c>
      <c r="F540" t="s">
        <v>44</v>
      </c>
      <c r="G540" t="s">
        <v>45</v>
      </c>
      <c r="H540" s="2">
        <v>0.27083333333333331</v>
      </c>
      <c r="I540" s="2">
        <v>0.52083333333333337</v>
      </c>
      <c r="J540" t="s">
        <v>185</v>
      </c>
      <c r="L540" t="s">
        <v>186</v>
      </c>
      <c r="M540" t="s">
        <v>1395</v>
      </c>
      <c r="N540" t="s">
        <v>1396</v>
      </c>
      <c r="O540">
        <v>758</v>
      </c>
      <c r="Q540" t="s">
        <v>189</v>
      </c>
      <c r="R540" t="s">
        <v>500</v>
      </c>
      <c r="S540" t="s">
        <v>52</v>
      </c>
      <c r="U540">
        <v>891746</v>
      </c>
      <c r="V540" s="3">
        <v>46071.82708333333</v>
      </c>
      <c r="W540" t="s">
        <v>1397</v>
      </c>
      <c r="X540" t="s">
        <v>1398</v>
      </c>
      <c r="Y540" t="str">
        <f>"0402403886"</f>
        <v>0402403886</v>
      </c>
      <c r="Z540" t="s">
        <v>2442</v>
      </c>
      <c r="AB540" t="s">
        <v>193</v>
      </c>
      <c r="AD540" t="s">
        <v>61</v>
      </c>
      <c r="AE540" t="s">
        <v>194</v>
      </c>
      <c r="AF540">
        <v>2229</v>
      </c>
      <c r="AG540" t="s">
        <v>189</v>
      </c>
      <c r="AI540" t="s">
        <v>59</v>
      </c>
      <c r="AL540" t="s">
        <v>2443</v>
      </c>
      <c r="AN540" s="3">
        <v>46078.518750000003</v>
      </c>
      <c r="AO540" t="s">
        <v>1397</v>
      </c>
    </row>
    <row r="541" spans="1:41" x14ac:dyDescent="0.3">
      <c r="A541" t="s">
        <v>41</v>
      </c>
      <c r="B541" t="s">
        <v>1705</v>
      </c>
      <c r="C541" t="s">
        <v>43</v>
      </c>
      <c r="D541" t="s">
        <v>1706</v>
      </c>
      <c r="E541" s="1">
        <v>46078</v>
      </c>
      <c r="F541" t="s">
        <v>44</v>
      </c>
      <c r="G541" t="s">
        <v>45</v>
      </c>
      <c r="H541" s="2">
        <v>0.27083333333333331</v>
      </c>
      <c r="I541" s="2">
        <v>0.52083333333333337</v>
      </c>
      <c r="J541" t="s">
        <v>46</v>
      </c>
      <c r="L541" t="s">
        <v>2444</v>
      </c>
      <c r="M541" t="s">
        <v>2445</v>
      </c>
      <c r="N541" t="s">
        <v>2446</v>
      </c>
      <c r="O541">
        <v>20620</v>
      </c>
      <c r="Q541" t="s">
        <v>2447</v>
      </c>
      <c r="R541" t="s">
        <v>51</v>
      </c>
      <c r="S541" t="s">
        <v>52</v>
      </c>
      <c r="U541">
        <v>891754</v>
      </c>
      <c r="V541" s="3">
        <v>46076.40347222222</v>
      </c>
      <c r="W541" t="s">
        <v>2448</v>
      </c>
      <c r="X541" t="s">
        <v>2449</v>
      </c>
      <c r="Y541" t="str">
        <f>"0408694662"</f>
        <v>0408694662</v>
      </c>
      <c r="Z541" t="s">
        <v>55</v>
      </c>
      <c r="AA541" s="1">
        <v>46078</v>
      </c>
      <c r="AB541" t="s">
        <v>1708</v>
      </c>
      <c r="AC541" t="s">
        <v>1562</v>
      </c>
      <c r="AD541" t="s">
        <v>41</v>
      </c>
      <c r="AE541" t="s">
        <v>1563</v>
      </c>
      <c r="AF541">
        <v>4109</v>
      </c>
      <c r="AG541" t="s">
        <v>2450</v>
      </c>
      <c r="AI541" t="s">
        <v>59</v>
      </c>
      <c r="AL541" t="s">
        <v>2451</v>
      </c>
      <c r="AN541" s="3">
        <v>46078.604861111111</v>
      </c>
      <c r="AO541" t="s">
        <v>2448</v>
      </c>
    </row>
    <row r="542" spans="1:41" x14ac:dyDescent="0.3">
      <c r="A542" t="s">
        <v>168</v>
      </c>
      <c r="B542" t="s">
        <v>215</v>
      </c>
      <c r="C542" t="s">
        <v>43</v>
      </c>
      <c r="D542" t="s">
        <v>127</v>
      </c>
      <c r="E542" s="1">
        <v>46078</v>
      </c>
      <c r="F542" t="s">
        <v>44</v>
      </c>
      <c r="G542" t="s">
        <v>45</v>
      </c>
      <c r="H542" s="2">
        <v>0.27083333333333331</v>
      </c>
      <c r="I542" s="2">
        <v>0.58333333333333337</v>
      </c>
      <c r="J542" t="s">
        <v>1011</v>
      </c>
      <c r="K542" t="s">
        <v>1012</v>
      </c>
      <c r="L542" t="s">
        <v>186</v>
      </c>
      <c r="M542" t="s">
        <v>2366</v>
      </c>
      <c r="N542" t="s">
        <v>2367</v>
      </c>
      <c r="O542">
        <v>5951060</v>
      </c>
      <c r="Q542" t="s">
        <v>219</v>
      </c>
      <c r="R542" t="s">
        <v>556</v>
      </c>
      <c r="S542" t="s">
        <v>52</v>
      </c>
      <c r="U542">
        <v>891748</v>
      </c>
      <c r="V542" s="3">
        <v>46057.082638888889</v>
      </c>
      <c r="W542" t="s">
        <v>2368</v>
      </c>
      <c r="X542" t="s">
        <v>2369</v>
      </c>
      <c r="Y542" t="str">
        <f>"0412358684"</f>
        <v>0412358684</v>
      </c>
      <c r="Z542" t="s">
        <v>70</v>
      </c>
      <c r="AA542" s="1">
        <v>46078</v>
      </c>
      <c r="AB542" t="s">
        <v>222</v>
      </c>
      <c r="AD542" t="s">
        <v>168</v>
      </c>
      <c r="AE542" t="s">
        <v>223</v>
      </c>
      <c r="AF542">
        <v>5069</v>
      </c>
      <c r="AG542" t="s">
        <v>219</v>
      </c>
      <c r="AI542" t="s">
        <v>59</v>
      </c>
      <c r="AL542" t="s">
        <v>1417</v>
      </c>
      <c r="AN542" s="3">
        <v>46078.549305555556</v>
      </c>
      <c r="AO542" t="s">
        <v>2368</v>
      </c>
    </row>
    <row r="543" spans="1:41" x14ac:dyDescent="0.3">
      <c r="A543" t="s">
        <v>168</v>
      </c>
      <c r="B543" t="s">
        <v>215</v>
      </c>
      <c r="C543" t="s">
        <v>43</v>
      </c>
      <c r="D543" t="s">
        <v>127</v>
      </c>
      <c r="E543" s="1">
        <v>46078</v>
      </c>
      <c r="F543" t="s">
        <v>44</v>
      </c>
      <c r="G543" t="s">
        <v>45</v>
      </c>
      <c r="H543" s="2">
        <v>0.27083333333333331</v>
      </c>
      <c r="I543" s="2">
        <v>0.58333333333333337</v>
      </c>
      <c r="J543" t="s">
        <v>258</v>
      </c>
      <c r="K543" t="s">
        <v>259</v>
      </c>
      <c r="L543" t="s">
        <v>186</v>
      </c>
      <c r="M543" t="s">
        <v>651</v>
      </c>
      <c r="N543" t="s">
        <v>412</v>
      </c>
      <c r="O543">
        <v>21855</v>
      </c>
      <c r="Q543" t="s">
        <v>219</v>
      </c>
      <c r="R543" t="s">
        <v>556</v>
      </c>
      <c r="S543" t="s">
        <v>52</v>
      </c>
      <c r="U543">
        <v>891753</v>
      </c>
      <c r="V543" s="3">
        <v>46057.082638888889</v>
      </c>
      <c r="W543" t="s">
        <v>652</v>
      </c>
      <c r="X543" t="s">
        <v>653</v>
      </c>
      <c r="Y543" t="str">
        <f>"0407317111"</f>
        <v>0407317111</v>
      </c>
      <c r="Z543" t="s">
        <v>70</v>
      </c>
      <c r="AA543" s="1">
        <v>46078</v>
      </c>
      <c r="AB543" t="s">
        <v>222</v>
      </c>
      <c r="AD543" t="s">
        <v>168</v>
      </c>
      <c r="AE543" t="s">
        <v>223</v>
      </c>
      <c r="AF543">
        <v>5069</v>
      </c>
      <c r="AG543" t="s">
        <v>219</v>
      </c>
      <c r="AI543" t="s">
        <v>59</v>
      </c>
      <c r="AL543" t="s">
        <v>1417</v>
      </c>
      <c r="AN543" s="3">
        <v>46078.603472222225</v>
      </c>
      <c r="AO543" t="s">
        <v>652</v>
      </c>
    </row>
    <row r="544" spans="1:41" x14ac:dyDescent="0.3">
      <c r="A544" t="s">
        <v>168</v>
      </c>
      <c r="B544" t="s">
        <v>1178</v>
      </c>
      <c r="C544" t="s">
        <v>2452</v>
      </c>
      <c r="D544" t="s">
        <v>127</v>
      </c>
      <c r="E544" s="1">
        <v>46078</v>
      </c>
      <c r="F544" t="s">
        <v>44</v>
      </c>
      <c r="G544" t="s">
        <v>45</v>
      </c>
      <c r="H544" s="2">
        <v>0.29166666666666669</v>
      </c>
      <c r="I544" s="2">
        <v>0.625</v>
      </c>
      <c r="J544" t="s">
        <v>170</v>
      </c>
      <c r="L544" t="s">
        <v>2350</v>
      </c>
      <c r="M544" t="s">
        <v>2351</v>
      </c>
      <c r="N544" t="s">
        <v>2352</v>
      </c>
      <c r="O544">
        <v>5951464</v>
      </c>
      <c r="Q544" t="s">
        <v>2047</v>
      </c>
      <c r="R544" t="s">
        <v>231</v>
      </c>
      <c r="S544" t="s">
        <v>52</v>
      </c>
      <c r="U544">
        <v>891749</v>
      </c>
      <c r="V544" s="3">
        <v>46059.461805555555</v>
      </c>
      <c r="W544" t="s">
        <v>2353</v>
      </c>
      <c r="X544" t="s">
        <v>2354</v>
      </c>
      <c r="Y544" t="str">
        <f>"0433735359"</f>
        <v>0433735359</v>
      </c>
      <c r="Z544" t="s">
        <v>2278</v>
      </c>
      <c r="AB544" t="s">
        <v>1184</v>
      </c>
      <c r="AD544" t="s">
        <v>168</v>
      </c>
      <c r="AE544" t="s">
        <v>1185</v>
      </c>
      <c r="AF544">
        <v>5066</v>
      </c>
      <c r="AG544" t="s">
        <v>2047</v>
      </c>
      <c r="AI544" t="s">
        <v>59</v>
      </c>
      <c r="AL544" t="s">
        <v>1417</v>
      </c>
      <c r="AN544" s="3">
        <v>46078.557638888888</v>
      </c>
      <c r="AO544" t="s">
        <v>2353</v>
      </c>
    </row>
    <row r="545" spans="1:41" x14ac:dyDescent="0.3">
      <c r="A545" t="s">
        <v>168</v>
      </c>
      <c r="B545" t="s">
        <v>326</v>
      </c>
      <c r="C545" t="s">
        <v>1150</v>
      </c>
      <c r="D545" t="s">
        <v>127</v>
      </c>
      <c r="E545" s="1">
        <v>46078</v>
      </c>
      <c r="F545" t="s">
        <v>44</v>
      </c>
      <c r="G545" t="s">
        <v>128</v>
      </c>
      <c r="H545" s="2">
        <v>0.29166666666666669</v>
      </c>
      <c r="I545" s="2">
        <v>0.79166666666666663</v>
      </c>
      <c r="J545" t="s">
        <v>101</v>
      </c>
      <c r="L545" t="s">
        <v>159</v>
      </c>
      <c r="M545" t="s">
        <v>1151</v>
      </c>
      <c r="N545" t="s">
        <v>1152</v>
      </c>
      <c r="O545">
        <v>13</v>
      </c>
      <c r="Q545" t="s">
        <v>676</v>
      </c>
      <c r="R545" t="s">
        <v>1934</v>
      </c>
      <c r="S545" t="s">
        <v>52</v>
      </c>
      <c r="T545" t="s">
        <v>1437</v>
      </c>
      <c r="U545">
        <v>891792</v>
      </c>
      <c r="V545" s="3">
        <v>46034.602083333331</v>
      </c>
      <c r="W545" t="s">
        <v>1153</v>
      </c>
      <c r="X545" t="s">
        <v>1154</v>
      </c>
      <c r="Y545" t="str">
        <f>"0424485060"</f>
        <v>0424485060</v>
      </c>
      <c r="Z545" t="s">
        <v>2453</v>
      </c>
      <c r="AB545" t="s">
        <v>333</v>
      </c>
      <c r="AD545" t="s">
        <v>168</v>
      </c>
      <c r="AE545" t="s">
        <v>334</v>
      </c>
      <c r="AF545">
        <v>5034</v>
      </c>
      <c r="AG545" t="s">
        <v>676</v>
      </c>
      <c r="AI545" t="s">
        <v>59</v>
      </c>
      <c r="AL545" t="s">
        <v>2454</v>
      </c>
      <c r="AN545" s="3">
        <v>46082.481944444444</v>
      </c>
      <c r="AO545" t="s">
        <v>759</v>
      </c>
    </row>
    <row r="546" spans="1:41" x14ac:dyDescent="0.3">
      <c r="A546" t="s">
        <v>168</v>
      </c>
      <c r="B546" t="s">
        <v>336</v>
      </c>
      <c r="D546" t="s">
        <v>268</v>
      </c>
      <c r="E546" s="1">
        <v>46078</v>
      </c>
      <c r="F546" t="s">
        <v>44</v>
      </c>
      <c r="G546" t="s">
        <v>45</v>
      </c>
      <c r="H546" s="2">
        <v>0.29166666666666669</v>
      </c>
      <c r="I546" s="2">
        <v>0.64583333333333337</v>
      </c>
      <c r="J546" t="s">
        <v>296</v>
      </c>
      <c r="K546" t="s">
        <v>270</v>
      </c>
      <c r="L546" t="s">
        <v>2455</v>
      </c>
      <c r="M546" t="s">
        <v>2456</v>
      </c>
      <c r="N546" t="s">
        <v>2457</v>
      </c>
      <c r="O546">
        <v>5951046</v>
      </c>
      <c r="Q546" t="s">
        <v>342</v>
      </c>
      <c r="R546" t="s">
        <v>176</v>
      </c>
      <c r="S546" t="s">
        <v>52</v>
      </c>
      <c r="U546">
        <v>891763</v>
      </c>
      <c r="V546" s="3">
        <v>46063.561805555553</v>
      </c>
      <c r="W546" t="s">
        <v>2458</v>
      </c>
      <c r="X546" t="s">
        <v>2459</v>
      </c>
      <c r="Y546" t="str">
        <f>"61408800489"</f>
        <v>61408800489</v>
      </c>
      <c r="Z546" t="s">
        <v>2442</v>
      </c>
      <c r="AB546" t="s">
        <v>346</v>
      </c>
      <c r="AD546" t="s">
        <v>168</v>
      </c>
      <c r="AE546" t="s">
        <v>347</v>
      </c>
      <c r="AF546">
        <v>5042</v>
      </c>
      <c r="AG546" t="s">
        <v>342</v>
      </c>
      <c r="AI546" t="s">
        <v>59</v>
      </c>
      <c r="AL546" t="s">
        <v>2460</v>
      </c>
      <c r="AM546" t="s">
        <v>349</v>
      </c>
      <c r="AN546" s="3">
        <v>46078.658333333333</v>
      </c>
      <c r="AO546" t="s">
        <v>2458</v>
      </c>
    </row>
    <row r="547" spans="1:41" x14ac:dyDescent="0.3">
      <c r="A547" t="s">
        <v>61</v>
      </c>
      <c r="B547" t="s">
        <v>1271</v>
      </c>
      <c r="C547" t="s">
        <v>1272</v>
      </c>
      <c r="D547" t="s">
        <v>184</v>
      </c>
      <c r="E547" s="1">
        <v>46078</v>
      </c>
      <c r="F547" t="s">
        <v>44</v>
      </c>
      <c r="G547" t="s">
        <v>45</v>
      </c>
      <c r="H547" s="2">
        <v>0.29166666666666669</v>
      </c>
      <c r="I547" s="2">
        <v>0.64583333333333337</v>
      </c>
      <c r="J547" t="s">
        <v>590</v>
      </c>
      <c r="L547" t="s">
        <v>487</v>
      </c>
      <c r="M547" t="s">
        <v>2461</v>
      </c>
      <c r="N547" t="s">
        <v>2462</v>
      </c>
      <c r="O547">
        <v>22373</v>
      </c>
      <c r="Q547" t="s">
        <v>2463</v>
      </c>
      <c r="R547" t="s">
        <v>132</v>
      </c>
      <c r="S547" t="s">
        <v>52</v>
      </c>
      <c r="U547">
        <v>891775</v>
      </c>
      <c r="V547" s="3">
        <v>46051.370138888888</v>
      </c>
      <c r="W547" t="s">
        <v>2464</v>
      </c>
      <c r="X547" t="s">
        <v>2465</v>
      </c>
      <c r="Y547" t="str">
        <f>"0410812981"</f>
        <v>0410812981</v>
      </c>
      <c r="Z547" t="s">
        <v>2466</v>
      </c>
      <c r="AB547" t="s">
        <v>1278</v>
      </c>
      <c r="AD547" t="s">
        <v>61</v>
      </c>
      <c r="AE547" t="s">
        <v>1279</v>
      </c>
      <c r="AF547">
        <v>2145</v>
      </c>
      <c r="AG547" t="s">
        <v>2463</v>
      </c>
      <c r="AI547" t="s">
        <v>59</v>
      </c>
      <c r="AL547" t="s">
        <v>2443</v>
      </c>
      <c r="AN547" s="3">
        <v>46078.688888888886</v>
      </c>
      <c r="AO547" t="s">
        <v>2464</v>
      </c>
    </row>
    <row r="548" spans="1:41" x14ac:dyDescent="0.3">
      <c r="A548" t="s">
        <v>61</v>
      </c>
      <c r="B548" t="s">
        <v>1079</v>
      </c>
      <c r="C548" t="s">
        <v>43</v>
      </c>
      <c r="D548" t="s">
        <v>63</v>
      </c>
      <c r="E548" s="1">
        <v>46078</v>
      </c>
      <c r="F548" t="s">
        <v>44</v>
      </c>
      <c r="G548" t="s">
        <v>45</v>
      </c>
      <c r="H548" s="2">
        <v>0.29166666666666669</v>
      </c>
      <c r="I548" s="2">
        <v>0.99861111111111112</v>
      </c>
      <c r="J548" t="s">
        <v>101</v>
      </c>
      <c r="L548" t="s">
        <v>159</v>
      </c>
      <c r="M548" t="s">
        <v>1111</v>
      </c>
      <c r="N548" t="s">
        <v>1112</v>
      </c>
      <c r="O548">
        <v>5950887</v>
      </c>
      <c r="Q548" t="s">
        <v>1113</v>
      </c>
      <c r="R548" t="s">
        <v>67</v>
      </c>
      <c r="S548" t="s">
        <v>52</v>
      </c>
      <c r="U548">
        <v>891755</v>
      </c>
      <c r="V548" s="3">
        <v>46077.352777777778</v>
      </c>
      <c r="W548" t="s">
        <v>1114</v>
      </c>
      <c r="X548" t="s">
        <v>1115</v>
      </c>
      <c r="Y548" t="str">
        <f>"0406493884"</f>
        <v>0406493884</v>
      </c>
      <c r="Z548" t="s">
        <v>123</v>
      </c>
      <c r="AA548" s="1">
        <v>46078</v>
      </c>
      <c r="AB548" t="s">
        <v>1085</v>
      </c>
      <c r="AD548" t="s">
        <v>61</v>
      </c>
      <c r="AE548" t="s">
        <v>1086</v>
      </c>
      <c r="AF548">
        <v>2031</v>
      </c>
      <c r="AG548" t="s">
        <v>1116</v>
      </c>
      <c r="AI548" t="s">
        <v>59</v>
      </c>
      <c r="AL548" t="s">
        <v>2355</v>
      </c>
      <c r="AN548" s="3">
        <v>46078.606249999997</v>
      </c>
      <c r="AO548" t="s">
        <v>1114</v>
      </c>
    </row>
    <row r="549" spans="1:41" x14ac:dyDescent="0.3">
      <c r="A549" t="s">
        <v>61</v>
      </c>
      <c r="B549" t="s">
        <v>2467</v>
      </c>
      <c r="C549" t="s">
        <v>43</v>
      </c>
      <c r="D549" t="s">
        <v>2468</v>
      </c>
      <c r="E549" s="1">
        <v>46078</v>
      </c>
      <c r="F549" t="s">
        <v>44</v>
      </c>
      <c r="G549" t="s">
        <v>45</v>
      </c>
      <c r="H549" s="2">
        <v>0.29166666666666669</v>
      </c>
      <c r="I549" s="2">
        <v>0.99861111111111112</v>
      </c>
      <c r="J549" t="s">
        <v>185</v>
      </c>
      <c r="L549" t="s">
        <v>186</v>
      </c>
      <c r="M549" t="s">
        <v>1206</v>
      </c>
      <c r="N549" t="s">
        <v>1882</v>
      </c>
      <c r="O549">
        <v>21051</v>
      </c>
      <c r="Q549" t="s">
        <v>2469</v>
      </c>
      <c r="R549" t="s">
        <v>67</v>
      </c>
      <c r="S549" t="s">
        <v>52</v>
      </c>
      <c r="U549">
        <v>891751</v>
      </c>
      <c r="V549" s="3">
        <v>46072.501388888886</v>
      </c>
      <c r="W549" t="s">
        <v>1883</v>
      </c>
      <c r="X549" t="s">
        <v>1884</v>
      </c>
      <c r="Y549" t="str">
        <f>"0403904564"</f>
        <v>0403904564</v>
      </c>
      <c r="Z549" t="s">
        <v>70</v>
      </c>
      <c r="AA549" s="1">
        <v>46078</v>
      </c>
      <c r="AB549" t="s">
        <v>2470</v>
      </c>
      <c r="AD549" t="s">
        <v>61</v>
      </c>
      <c r="AE549" t="s">
        <v>2471</v>
      </c>
      <c r="AF549">
        <v>2099</v>
      </c>
      <c r="AG549" t="s">
        <v>2469</v>
      </c>
      <c r="AI549" t="s">
        <v>59</v>
      </c>
      <c r="AL549" t="s">
        <v>2443</v>
      </c>
      <c r="AN549" s="3">
        <v>46078.572916666664</v>
      </c>
      <c r="AO549" t="s">
        <v>1883</v>
      </c>
    </row>
    <row r="550" spans="1:41" x14ac:dyDescent="0.3">
      <c r="A550" t="s">
        <v>168</v>
      </c>
      <c r="B550" t="s">
        <v>336</v>
      </c>
      <c r="C550" t="s">
        <v>602</v>
      </c>
      <c r="D550" t="s">
        <v>268</v>
      </c>
      <c r="E550" s="1">
        <v>46078</v>
      </c>
      <c r="F550" t="s">
        <v>44</v>
      </c>
      <c r="G550" t="s">
        <v>45</v>
      </c>
      <c r="H550" s="2">
        <v>0.29166666666666669</v>
      </c>
      <c r="I550" s="2">
        <v>0.64583333333333337</v>
      </c>
      <c r="J550" t="s">
        <v>269</v>
      </c>
      <c r="K550" t="s">
        <v>712</v>
      </c>
      <c r="L550" t="s">
        <v>713</v>
      </c>
      <c r="M550" t="s">
        <v>476</v>
      </c>
      <c r="N550" t="s">
        <v>714</v>
      </c>
      <c r="O550">
        <v>5951199</v>
      </c>
      <c r="P550" t="s">
        <v>712</v>
      </c>
      <c r="Q550" t="s">
        <v>342</v>
      </c>
      <c r="R550" t="s">
        <v>231</v>
      </c>
      <c r="S550" t="s">
        <v>52</v>
      </c>
      <c r="U550">
        <v>891883</v>
      </c>
      <c r="V550" s="3">
        <v>46072.439583333333</v>
      </c>
      <c r="W550" t="s">
        <v>715</v>
      </c>
      <c r="X550" t="s">
        <v>716</v>
      </c>
      <c r="Y550" t="str">
        <f>"0426611875"</f>
        <v>0426611875</v>
      </c>
      <c r="Z550" t="s">
        <v>70</v>
      </c>
      <c r="AA550" s="1">
        <v>46078</v>
      </c>
      <c r="AB550" t="s">
        <v>346</v>
      </c>
      <c r="AD550" t="s">
        <v>168</v>
      </c>
      <c r="AE550" t="s">
        <v>347</v>
      </c>
      <c r="AF550">
        <v>5042</v>
      </c>
      <c r="AG550" t="s">
        <v>342</v>
      </c>
      <c r="AI550" t="s">
        <v>59</v>
      </c>
      <c r="AL550" t="s">
        <v>2472</v>
      </c>
      <c r="AN550" s="3">
        <v>46079.618055555555</v>
      </c>
      <c r="AO550" t="s">
        <v>715</v>
      </c>
    </row>
    <row r="551" spans="1:41" x14ac:dyDescent="0.3">
      <c r="A551" t="s">
        <v>41</v>
      </c>
      <c r="B551" t="s">
        <v>1452</v>
      </c>
      <c r="D551" t="s">
        <v>246</v>
      </c>
      <c r="E551" s="1">
        <v>46078</v>
      </c>
      <c r="F551" t="s">
        <v>44</v>
      </c>
      <c r="G551" t="s">
        <v>45</v>
      </c>
      <c r="H551" s="2">
        <v>0.29166666666666669</v>
      </c>
      <c r="I551" s="2">
        <v>0.64583333333333337</v>
      </c>
      <c r="J551" t="s">
        <v>296</v>
      </c>
      <c r="L551" t="s">
        <v>1453</v>
      </c>
      <c r="M551" t="s">
        <v>1454</v>
      </c>
      <c r="N551" t="s">
        <v>1455</v>
      </c>
      <c r="O551">
        <v>5951941</v>
      </c>
      <c r="Q551" t="s">
        <v>1456</v>
      </c>
      <c r="R551" t="s">
        <v>1457</v>
      </c>
      <c r="S551" t="s">
        <v>52</v>
      </c>
      <c r="T551" t="s">
        <v>252</v>
      </c>
      <c r="U551">
        <v>892390</v>
      </c>
      <c r="V551" s="3">
        <v>46084.470138888886</v>
      </c>
      <c r="W551" t="s">
        <v>1457</v>
      </c>
      <c r="X551" t="s">
        <v>1458</v>
      </c>
      <c r="Y551" t="str">
        <f>"0413847722"</f>
        <v>0413847722</v>
      </c>
      <c r="Z551" t="s">
        <v>1862</v>
      </c>
      <c r="AA551" s="1">
        <v>46097</v>
      </c>
      <c r="AB551" t="s">
        <v>1459</v>
      </c>
      <c r="AD551" t="s">
        <v>41</v>
      </c>
      <c r="AE551" t="s">
        <v>1460</v>
      </c>
      <c r="AF551">
        <v>4740</v>
      </c>
      <c r="AG551" t="s">
        <v>1461</v>
      </c>
      <c r="AI551" t="s">
        <v>59</v>
      </c>
      <c r="AJ551" t="str">
        <f>"0050076628"</f>
        <v>0050076628</v>
      </c>
      <c r="AN551" s="3">
        <v>46084.470138888886</v>
      </c>
      <c r="AO551" t="s">
        <v>1457</v>
      </c>
    </row>
    <row r="552" spans="1:41" x14ac:dyDescent="0.3">
      <c r="A552" t="s">
        <v>61</v>
      </c>
      <c r="B552" t="s">
        <v>507</v>
      </c>
      <c r="C552" t="s">
        <v>2182</v>
      </c>
      <c r="D552" t="s">
        <v>63</v>
      </c>
      <c r="E552" s="1">
        <v>46078</v>
      </c>
      <c r="F552" t="s">
        <v>44</v>
      </c>
      <c r="G552" t="s">
        <v>128</v>
      </c>
      <c r="H552" s="2">
        <v>0.29166666666666669</v>
      </c>
      <c r="I552" s="2">
        <v>0.8125</v>
      </c>
      <c r="J552" t="s">
        <v>590</v>
      </c>
      <c r="L552" t="s">
        <v>487</v>
      </c>
      <c r="M552" t="s">
        <v>1463</v>
      </c>
      <c r="N552" t="s">
        <v>1464</v>
      </c>
      <c r="O552">
        <v>22756</v>
      </c>
      <c r="Q552" t="s">
        <v>2473</v>
      </c>
      <c r="R552" t="s">
        <v>132</v>
      </c>
      <c r="S552" t="s">
        <v>52</v>
      </c>
      <c r="T552" t="s">
        <v>1437</v>
      </c>
      <c r="U552">
        <v>891805</v>
      </c>
      <c r="V552" s="3">
        <v>46077.382638888892</v>
      </c>
      <c r="W552" t="s">
        <v>1466</v>
      </c>
      <c r="X552" t="s">
        <v>1467</v>
      </c>
      <c r="Y552" t="str">
        <f>"0416856891"</f>
        <v>0416856891</v>
      </c>
      <c r="Z552" t="s">
        <v>70</v>
      </c>
      <c r="AA552" s="1">
        <v>46078</v>
      </c>
      <c r="AB552" t="s">
        <v>514</v>
      </c>
      <c r="AD552" t="s">
        <v>61</v>
      </c>
      <c r="AE552" t="s">
        <v>515</v>
      </c>
      <c r="AF552">
        <v>2086</v>
      </c>
      <c r="AG552" t="s">
        <v>2474</v>
      </c>
      <c r="AI552" t="s">
        <v>59</v>
      </c>
      <c r="AL552" t="s">
        <v>2475</v>
      </c>
      <c r="AN552" s="3">
        <v>46082.484027777777</v>
      </c>
      <c r="AO552" t="s">
        <v>759</v>
      </c>
    </row>
    <row r="553" spans="1:41" x14ac:dyDescent="0.3">
      <c r="A553" t="s">
        <v>61</v>
      </c>
      <c r="B553" t="s">
        <v>62</v>
      </c>
      <c r="C553" t="s">
        <v>43</v>
      </c>
      <c r="D553" t="s">
        <v>63</v>
      </c>
      <c r="E553" s="1">
        <v>46078</v>
      </c>
      <c r="F553" t="s">
        <v>44</v>
      </c>
      <c r="G553" t="s">
        <v>45</v>
      </c>
      <c r="H553" s="2">
        <v>0.29166666666666669</v>
      </c>
      <c r="I553" s="2">
        <v>0.99861111111111112</v>
      </c>
      <c r="J553" t="s">
        <v>101</v>
      </c>
      <c r="L553" t="s">
        <v>159</v>
      </c>
      <c r="M553" t="s">
        <v>1746</v>
      </c>
      <c r="N553" t="s">
        <v>1747</v>
      </c>
      <c r="O553">
        <v>20760</v>
      </c>
      <c r="Q553" t="s">
        <v>66</v>
      </c>
      <c r="R553" t="s">
        <v>67</v>
      </c>
      <c r="S553" t="s">
        <v>52</v>
      </c>
      <c r="U553">
        <v>891764</v>
      </c>
      <c r="V553" s="3">
        <v>46076.629861111112</v>
      </c>
      <c r="W553" t="s">
        <v>1748</v>
      </c>
      <c r="X553" t="s">
        <v>1749</v>
      </c>
      <c r="Y553" t="str">
        <f>"0433858379"</f>
        <v>0433858379</v>
      </c>
      <c r="Z553" t="s">
        <v>70</v>
      </c>
      <c r="AB553" t="s">
        <v>71</v>
      </c>
      <c r="AD553" t="s">
        <v>61</v>
      </c>
      <c r="AE553" t="s">
        <v>72</v>
      </c>
      <c r="AF553">
        <v>2747</v>
      </c>
      <c r="AG553" t="s">
        <v>73</v>
      </c>
      <c r="AI553" t="s">
        <v>59</v>
      </c>
      <c r="AL553" t="s">
        <v>2443</v>
      </c>
      <c r="AN553" s="3">
        <v>46078.663194444445</v>
      </c>
      <c r="AO553" t="s">
        <v>1748</v>
      </c>
    </row>
    <row r="554" spans="1:41" x14ac:dyDescent="0.3">
      <c r="A554" t="s">
        <v>41</v>
      </c>
      <c r="B554" t="s">
        <v>965</v>
      </c>
      <c r="C554" t="s">
        <v>43</v>
      </c>
      <c r="D554" t="s">
        <v>966</v>
      </c>
      <c r="E554" s="1">
        <v>46078</v>
      </c>
      <c r="F554" t="s">
        <v>44</v>
      </c>
      <c r="G554" t="s">
        <v>45</v>
      </c>
      <c r="H554" s="2">
        <v>0.29166666666666669</v>
      </c>
      <c r="I554" s="2">
        <v>0.64583333333333337</v>
      </c>
      <c r="J554" t="s">
        <v>101</v>
      </c>
      <c r="L554" t="s">
        <v>967</v>
      </c>
      <c r="M554" t="s">
        <v>968</v>
      </c>
      <c r="N554" t="s">
        <v>969</v>
      </c>
      <c r="O554">
        <v>5952467</v>
      </c>
      <c r="Q554" t="s">
        <v>1471</v>
      </c>
      <c r="R554" t="s">
        <v>1472</v>
      </c>
      <c r="S554" t="s">
        <v>52</v>
      </c>
      <c r="U554">
        <v>891757</v>
      </c>
      <c r="V554" s="3">
        <v>46063.439583333333</v>
      </c>
      <c r="W554" t="s">
        <v>970</v>
      </c>
      <c r="X554" t="s">
        <v>971</v>
      </c>
      <c r="Y554" t="str">
        <f>"0433979184"</f>
        <v>0433979184</v>
      </c>
      <c r="Z554" t="s">
        <v>483</v>
      </c>
      <c r="AB554" t="s">
        <v>972</v>
      </c>
      <c r="AD554" t="s">
        <v>41</v>
      </c>
      <c r="AE554" t="s">
        <v>973</v>
      </c>
      <c r="AF554">
        <v>4068</v>
      </c>
      <c r="AG554" t="s">
        <v>1471</v>
      </c>
      <c r="AI554" t="s">
        <v>59</v>
      </c>
      <c r="AL554" t="s">
        <v>2476</v>
      </c>
      <c r="AN554" s="3">
        <v>46078.607638888891</v>
      </c>
      <c r="AO554" t="s">
        <v>970</v>
      </c>
    </row>
    <row r="555" spans="1:41" x14ac:dyDescent="0.3">
      <c r="A555" t="s">
        <v>41</v>
      </c>
      <c r="B555" t="s">
        <v>1480</v>
      </c>
      <c r="C555" t="s">
        <v>1481</v>
      </c>
      <c r="E555" s="1">
        <v>46078</v>
      </c>
      <c r="F555" t="s">
        <v>44</v>
      </c>
      <c r="G555" t="s">
        <v>45</v>
      </c>
      <c r="H555" s="2">
        <v>0.29166666666666669</v>
      </c>
      <c r="I555" s="2">
        <v>0.625</v>
      </c>
      <c r="J555" t="s">
        <v>1482</v>
      </c>
      <c r="L555" t="s">
        <v>1482</v>
      </c>
      <c r="M555" t="s">
        <v>1483</v>
      </c>
      <c r="N555" t="s">
        <v>1484</v>
      </c>
      <c r="O555">
        <v>402353</v>
      </c>
      <c r="Q555" t="s">
        <v>1485</v>
      </c>
      <c r="R555" t="s">
        <v>1472</v>
      </c>
      <c r="S555" t="s">
        <v>119</v>
      </c>
      <c r="T555" t="s">
        <v>120</v>
      </c>
      <c r="U555">
        <v>892163</v>
      </c>
      <c r="V555" s="3">
        <v>46044.65</v>
      </c>
      <c r="W555" t="s">
        <v>1486</v>
      </c>
      <c r="X555" t="s">
        <v>1487</v>
      </c>
      <c r="Y555" t="str">
        <f>"0407640486"</f>
        <v>0407640486</v>
      </c>
      <c r="Z555" t="s">
        <v>2000</v>
      </c>
      <c r="AB555" t="s">
        <v>1488</v>
      </c>
      <c r="AD555" t="s">
        <v>41</v>
      </c>
      <c r="AE555" t="s">
        <v>1489</v>
      </c>
      <c r="AF555">
        <v>4059</v>
      </c>
      <c r="AG555" t="s">
        <v>1485</v>
      </c>
      <c r="AI555" t="s">
        <v>59</v>
      </c>
      <c r="AN555" s="3">
        <v>46044.65</v>
      </c>
      <c r="AO555" t="s">
        <v>1472</v>
      </c>
    </row>
    <row r="556" spans="1:41" x14ac:dyDescent="0.3">
      <c r="A556" t="s">
        <v>61</v>
      </c>
      <c r="B556" t="s">
        <v>1271</v>
      </c>
      <c r="C556" t="s">
        <v>1272</v>
      </c>
      <c r="D556" t="s">
        <v>184</v>
      </c>
      <c r="E556" s="1">
        <v>46078</v>
      </c>
      <c r="F556" t="s">
        <v>44</v>
      </c>
      <c r="G556" t="s">
        <v>128</v>
      </c>
      <c r="H556" s="2">
        <v>0.29166666666666669</v>
      </c>
      <c r="I556" s="2">
        <v>0.8125</v>
      </c>
      <c r="J556" t="s">
        <v>486</v>
      </c>
      <c r="L556" t="s">
        <v>487</v>
      </c>
      <c r="M556" t="s">
        <v>1490</v>
      </c>
      <c r="N556" t="s">
        <v>1491</v>
      </c>
      <c r="O556">
        <v>21218</v>
      </c>
      <c r="Q556" t="s">
        <v>1190</v>
      </c>
      <c r="R556" t="s">
        <v>132</v>
      </c>
      <c r="S556" t="s">
        <v>52</v>
      </c>
      <c r="T556" t="s">
        <v>1437</v>
      </c>
      <c r="U556">
        <v>891791</v>
      </c>
      <c r="V556" s="3">
        <v>46057.565972222219</v>
      </c>
      <c r="W556" t="s">
        <v>1493</v>
      </c>
      <c r="X556" t="s">
        <v>1494</v>
      </c>
      <c r="Y556" t="str">
        <f>"0401746606"</f>
        <v>0401746606</v>
      </c>
      <c r="Z556" t="s">
        <v>2477</v>
      </c>
      <c r="AB556" t="s">
        <v>1278</v>
      </c>
      <c r="AD556" t="s">
        <v>61</v>
      </c>
      <c r="AE556" t="s">
        <v>1279</v>
      </c>
      <c r="AF556">
        <v>2145</v>
      </c>
      <c r="AG556" t="s">
        <v>1190</v>
      </c>
      <c r="AI556" t="s">
        <v>59</v>
      </c>
      <c r="AL556" t="s">
        <v>2478</v>
      </c>
      <c r="AN556" s="3">
        <v>46082.482638888891</v>
      </c>
      <c r="AO556" t="s">
        <v>759</v>
      </c>
    </row>
    <row r="557" spans="1:41" x14ac:dyDescent="0.3">
      <c r="A557" t="s">
        <v>61</v>
      </c>
      <c r="B557" t="s">
        <v>1271</v>
      </c>
      <c r="C557" t="s">
        <v>1272</v>
      </c>
      <c r="D557" t="s">
        <v>184</v>
      </c>
      <c r="E557" s="1">
        <v>46078</v>
      </c>
      <c r="F557" t="s">
        <v>44</v>
      </c>
      <c r="G557" t="s">
        <v>128</v>
      </c>
      <c r="H557" s="2">
        <v>0.29166666666666669</v>
      </c>
      <c r="I557" s="2">
        <v>0.8125</v>
      </c>
      <c r="J557" t="s">
        <v>486</v>
      </c>
      <c r="L557" t="s">
        <v>487</v>
      </c>
      <c r="M557" t="s">
        <v>596</v>
      </c>
      <c r="N557" t="s">
        <v>1280</v>
      </c>
      <c r="O557">
        <v>5952187</v>
      </c>
      <c r="Q557" t="s">
        <v>1190</v>
      </c>
      <c r="R557" t="s">
        <v>132</v>
      </c>
      <c r="S557" t="s">
        <v>52</v>
      </c>
      <c r="T557" t="s">
        <v>1437</v>
      </c>
      <c r="U557">
        <v>891798</v>
      </c>
      <c r="V557" s="3">
        <v>46057.565972222219</v>
      </c>
      <c r="W557" t="s">
        <v>1281</v>
      </c>
      <c r="X557" t="s">
        <v>1282</v>
      </c>
      <c r="Y557" t="str">
        <f>"0417203844"</f>
        <v>0417203844</v>
      </c>
      <c r="Z557" t="s">
        <v>2479</v>
      </c>
      <c r="AB557" t="s">
        <v>1278</v>
      </c>
      <c r="AD557" t="s">
        <v>61</v>
      </c>
      <c r="AE557" t="s">
        <v>1279</v>
      </c>
      <c r="AF557">
        <v>2145</v>
      </c>
      <c r="AG557" t="s">
        <v>1190</v>
      </c>
      <c r="AI557" t="s">
        <v>59</v>
      </c>
      <c r="AL557" t="s">
        <v>2480</v>
      </c>
      <c r="AN557" s="3">
        <v>46082.482638888891</v>
      </c>
      <c r="AO557" t="s">
        <v>759</v>
      </c>
    </row>
    <row r="558" spans="1:41" x14ac:dyDescent="0.3">
      <c r="A558" t="s">
        <v>168</v>
      </c>
      <c r="B558" t="s">
        <v>689</v>
      </c>
      <c r="C558" t="s">
        <v>1496</v>
      </c>
      <c r="D558" t="s">
        <v>268</v>
      </c>
      <c r="E558" s="1">
        <v>46078</v>
      </c>
      <c r="F558" t="s">
        <v>44</v>
      </c>
      <c r="G558" t="s">
        <v>45</v>
      </c>
      <c r="H558" s="2">
        <v>0.29166666666666669</v>
      </c>
      <c r="I558" s="2">
        <v>0.64583333333333337</v>
      </c>
      <c r="J558" t="s">
        <v>46</v>
      </c>
      <c r="L558" t="s">
        <v>47</v>
      </c>
      <c r="M558" t="s">
        <v>1497</v>
      </c>
      <c r="N558" t="s">
        <v>465</v>
      </c>
      <c r="O558">
        <v>5950806</v>
      </c>
      <c r="P558" t="s">
        <v>249</v>
      </c>
      <c r="Q558" t="s">
        <v>692</v>
      </c>
      <c r="R558" t="s">
        <v>1498</v>
      </c>
      <c r="S558" t="s">
        <v>52</v>
      </c>
      <c r="T558" t="s">
        <v>252</v>
      </c>
      <c r="U558">
        <v>892228</v>
      </c>
      <c r="V558" s="3">
        <v>46083.493750000001</v>
      </c>
      <c r="W558" t="s">
        <v>1498</v>
      </c>
      <c r="X558" t="s">
        <v>1499</v>
      </c>
      <c r="Y558" t="str">
        <f>"0425332962"</f>
        <v>0425332962</v>
      </c>
      <c r="Z558" t="s">
        <v>345</v>
      </c>
      <c r="AA558" s="1">
        <v>46117</v>
      </c>
      <c r="AB558" t="s">
        <v>695</v>
      </c>
      <c r="AD558" t="s">
        <v>168</v>
      </c>
      <c r="AE558" t="s">
        <v>696</v>
      </c>
      <c r="AF558">
        <v>5606</v>
      </c>
      <c r="AG558" t="s">
        <v>1500</v>
      </c>
      <c r="AI558" t="s">
        <v>59</v>
      </c>
      <c r="AJ558" t="str">
        <f>"0020188039"</f>
        <v>0020188039</v>
      </c>
      <c r="AN558" s="3">
        <v>46083.493750000001</v>
      </c>
      <c r="AO558" t="s">
        <v>1498</v>
      </c>
    </row>
    <row r="559" spans="1:41" x14ac:dyDescent="0.3">
      <c r="A559" t="s">
        <v>61</v>
      </c>
      <c r="B559" t="s">
        <v>655</v>
      </c>
      <c r="C559" t="s">
        <v>43</v>
      </c>
      <c r="D559" t="s">
        <v>656</v>
      </c>
      <c r="E559" s="1">
        <v>46078</v>
      </c>
      <c r="F559" t="s">
        <v>44</v>
      </c>
      <c r="G559" t="s">
        <v>45</v>
      </c>
      <c r="H559" s="2">
        <v>0.30208333333333331</v>
      </c>
      <c r="I559" s="2">
        <v>0.99861111111111112</v>
      </c>
      <c r="J559" t="s">
        <v>185</v>
      </c>
      <c r="K559" t="s">
        <v>327</v>
      </c>
      <c r="L559" t="s">
        <v>47</v>
      </c>
      <c r="M559" t="s">
        <v>657</v>
      </c>
      <c r="N559" t="s">
        <v>658</v>
      </c>
      <c r="O559">
        <v>22959</v>
      </c>
      <c r="Q559" t="s">
        <v>665</v>
      </c>
      <c r="R559" t="s">
        <v>132</v>
      </c>
      <c r="S559" t="s">
        <v>52</v>
      </c>
      <c r="U559">
        <v>891765</v>
      </c>
      <c r="V559" s="3">
        <v>46028.415277777778</v>
      </c>
      <c r="W559" t="s">
        <v>660</v>
      </c>
      <c r="X559" t="s">
        <v>661</v>
      </c>
      <c r="Y559" t="str">
        <f>"0451533427"</f>
        <v>0451533427</v>
      </c>
      <c r="Z559" t="s">
        <v>2481</v>
      </c>
      <c r="AB559" t="s">
        <v>662</v>
      </c>
      <c r="AC559" t="s">
        <v>663</v>
      </c>
      <c r="AD559" t="s">
        <v>61</v>
      </c>
      <c r="AE559" t="s">
        <v>664</v>
      </c>
      <c r="AF559">
        <v>2067</v>
      </c>
      <c r="AG559" t="s">
        <v>665</v>
      </c>
      <c r="AI559" t="s">
        <v>59</v>
      </c>
      <c r="AL559" t="s">
        <v>2443</v>
      </c>
      <c r="AN559" s="3">
        <v>46078.679861111108</v>
      </c>
      <c r="AO559" t="s">
        <v>660</v>
      </c>
    </row>
    <row r="560" spans="1:41" x14ac:dyDescent="0.3">
      <c r="A560" t="s">
        <v>306</v>
      </c>
      <c r="B560" t="s">
        <v>820</v>
      </c>
      <c r="C560" t="s">
        <v>100</v>
      </c>
      <c r="D560" t="s">
        <v>127</v>
      </c>
      <c r="E560" s="1">
        <v>46078</v>
      </c>
      <c r="F560" t="s">
        <v>44</v>
      </c>
      <c r="G560" t="s">
        <v>128</v>
      </c>
      <c r="H560" s="2">
        <v>0.3125</v>
      </c>
      <c r="I560" s="2">
        <v>0.75</v>
      </c>
      <c r="J560" t="s">
        <v>451</v>
      </c>
      <c r="L560" t="s">
        <v>452</v>
      </c>
      <c r="M560" t="s">
        <v>821</v>
      </c>
      <c r="N560" t="s">
        <v>822</v>
      </c>
      <c r="O560">
        <v>20712</v>
      </c>
      <c r="Q560" t="s">
        <v>823</v>
      </c>
      <c r="R560" t="s">
        <v>476</v>
      </c>
      <c r="S560" t="s">
        <v>52</v>
      </c>
      <c r="T560" t="s">
        <v>1437</v>
      </c>
      <c r="U560">
        <v>891784</v>
      </c>
      <c r="V560" s="3">
        <v>46070.48541666667</v>
      </c>
      <c r="W560" t="s">
        <v>824</v>
      </c>
      <c r="X560" t="s">
        <v>825</v>
      </c>
      <c r="Y560" t="str">
        <f>"0439419256"</f>
        <v>0439419256</v>
      </c>
      <c r="Z560" t="s">
        <v>70</v>
      </c>
      <c r="AA560" s="1">
        <v>46078</v>
      </c>
      <c r="AB560" t="s">
        <v>826</v>
      </c>
      <c r="AD560" t="s">
        <v>306</v>
      </c>
      <c r="AE560" t="s">
        <v>827</v>
      </c>
      <c r="AF560">
        <v>3181</v>
      </c>
      <c r="AG560" t="s">
        <v>823</v>
      </c>
      <c r="AI560" t="s">
        <v>59</v>
      </c>
      <c r="AL560" t="s">
        <v>2482</v>
      </c>
      <c r="AN560" s="3">
        <v>46082.478472222225</v>
      </c>
      <c r="AO560" t="s">
        <v>759</v>
      </c>
    </row>
    <row r="561" spans="1:41" x14ac:dyDescent="0.3">
      <c r="A561" t="s">
        <v>75</v>
      </c>
      <c r="B561" t="s">
        <v>76</v>
      </c>
      <c r="C561" t="s">
        <v>43</v>
      </c>
      <c r="D561" t="s">
        <v>63</v>
      </c>
      <c r="E561" s="1">
        <v>46078</v>
      </c>
      <c r="F561" t="s">
        <v>44</v>
      </c>
      <c r="G561" t="s">
        <v>45</v>
      </c>
      <c r="H561" s="2">
        <v>0.3125</v>
      </c>
      <c r="I561" s="2">
        <v>0.5625</v>
      </c>
      <c r="J561" t="s">
        <v>46</v>
      </c>
      <c r="K561" t="s">
        <v>77</v>
      </c>
      <c r="L561" t="s">
        <v>47</v>
      </c>
      <c r="M561" t="s">
        <v>954</v>
      </c>
      <c r="N561" t="s">
        <v>955</v>
      </c>
      <c r="O561">
        <v>5952037</v>
      </c>
      <c r="Q561" t="s">
        <v>1059</v>
      </c>
      <c r="R561" t="s">
        <v>81</v>
      </c>
      <c r="S561" t="s">
        <v>52</v>
      </c>
      <c r="U561">
        <v>891772</v>
      </c>
      <c r="V561" s="3">
        <v>46073.565972222219</v>
      </c>
      <c r="W561" t="s">
        <v>957</v>
      </c>
      <c r="X561" t="s">
        <v>958</v>
      </c>
      <c r="Y561" t="str">
        <f>"0452457162"</f>
        <v>0452457162</v>
      </c>
      <c r="Z561" t="s">
        <v>503</v>
      </c>
      <c r="AB561" t="s">
        <v>85</v>
      </c>
      <c r="AD561" t="s">
        <v>75</v>
      </c>
      <c r="AE561" t="s">
        <v>86</v>
      </c>
      <c r="AF561">
        <v>6000</v>
      </c>
      <c r="AG561" t="s">
        <v>197</v>
      </c>
      <c r="AI561" t="s">
        <v>59</v>
      </c>
      <c r="AL561" t="s">
        <v>87</v>
      </c>
      <c r="AN561" s="3">
        <v>46078.685416666667</v>
      </c>
      <c r="AO561" t="s">
        <v>957</v>
      </c>
    </row>
    <row r="562" spans="1:41" x14ac:dyDescent="0.3">
      <c r="A562" t="s">
        <v>75</v>
      </c>
      <c r="B562" t="s">
        <v>804</v>
      </c>
      <c r="C562" t="s">
        <v>43</v>
      </c>
      <c r="D562" t="s">
        <v>700</v>
      </c>
      <c r="E562" s="1">
        <v>46078</v>
      </c>
      <c r="F562" t="s">
        <v>44</v>
      </c>
      <c r="G562" t="s">
        <v>128</v>
      </c>
      <c r="H562" s="2">
        <v>0.3125</v>
      </c>
      <c r="I562" s="2">
        <v>0.75</v>
      </c>
      <c r="J562" t="s">
        <v>101</v>
      </c>
      <c r="L562" t="s">
        <v>967</v>
      </c>
      <c r="M562" t="s">
        <v>2204</v>
      </c>
      <c r="N562" t="s">
        <v>2205</v>
      </c>
      <c r="O562">
        <v>22870</v>
      </c>
      <c r="Q562" t="s">
        <v>808</v>
      </c>
      <c r="R562" t="s">
        <v>926</v>
      </c>
      <c r="S562" t="s">
        <v>52</v>
      </c>
      <c r="T562" t="s">
        <v>1437</v>
      </c>
      <c r="U562">
        <v>891832</v>
      </c>
      <c r="V562" s="3">
        <v>46070.529166666667</v>
      </c>
      <c r="W562" t="s">
        <v>2207</v>
      </c>
      <c r="X562" t="s">
        <v>2208</v>
      </c>
      <c r="Y562" t="str">
        <f>"0417473969"</f>
        <v>0417473969</v>
      </c>
      <c r="Z562" t="s">
        <v>70</v>
      </c>
      <c r="AA562" s="1">
        <v>46078</v>
      </c>
      <c r="AB562" t="s">
        <v>811</v>
      </c>
      <c r="AC562" t="s">
        <v>812</v>
      </c>
      <c r="AD562" t="s">
        <v>75</v>
      </c>
      <c r="AE562" t="s">
        <v>813</v>
      </c>
      <c r="AF562">
        <v>6050</v>
      </c>
      <c r="AG562" t="s">
        <v>808</v>
      </c>
      <c r="AI562" t="s">
        <v>59</v>
      </c>
      <c r="AL562" t="s">
        <v>2483</v>
      </c>
      <c r="AN562" s="3">
        <v>46082.477777777778</v>
      </c>
      <c r="AO562" t="s">
        <v>759</v>
      </c>
    </row>
    <row r="563" spans="1:41" x14ac:dyDescent="0.3">
      <c r="A563" t="s">
        <v>306</v>
      </c>
      <c r="B563" t="s">
        <v>699</v>
      </c>
      <c r="C563" t="s">
        <v>43</v>
      </c>
      <c r="D563" t="s">
        <v>700</v>
      </c>
      <c r="E563" s="1">
        <v>46078</v>
      </c>
      <c r="F563" t="s">
        <v>44</v>
      </c>
      <c r="G563" t="s">
        <v>45</v>
      </c>
      <c r="H563" s="2">
        <v>0.3125</v>
      </c>
      <c r="I563" s="2">
        <v>0.54166666666666663</v>
      </c>
      <c r="J563" t="s">
        <v>2484</v>
      </c>
      <c r="L563" t="s">
        <v>702</v>
      </c>
      <c r="M563" t="s">
        <v>703</v>
      </c>
      <c r="N563" t="s">
        <v>704</v>
      </c>
      <c r="O563">
        <v>20947</v>
      </c>
      <c r="Q563" t="s">
        <v>705</v>
      </c>
      <c r="R563" t="s">
        <v>500</v>
      </c>
      <c r="S563" t="s">
        <v>119</v>
      </c>
      <c r="T563" t="s">
        <v>414</v>
      </c>
      <c r="U563">
        <v>892173</v>
      </c>
      <c r="V563" s="3">
        <v>46077.704861111109</v>
      </c>
      <c r="W563" t="s">
        <v>706</v>
      </c>
      <c r="X563" t="s">
        <v>707</v>
      </c>
      <c r="Y563" t="str">
        <f>"0437759431"</f>
        <v>0437759431</v>
      </c>
      <c r="Z563" t="s">
        <v>70</v>
      </c>
      <c r="AB563" t="s">
        <v>708</v>
      </c>
      <c r="AD563" t="s">
        <v>306</v>
      </c>
      <c r="AE563" t="s">
        <v>709</v>
      </c>
      <c r="AF563">
        <v>3806</v>
      </c>
      <c r="AI563" t="s">
        <v>59</v>
      </c>
      <c r="AL563" t="s">
        <v>1729</v>
      </c>
      <c r="AM563" t="s">
        <v>2485</v>
      </c>
      <c r="AN563" s="3">
        <v>46077.729861111111</v>
      </c>
      <c r="AO563" t="s">
        <v>500</v>
      </c>
    </row>
    <row r="564" spans="1:41" x14ac:dyDescent="0.3">
      <c r="A564" t="s">
        <v>61</v>
      </c>
      <c r="B564" t="s">
        <v>62</v>
      </c>
      <c r="C564" t="s">
        <v>43</v>
      </c>
      <c r="D564" t="s">
        <v>63</v>
      </c>
      <c r="E564" s="1">
        <v>46078</v>
      </c>
      <c r="F564" t="s">
        <v>44</v>
      </c>
      <c r="G564" t="s">
        <v>128</v>
      </c>
      <c r="H564" s="2">
        <v>0.3125</v>
      </c>
      <c r="I564" s="2">
        <v>0.98958333333333337</v>
      </c>
      <c r="J564" t="s">
        <v>185</v>
      </c>
      <c r="L564" t="s">
        <v>186</v>
      </c>
      <c r="M564" t="s">
        <v>1474</v>
      </c>
      <c r="N564" t="s">
        <v>1475</v>
      </c>
      <c r="O564">
        <v>22552</v>
      </c>
      <c r="Q564" t="s">
        <v>66</v>
      </c>
      <c r="R564" t="s">
        <v>67</v>
      </c>
      <c r="S564" t="s">
        <v>52</v>
      </c>
      <c r="T564" t="s">
        <v>1437</v>
      </c>
      <c r="U564">
        <v>891778</v>
      </c>
      <c r="V564" s="3">
        <v>46069.605555555558</v>
      </c>
      <c r="W564" t="s">
        <v>1476</v>
      </c>
      <c r="X564" t="s">
        <v>1477</v>
      </c>
      <c r="Y564" t="str">
        <f>"0421669341"</f>
        <v>0421669341</v>
      </c>
      <c r="Z564" t="s">
        <v>2486</v>
      </c>
      <c r="AB564" t="s">
        <v>71</v>
      </c>
      <c r="AD564" t="s">
        <v>61</v>
      </c>
      <c r="AE564" t="s">
        <v>72</v>
      </c>
      <c r="AF564">
        <v>2747</v>
      </c>
      <c r="AG564" t="s">
        <v>2487</v>
      </c>
      <c r="AI564" t="s">
        <v>59</v>
      </c>
      <c r="AL564" t="s">
        <v>2488</v>
      </c>
      <c r="AN564" s="3">
        <v>46082.484722222223</v>
      </c>
      <c r="AO564" t="s">
        <v>759</v>
      </c>
    </row>
    <row r="565" spans="1:41" x14ac:dyDescent="0.3">
      <c r="A565" t="s">
        <v>75</v>
      </c>
      <c r="B565" t="s">
        <v>76</v>
      </c>
      <c r="C565" t="s">
        <v>43</v>
      </c>
      <c r="D565" t="s">
        <v>63</v>
      </c>
      <c r="E565" s="1">
        <v>46078</v>
      </c>
      <c r="F565" t="s">
        <v>44</v>
      </c>
      <c r="G565" t="s">
        <v>128</v>
      </c>
      <c r="H565" s="2">
        <v>0.3125</v>
      </c>
      <c r="I565" s="2">
        <v>0.75</v>
      </c>
      <c r="J565" t="s">
        <v>185</v>
      </c>
      <c r="L565" t="s">
        <v>186</v>
      </c>
      <c r="M565" t="s">
        <v>2489</v>
      </c>
      <c r="N565" t="s">
        <v>2490</v>
      </c>
      <c r="O565">
        <v>5952229</v>
      </c>
      <c r="Q565" t="s">
        <v>2491</v>
      </c>
      <c r="R565" t="s">
        <v>81</v>
      </c>
      <c r="S565" t="s">
        <v>52</v>
      </c>
      <c r="T565" t="s">
        <v>1437</v>
      </c>
      <c r="U565">
        <v>891824</v>
      </c>
      <c r="V565" s="3">
        <v>46073.501388888886</v>
      </c>
      <c r="W565" t="s">
        <v>2492</v>
      </c>
      <c r="X565" t="s">
        <v>2493</v>
      </c>
      <c r="Y565" t="str">
        <f>"0424214153"</f>
        <v>0424214153</v>
      </c>
      <c r="Z565" t="s">
        <v>55</v>
      </c>
      <c r="AA565" s="1">
        <v>46078</v>
      </c>
      <c r="AB565" t="s">
        <v>85</v>
      </c>
      <c r="AD565" t="s">
        <v>75</v>
      </c>
      <c r="AE565" t="s">
        <v>86</v>
      </c>
      <c r="AF565">
        <v>6000</v>
      </c>
      <c r="AG565" t="s">
        <v>455</v>
      </c>
      <c r="AI565" t="s">
        <v>59</v>
      </c>
      <c r="AL565" t="s">
        <v>1522</v>
      </c>
      <c r="AN565" s="3">
        <v>46082.477777777778</v>
      </c>
      <c r="AO565" t="s">
        <v>759</v>
      </c>
    </row>
    <row r="566" spans="1:41" x14ac:dyDescent="0.3">
      <c r="A566" t="s">
        <v>168</v>
      </c>
      <c r="B566" t="s">
        <v>2494</v>
      </c>
      <c r="C566" t="s">
        <v>2348</v>
      </c>
      <c r="D566" t="s">
        <v>127</v>
      </c>
      <c r="E566" s="1">
        <v>46078</v>
      </c>
      <c r="F566" t="s">
        <v>44</v>
      </c>
      <c r="G566" t="s">
        <v>45</v>
      </c>
      <c r="H566" s="2">
        <v>0.3125</v>
      </c>
      <c r="I566" s="2">
        <v>0.58333333333333337</v>
      </c>
      <c r="J566" t="s">
        <v>170</v>
      </c>
      <c r="K566" t="s">
        <v>77</v>
      </c>
      <c r="L566" t="s">
        <v>204</v>
      </c>
      <c r="M566" t="s">
        <v>205</v>
      </c>
      <c r="N566" t="s">
        <v>206</v>
      </c>
      <c r="O566">
        <v>21706</v>
      </c>
      <c r="Q566" t="s">
        <v>2495</v>
      </c>
      <c r="R566" t="s">
        <v>231</v>
      </c>
      <c r="S566" t="s">
        <v>52</v>
      </c>
      <c r="U566">
        <v>891759</v>
      </c>
      <c r="V566" s="3">
        <v>45989.602083333331</v>
      </c>
      <c r="W566" t="s">
        <v>209</v>
      </c>
      <c r="X566" t="s">
        <v>210</v>
      </c>
      <c r="Y566" t="str">
        <f>"0415862070"</f>
        <v>0415862070</v>
      </c>
      <c r="Z566" t="s">
        <v>545</v>
      </c>
      <c r="AA566" s="1">
        <v>46078</v>
      </c>
      <c r="AB566" t="s">
        <v>2496</v>
      </c>
      <c r="AD566" t="s">
        <v>168</v>
      </c>
      <c r="AE566" t="s">
        <v>2497</v>
      </c>
      <c r="AF566">
        <v>5048</v>
      </c>
      <c r="AG566" t="s">
        <v>2498</v>
      </c>
      <c r="AI566" t="s">
        <v>59</v>
      </c>
      <c r="AL566" t="s">
        <v>2499</v>
      </c>
      <c r="AN566" s="3">
        <v>46078.61041666667</v>
      </c>
      <c r="AO566" t="s">
        <v>209</v>
      </c>
    </row>
    <row r="567" spans="1:41" x14ac:dyDescent="0.3">
      <c r="A567" t="s">
        <v>61</v>
      </c>
      <c r="B567" t="s">
        <v>992</v>
      </c>
      <c r="C567" t="s">
        <v>185</v>
      </c>
      <c r="D567" t="s">
        <v>63</v>
      </c>
      <c r="E567" s="1">
        <v>46078</v>
      </c>
      <c r="F567" t="s">
        <v>44</v>
      </c>
      <c r="G567" t="s">
        <v>45</v>
      </c>
      <c r="H567" s="2">
        <v>0.33333333333333331</v>
      </c>
      <c r="I567" s="2">
        <v>0.6875</v>
      </c>
      <c r="J567" t="s">
        <v>185</v>
      </c>
      <c r="L567" t="s">
        <v>186</v>
      </c>
      <c r="M567" t="s">
        <v>2500</v>
      </c>
      <c r="N567" t="s">
        <v>2501</v>
      </c>
      <c r="O567">
        <v>5950752</v>
      </c>
      <c r="Q567" t="s">
        <v>2502</v>
      </c>
      <c r="R567" t="s">
        <v>1248</v>
      </c>
      <c r="S567" t="s">
        <v>52</v>
      </c>
      <c r="U567">
        <v>891774</v>
      </c>
      <c r="V567" s="3">
        <v>46076.803472222222</v>
      </c>
      <c r="W567" t="s">
        <v>2503</v>
      </c>
      <c r="X567" t="s">
        <v>2504</v>
      </c>
      <c r="Y567" t="str">
        <f>"0412880214"</f>
        <v>0412880214</v>
      </c>
      <c r="Z567" t="s">
        <v>70</v>
      </c>
      <c r="AA567" s="1">
        <v>46078</v>
      </c>
      <c r="AB567" t="s">
        <v>1000</v>
      </c>
      <c r="AD567" t="s">
        <v>61</v>
      </c>
      <c r="AE567" t="s">
        <v>1001</v>
      </c>
      <c r="AF567">
        <v>2560</v>
      </c>
      <c r="AG567" t="s">
        <v>1384</v>
      </c>
      <c r="AI567" t="s">
        <v>59</v>
      </c>
      <c r="AL567" t="s">
        <v>2505</v>
      </c>
      <c r="AN567" s="3">
        <v>46078.688194444447</v>
      </c>
      <c r="AO567" t="s">
        <v>2503</v>
      </c>
    </row>
    <row r="568" spans="1:41" x14ac:dyDescent="0.3">
      <c r="A568" t="s">
        <v>168</v>
      </c>
      <c r="B568" t="s">
        <v>409</v>
      </c>
      <c r="C568" t="s">
        <v>1869</v>
      </c>
      <c r="D568" t="s">
        <v>309</v>
      </c>
      <c r="E568" s="1">
        <v>46078</v>
      </c>
      <c r="F568" t="s">
        <v>44</v>
      </c>
      <c r="G568" t="s">
        <v>45</v>
      </c>
      <c r="H568" s="2">
        <v>0.33333333333333331</v>
      </c>
      <c r="I568" s="2">
        <v>0.66666666666666663</v>
      </c>
      <c r="J568" t="s">
        <v>1875</v>
      </c>
      <c r="K568" t="s">
        <v>171</v>
      </c>
      <c r="L568" t="s">
        <v>47</v>
      </c>
      <c r="M568" t="s">
        <v>541</v>
      </c>
      <c r="N568" t="s">
        <v>2370</v>
      </c>
      <c r="O568">
        <v>5952154</v>
      </c>
      <c r="Q568" t="s">
        <v>705</v>
      </c>
      <c r="R568" t="s">
        <v>500</v>
      </c>
      <c r="S568" t="s">
        <v>119</v>
      </c>
      <c r="T568" t="s">
        <v>1932</v>
      </c>
      <c r="U568">
        <v>892174</v>
      </c>
      <c r="V568" s="3">
        <v>46077.820138888892</v>
      </c>
      <c r="W568" t="s">
        <v>2371</v>
      </c>
      <c r="X568" t="s">
        <v>2372</v>
      </c>
      <c r="Y568" t="str">
        <f>"0434933949"</f>
        <v>0434933949</v>
      </c>
      <c r="Z568" t="s">
        <v>70</v>
      </c>
      <c r="AB568" t="s">
        <v>417</v>
      </c>
      <c r="AD568" t="s">
        <v>168</v>
      </c>
      <c r="AE568" t="s">
        <v>384</v>
      </c>
      <c r="AF568">
        <v>5000</v>
      </c>
      <c r="AI568" t="s">
        <v>59</v>
      </c>
      <c r="AL568" t="s">
        <v>1361</v>
      </c>
      <c r="AM568" t="s">
        <v>2506</v>
      </c>
      <c r="AN568" s="3">
        <v>46077.826388888891</v>
      </c>
      <c r="AO568" t="s">
        <v>500</v>
      </c>
    </row>
    <row r="569" spans="1:41" x14ac:dyDescent="0.3">
      <c r="A569" t="s">
        <v>41</v>
      </c>
      <c r="B569" t="s">
        <v>965</v>
      </c>
      <c r="C569" t="s">
        <v>43</v>
      </c>
      <c r="D569" t="s">
        <v>966</v>
      </c>
      <c r="E569" s="1">
        <v>46078</v>
      </c>
      <c r="F569" t="s">
        <v>44</v>
      </c>
      <c r="G569" t="s">
        <v>45</v>
      </c>
      <c r="H569" s="2">
        <v>0.33333333333333331</v>
      </c>
      <c r="I569" s="2">
        <v>0.72916666666666663</v>
      </c>
      <c r="J569" t="s">
        <v>46</v>
      </c>
      <c r="L569" t="s">
        <v>298</v>
      </c>
      <c r="M569" t="s">
        <v>1578</v>
      </c>
      <c r="N569" t="s">
        <v>1579</v>
      </c>
      <c r="O569">
        <v>5952061</v>
      </c>
      <c r="Q569" t="s">
        <v>1580</v>
      </c>
      <c r="R569" t="s">
        <v>51</v>
      </c>
      <c r="S569" t="s">
        <v>52</v>
      </c>
      <c r="U569">
        <v>891790</v>
      </c>
      <c r="V569" s="3">
        <v>46071.365972222222</v>
      </c>
      <c r="W569" t="s">
        <v>1581</v>
      </c>
      <c r="X569" t="s">
        <v>1582</v>
      </c>
      <c r="Y569" t="str">
        <f>"0401803081"</f>
        <v>0401803081</v>
      </c>
      <c r="Z569" t="s">
        <v>2000</v>
      </c>
      <c r="AB569" t="s">
        <v>972</v>
      </c>
      <c r="AD569" t="s">
        <v>41</v>
      </c>
      <c r="AE569" t="s">
        <v>973</v>
      </c>
      <c r="AF569">
        <v>4068</v>
      </c>
      <c r="AG569" t="s">
        <v>2507</v>
      </c>
      <c r="AI569" t="s">
        <v>59</v>
      </c>
      <c r="AL569" t="s">
        <v>2508</v>
      </c>
      <c r="AN569" s="3">
        <v>46078.767361111109</v>
      </c>
      <c r="AO569" t="s">
        <v>1581</v>
      </c>
    </row>
    <row r="570" spans="1:41" x14ac:dyDescent="0.3">
      <c r="A570" t="s">
        <v>168</v>
      </c>
      <c r="B570" t="s">
        <v>689</v>
      </c>
      <c r="C570" t="s">
        <v>43</v>
      </c>
      <c r="D570" t="s">
        <v>268</v>
      </c>
      <c r="E570" s="1">
        <v>46078</v>
      </c>
      <c r="F570" t="s">
        <v>44</v>
      </c>
      <c r="G570" t="s">
        <v>45</v>
      </c>
      <c r="H570" s="2">
        <v>0.33333333333333331</v>
      </c>
      <c r="I570" s="2">
        <v>0.6875</v>
      </c>
      <c r="J570" t="s">
        <v>101</v>
      </c>
      <c r="L570" t="s">
        <v>159</v>
      </c>
      <c r="M570" t="s">
        <v>690</v>
      </c>
      <c r="N570" t="s">
        <v>691</v>
      </c>
      <c r="O570">
        <v>5950774</v>
      </c>
      <c r="P570" t="s">
        <v>249</v>
      </c>
      <c r="Q570" t="s">
        <v>692</v>
      </c>
      <c r="R570" t="s">
        <v>693</v>
      </c>
      <c r="S570" t="s">
        <v>52</v>
      </c>
      <c r="T570" t="s">
        <v>252</v>
      </c>
      <c r="U570">
        <v>892206</v>
      </c>
      <c r="V570" s="3">
        <v>46083.38958333333</v>
      </c>
      <c r="W570" t="s">
        <v>693</v>
      </c>
      <c r="X570" t="s">
        <v>694</v>
      </c>
      <c r="Y570" t="str">
        <f>"0404019300"</f>
        <v>0404019300</v>
      </c>
      <c r="Z570" t="s">
        <v>345</v>
      </c>
      <c r="AA570" s="1">
        <v>46117</v>
      </c>
      <c r="AB570" t="s">
        <v>695</v>
      </c>
      <c r="AD570" t="s">
        <v>168</v>
      </c>
      <c r="AE570" t="s">
        <v>696</v>
      </c>
      <c r="AF570">
        <v>5606</v>
      </c>
      <c r="AG570" t="s">
        <v>1585</v>
      </c>
      <c r="AI570" t="s">
        <v>59</v>
      </c>
      <c r="AJ570" t="str">
        <f>"0020188040"</f>
        <v>0020188040</v>
      </c>
      <c r="AN570" s="3">
        <v>46083.38958333333</v>
      </c>
      <c r="AO570" t="s">
        <v>693</v>
      </c>
    </row>
    <row r="571" spans="1:41" x14ac:dyDescent="0.3">
      <c r="A571" t="s">
        <v>168</v>
      </c>
      <c r="B571" t="s">
        <v>2509</v>
      </c>
      <c r="C571" t="s">
        <v>2510</v>
      </c>
      <c r="D571" t="s">
        <v>268</v>
      </c>
      <c r="E571" s="1">
        <v>46078</v>
      </c>
      <c r="F571" t="s">
        <v>44</v>
      </c>
      <c r="G571" t="s">
        <v>45</v>
      </c>
      <c r="H571" s="2">
        <v>0.33333333333333331</v>
      </c>
      <c r="I571" s="2">
        <v>0.5</v>
      </c>
      <c r="J571" t="s">
        <v>101</v>
      </c>
      <c r="L571" t="s">
        <v>159</v>
      </c>
      <c r="M571" t="s">
        <v>2511</v>
      </c>
      <c r="N571" t="s">
        <v>2512</v>
      </c>
      <c r="O571">
        <v>474</v>
      </c>
      <c r="Q571" t="s">
        <v>2513</v>
      </c>
      <c r="R571" t="s">
        <v>176</v>
      </c>
      <c r="S571" t="s">
        <v>52</v>
      </c>
      <c r="U571">
        <v>891730</v>
      </c>
      <c r="V571" s="3">
        <v>46059.672222222223</v>
      </c>
      <c r="W571" t="s">
        <v>2514</v>
      </c>
      <c r="X571" t="s">
        <v>2515</v>
      </c>
      <c r="Y571" t="str">
        <f>"0402178981"</f>
        <v>0402178981</v>
      </c>
      <c r="Z571" t="s">
        <v>585</v>
      </c>
      <c r="AB571" t="s">
        <v>2509</v>
      </c>
      <c r="AC571" t="s">
        <v>2516</v>
      </c>
      <c r="AD571" t="s">
        <v>168</v>
      </c>
      <c r="AE571" t="s">
        <v>2517</v>
      </c>
      <c r="AF571">
        <v>5065</v>
      </c>
      <c r="AG571" t="s">
        <v>2513</v>
      </c>
      <c r="AI571" t="s">
        <v>59</v>
      </c>
      <c r="AL571" t="s">
        <v>1121</v>
      </c>
      <c r="AN571" s="3">
        <v>46078.494444444441</v>
      </c>
      <c r="AO571" t="s">
        <v>2514</v>
      </c>
    </row>
    <row r="572" spans="1:41" x14ac:dyDescent="0.3">
      <c r="A572" t="s">
        <v>75</v>
      </c>
      <c r="B572" t="s">
        <v>109</v>
      </c>
      <c r="C572" t="s">
        <v>110</v>
      </c>
      <c r="D572" t="s">
        <v>111</v>
      </c>
      <c r="E572" s="1">
        <v>46078</v>
      </c>
      <c r="F572" t="s">
        <v>44</v>
      </c>
      <c r="G572" t="s">
        <v>45</v>
      </c>
      <c r="H572" s="2">
        <v>0.33333333333333331</v>
      </c>
      <c r="I572" s="2">
        <v>0.5</v>
      </c>
      <c r="J572" t="s">
        <v>112</v>
      </c>
      <c r="K572" t="s">
        <v>113</v>
      </c>
      <c r="L572" t="s">
        <v>114</v>
      </c>
      <c r="M572" t="s">
        <v>115</v>
      </c>
      <c r="N572" t="s">
        <v>116</v>
      </c>
      <c r="O572">
        <v>20749</v>
      </c>
      <c r="Q572" t="s">
        <v>117</v>
      </c>
      <c r="R572" t="s">
        <v>926</v>
      </c>
      <c r="S572" t="s">
        <v>119</v>
      </c>
      <c r="T572" t="s">
        <v>414</v>
      </c>
      <c r="U572">
        <v>892439</v>
      </c>
      <c r="V572" s="3">
        <v>46078.542361111111</v>
      </c>
      <c r="W572" t="s">
        <v>121</v>
      </c>
      <c r="X572" t="s">
        <v>122</v>
      </c>
      <c r="Y572" t="str">
        <f>"0438543148"</f>
        <v>0438543148</v>
      </c>
      <c r="Z572" t="s">
        <v>70</v>
      </c>
      <c r="AA572" s="1">
        <v>46078</v>
      </c>
      <c r="AB572" t="s">
        <v>124</v>
      </c>
      <c r="AD572" t="s">
        <v>75</v>
      </c>
      <c r="AE572" t="s">
        <v>125</v>
      </c>
      <c r="AF572">
        <v>6017</v>
      </c>
      <c r="AG572" t="s">
        <v>117</v>
      </c>
      <c r="AI572" t="s">
        <v>59</v>
      </c>
      <c r="AN572" s="3">
        <v>46078.551388888889</v>
      </c>
      <c r="AO572" t="s">
        <v>926</v>
      </c>
    </row>
    <row r="573" spans="1:41" x14ac:dyDescent="0.3">
      <c r="A573" t="s">
        <v>61</v>
      </c>
      <c r="B573" t="s">
        <v>2518</v>
      </c>
      <c r="C573" t="s">
        <v>2518</v>
      </c>
      <c r="D573" t="s">
        <v>309</v>
      </c>
      <c r="E573" s="1">
        <v>46078</v>
      </c>
      <c r="F573" t="s">
        <v>44</v>
      </c>
      <c r="G573" t="s">
        <v>45</v>
      </c>
      <c r="H573" s="2">
        <v>0.33333333333333331</v>
      </c>
      <c r="I573" s="2">
        <v>0.60416666666666663</v>
      </c>
      <c r="J573" t="s">
        <v>2519</v>
      </c>
      <c r="K573" t="s">
        <v>2520</v>
      </c>
      <c r="L573" t="s">
        <v>931</v>
      </c>
      <c r="M573" t="s">
        <v>932</v>
      </c>
      <c r="N573" t="s">
        <v>933</v>
      </c>
      <c r="O573">
        <v>5952462</v>
      </c>
      <c r="P573" t="s">
        <v>2521</v>
      </c>
      <c r="Q573" t="s">
        <v>2429</v>
      </c>
      <c r="R573" t="s">
        <v>2428</v>
      </c>
      <c r="S573" t="s">
        <v>119</v>
      </c>
      <c r="V573" s="3">
        <v>46078.34375</v>
      </c>
      <c r="W573" t="s">
        <v>936</v>
      </c>
      <c r="X573" t="s">
        <v>937</v>
      </c>
      <c r="Y573" t="str">
        <f>"9999999999"</f>
        <v>9999999999</v>
      </c>
      <c r="Z573" t="s">
        <v>70</v>
      </c>
      <c r="AA573" s="1">
        <v>46078</v>
      </c>
      <c r="AB573" t="s">
        <v>2522</v>
      </c>
      <c r="AD573" t="s">
        <v>61</v>
      </c>
      <c r="AE573" t="s">
        <v>2523</v>
      </c>
      <c r="AF573">
        <v>2112</v>
      </c>
      <c r="AG573" t="s">
        <v>2429</v>
      </c>
      <c r="AI573" t="s">
        <v>59</v>
      </c>
      <c r="AL573" t="s">
        <v>2524</v>
      </c>
      <c r="AN573" s="3">
        <v>46078.394444444442</v>
      </c>
      <c r="AO573" t="s">
        <v>2428</v>
      </c>
    </row>
    <row r="574" spans="1:41" x14ac:dyDescent="0.3">
      <c r="A574" t="s">
        <v>61</v>
      </c>
      <c r="B574" t="s">
        <v>2518</v>
      </c>
      <c r="C574" t="s">
        <v>2518</v>
      </c>
      <c r="D574" t="s">
        <v>309</v>
      </c>
      <c r="E574" s="1">
        <v>46078</v>
      </c>
      <c r="F574" t="s">
        <v>44</v>
      </c>
      <c r="G574" t="s">
        <v>45</v>
      </c>
      <c r="H574" s="2">
        <v>0.33333333333333331</v>
      </c>
      <c r="I574" s="2">
        <v>0.58333333333333337</v>
      </c>
      <c r="J574" t="s">
        <v>2519</v>
      </c>
      <c r="K574" t="s">
        <v>2520</v>
      </c>
      <c r="L574" t="s">
        <v>2525</v>
      </c>
      <c r="M574" t="s">
        <v>2526</v>
      </c>
      <c r="N574" t="s">
        <v>933</v>
      </c>
      <c r="O574">
        <v>5952463</v>
      </c>
      <c r="P574" t="s">
        <v>2521</v>
      </c>
      <c r="Q574" t="s">
        <v>2429</v>
      </c>
      <c r="R574" t="s">
        <v>2428</v>
      </c>
      <c r="S574" t="s">
        <v>119</v>
      </c>
      <c r="V574" s="3">
        <v>46078.392361111109</v>
      </c>
      <c r="W574" t="s">
        <v>2527</v>
      </c>
      <c r="X574" t="s">
        <v>937</v>
      </c>
      <c r="Y574" t="str">
        <f>"9999999999"</f>
        <v>9999999999</v>
      </c>
      <c r="Z574" t="s">
        <v>70</v>
      </c>
      <c r="AA574" s="1">
        <v>46078</v>
      </c>
      <c r="AB574" t="s">
        <v>2522</v>
      </c>
      <c r="AD574" t="s">
        <v>61</v>
      </c>
      <c r="AE574" t="s">
        <v>2523</v>
      </c>
      <c r="AF574">
        <v>2112</v>
      </c>
      <c r="AG574" t="s">
        <v>2429</v>
      </c>
      <c r="AI574" t="s">
        <v>59</v>
      </c>
      <c r="AL574" t="s">
        <v>2528</v>
      </c>
      <c r="AN574" s="3">
        <v>46078.393750000003</v>
      </c>
      <c r="AO574" t="s">
        <v>2428</v>
      </c>
    </row>
    <row r="575" spans="1:41" x14ac:dyDescent="0.3">
      <c r="A575" t="s">
        <v>41</v>
      </c>
      <c r="B575" t="s">
        <v>1546</v>
      </c>
      <c r="C575" t="s">
        <v>1547</v>
      </c>
      <c r="D575" t="s">
        <v>127</v>
      </c>
      <c r="E575" s="1">
        <v>46078</v>
      </c>
      <c r="F575" t="s">
        <v>44</v>
      </c>
      <c r="G575" t="s">
        <v>45</v>
      </c>
      <c r="H575" s="2">
        <v>0.34375</v>
      </c>
      <c r="I575" s="2">
        <v>0.52083333333333337</v>
      </c>
      <c r="J575" t="s">
        <v>464</v>
      </c>
      <c r="L575" t="s">
        <v>464</v>
      </c>
      <c r="M575" t="s">
        <v>465</v>
      </c>
      <c r="N575" t="s">
        <v>466</v>
      </c>
      <c r="O575">
        <v>401722</v>
      </c>
      <c r="Q575" t="s">
        <v>1548</v>
      </c>
      <c r="R575" t="s">
        <v>51</v>
      </c>
      <c r="S575" t="s">
        <v>52</v>
      </c>
      <c r="U575">
        <v>891750</v>
      </c>
      <c r="V575" s="3">
        <v>46069.481944444444</v>
      </c>
      <c r="W575" t="s">
        <v>468</v>
      </c>
      <c r="X575" t="s">
        <v>469</v>
      </c>
      <c r="Y575" t="str">
        <f>"0423030872"</f>
        <v>0423030872</v>
      </c>
      <c r="Z575" t="s">
        <v>366</v>
      </c>
      <c r="AB575" t="s">
        <v>1549</v>
      </c>
      <c r="AC575" t="s">
        <v>1550</v>
      </c>
      <c r="AD575" t="s">
        <v>41</v>
      </c>
      <c r="AE575" t="s">
        <v>150</v>
      </c>
      <c r="AF575">
        <v>4000</v>
      </c>
      <c r="AG575" t="s">
        <v>1548</v>
      </c>
      <c r="AI575" t="s">
        <v>59</v>
      </c>
      <c r="AL575" t="s">
        <v>1551</v>
      </c>
      <c r="AN575" s="3">
        <v>46078.565972222219</v>
      </c>
      <c r="AO575" t="s">
        <v>468</v>
      </c>
    </row>
    <row r="576" spans="1:41" x14ac:dyDescent="0.3">
      <c r="A576" t="s">
        <v>168</v>
      </c>
      <c r="B576" t="s">
        <v>215</v>
      </c>
      <c r="C576" t="s">
        <v>202</v>
      </c>
      <c r="D576" t="s">
        <v>127</v>
      </c>
      <c r="E576" s="1">
        <v>46078</v>
      </c>
      <c r="F576" t="s">
        <v>44</v>
      </c>
      <c r="G576" t="s">
        <v>45</v>
      </c>
      <c r="H576" s="2">
        <v>0.35416666666666669</v>
      </c>
      <c r="I576" s="2">
        <v>0.6875</v>
      </c>
      <c r="J576" t="s">
        <v>46</v>
      </c>
      <c r="L576" t="s">
        <v>47</v>
      </c>
      <c r="M576" t="s">
        <v>1603</v>
      </c>
      <c r="N576" t="s">
        <v>1604</v>
      </c>
      <c r="O576">
        <v>5952018</v>
      </c>
      <c r="Q576" t="s">
        <v>2529</v>
      </c>
      <c r="R576" t="s">
        <v>1248</v>
      </c>
      <c r="S576" t="s">
        <v>52</v>
      </c>
      <c r="U576">
        <v>891752</v>
      </c>
      <c r="V576" s="3">
        <v>46077.873611111114</v>
      </c>
      <c r="W576" t="s">
        <v>1606</v>
      </c>
      <c r="X576" t="s">
        <v>1607</v>
      </c>
      <c r="Y576" t="str">
        <f>"0415208433"</f>
        <v>0415208433</v>
      </c>
      <c r="Z576" t="s">
        <v>70</v>
      </c>
      <c r="AA576" s="1">
        <v>46078</v>
      </c>
      <c r="AB576" t="s">
        <v>222</v>
      </c>
      <c r="AD576" t="s">
        <v>168</v>
      </c>
      <c r="AE576" t="s">
        <v>223</v>
      </c>
      <c r="AF576">
        <v>5069</v>
      </c>
      <c r="AI576" t="s">
        <v>59</v>
      </c>
      <c r="AL576" t="s">
        <v>2530</v>
      </c>
      <c r="AN576" s="3">
        <v>46078.584722222222</v>
      </c>
      <c r="AO576" t="s">
        <v>231</v>
      </c>
    </row>
    <row r="577" spans="1:41" x14ac:dyDescent="0.3">
      <c r="A577" t="s">
        <v>168</v>
      </c>
      <c r="B577" t="s">
        <v>847</v>
      </c>
      <c r="C577" t="s">
        <v>848</v>
      </c>
      <c r="D577" t="s">
        <v>268</v>
      </c>
      <c r="E577" s="1">
        <v>46078</v>
      </c>
      <c r="F577" t="s">
        <v>44</v>
      </c>
      <c r="G577" t="s">
        <v>45</v>
      </c>
      <c r="H577" s="2">
        <v>0.35416666666666669</v>
      </c>
      <c r="I577" s="2">
        <v>0.70833333333333337</v>
      </c>
      <c r="J577" t="s">
        <v>101</v>
      </c>
      <c r="K577" t="s">
        <v>849</v>
      </c>
      <c r="L577" t="s">
        <v>159</v>
      </c>
      <c r="M577" t="s">
        <v>1552</v>
      </c>
      <c r="N577" t="s">
        <v>1553</v>
      </c>
      <c r="O577">
        <v>5951790</v>
      </c>
      <c r="Q577" t="s">
        <v>857</v>
      </c>
      <c r="R577" t="s">
        <v>231</v>
      </c>
      <c r="S577" t="s">
        <v>52</v>
      </c>
      <c r="U577">
        <v>891779</v>
      </c>
      <c r="V577" s="3">
        <v>46035.581250000003</v>
      </c>
      <c r="W577" t="s">
        <v>1554</v>
      </c>
      <c r="X577" t="s">
        <v>1555</v>
      </c>
      <c r="Y577" t="str">
        <f>"0402115073"</f>
        <v>0402115073</v>
      </c>
      <c r="Z577" t="s">
        <v>2531</v>
      </c>
      <c r="AB577" t="s">
        <v>847</v>
      </c>
      <c r="AC577" t="s">
        <v>855</v>
      </c>
      <c r="AD577" t="s">
        <v>168</v>
      </c>
      <c r="AE577" t="s">
        <v>856</v>
      </c>
      <c r="AF577">
        <v>5112</v>
      </c>
      <c r="AG577" t="s">
        <v>857</v>
      </c>
      <c r="AI577" t="s">
        <v>59</v>
      </c>
      <c r="AL577" t="s">
        <v>1556</v>
      </c>
      <c r="AN577" s="3">
        <v>46078.715277777781</v>
      </c>
      <c r="AO577" t="s">
        <v>1554</v>
      </c>
    </row>
    <row r="578" spans="1:41" x14ac:dyDescent="0.3">
      <c r="A578" t="s">
        <v>168</v>
      </c>
      <c r="B578" t="s">
        <v>282</v>
      </c>
      <c r="C578" t="s">
        <v>170</v>
      </c>
      <c r="D578" t="s">
        <v>283</v>
      </c>
      <c r="E578" s="1">
        <v>46078</v>
      </c>
      <c r="F578" t="s">
        <v>44</v>
      </c>
      <c r="G578" t="s">
        <v>45</v>
      </c>
      <c r="H578" s="2">
        <v>0.35416666666666669</v>
      </c>
      <c r="I578" s="2">
        <v>0.52083333333333337</v>
      </c>
      <c r="J578" t="s">
        <v>170</v>
      </c>
      <c r="K578" t="s">
        <v>77</v>
      </c>
      <c r="L578" t="s">
        <v>186</v>
      </c>
      <c r="M578" t="s">
        <v>2532</v>
      </c>
      <c r="N578" t="s">
        <v>2533</v>
      </c>
      <c r="O578">
        <v>22897</v>
      </c>
      <c r="Q578" t="s">
        <v>287</v>
      </c>
      <c r="R578" t="s">
        <v>231</v>
      </c>
      <c r="S578" t="s">
        <v>52</v>
      </c>
      <c r="U578">
        <v>891796</v>
      </c>
      <c r="V578" s="3">
        <v>46077.462500000001</v>
      </c>
      <c r="W578" t="s">
        <v>2534</v>
      </c>
      <c r="X578" t="s">
        <v>2535</v>
      </c>
      <c r="Y578" t="str">
        <f>"0413562918"</f>
        <v>0413562918</v>
      </c>
      <c r="Z578" t="s">
        <v>919</v>
      </c>
      <c r="AB578" t="s">
        <v>291</v>
      </c>
      <c r="AC578" t="s">
        <v>292</v>
      </c>
      <c r="AD578" t="s">
        <v>168</v>
      </c>
      <c r="AE578" t="s">
        <v>293</v>
      </c>
      <c r="AF578">
        <v>5037</v>
      </c>
      <c r="AG578" t="s">
        <v>287</v>
      </c>
      <c r="AI578" t="s">
        <v>59</v>
      </c>
      <c r="AL578" t="s">
        <v>2536</v>
      </c>
      <c r="AN578" s="3">
        <v>46078.789583333331</v>
      </c>
      <c r="AO578" t="s">
        <v>2534</v>
      </c>
    </row>
    <row r="579" spans="1:41" x14ac:dyDescent="0.3">
      <c r="A579" t="s">
        <v>61</v>
      </c>
      <c r="B579" t="s">
        <v>655</v>
      </c>
      <c r="C579" t="s">
        <v>43</v>
      </c>
      <c r="D579" t="s">
        <v>656</v>
      </c>
      <c r="E579" s="1">
        <v>46078</v>
      </c>
      <c r="F579" t="s">
        <v>44</v>
      </c>
      <c r="G579" t="s">
        <v>45</v>
      </c>
      <c r="H579" s="2">
        <v>0.35416666666666669</v>
      </c>
      <c r="I579" s="2">
        <v>0.70833333333333337</v>
      </c>
      <c r="J579" t="s">
        <v>100</v>
      </c>
      <c r="L579" t="s">
        <v>100</v>
      </c>
      <c r="M579" t="s">
        <v>1566</v>
      </c>
      <c r="N579" t="s">
        <v>1567</v>
      </c>
      <c r="O579">
        <v>20900</v>
      </c>
      <c r="Q579" t="s">
        <v>1568</v>
      </c>
      <c r="R579" t="s">
        <v>132</v>
      </c>
      <c r="S579" t="s">
        <v>52</v>
      </c>
      <c r="U579">
        <v>891783</v>
      </c>
      <c r="V579" s="3">
        <v>46057.486805555556</v>
      </c>
      <c r="W579" t="s">
        <v>1569</v>
      </c>
      <c r="X579" t="s">
        <v>1570</v>
      </c>
      <c r="Y579" t="str">
        <f>"0411393136"</f>
        <v>0411393136</v>
      </c>
      <c r="Z579" t="s">
        <v>70</v>
      </c>
      <c r="AB579" t="s">
        <v>662</v>
      </c>
      <c r="AC579" t="s">
        <v>663</v>
      </c>
      <c r="AD579" t="s">
        <v>61</v>
      </c>
      <c r="AE579" t="s">
        <v>664</v>
      </c>
      <c r="AF579">
        <v>2067</v>
      </c>
      <c r="AG579" t="s">
        <v>1571</v>
      </c>
      <c r="AI579" t="s">
        <v>59</v>
      </c>
      <c r="AL579" t="s">
        <v>2443</v>
      </c>
      <c r="AN579" s="3">
        <v>46078.73541666667</v>
      </c>
      <c r="AO579" t="s">
        <v>1569</v>
      </c>
    </row>
    <row r="580" spans="1:41" x14ac:dyDescent="0.3">
      <c r="A580" t="s">
        <v>61</v>
      </c>
      <c r="B580" t="s">
        <v>655</v>
      </c>
      <c r="C580" t="s">
        <v>43</v>
      </c>
      <c r="D580" t="s">
        <v>656</v>
      </c>
      <c r="E580" s="1">
        <v>46078</v>
      </c>
      <c r="F580" t="s">
        <v>44</v>
      </c>
      <c r="G580" t="s">
        <v>45</v>
      </c>
      <c r="H580" s="2">
        <v>0.35416666666666669</v>
      </c>
      <c r="I580" s="2">
        <v>0.99861111111111112</v>
      </c>
      <c r="J580" t="s">
        <v>46</v>
      </c>
      <c r="K580" t="s">
        <v>2537</v>
      </c>
      <c r="L580" t="s">
        <v>47</v>
      </c>
      <c r="M580" t="s">
        <v>91</v>
      </c>
      <c r="N580" t="s">
        <v>92</v>
      </c>
      <c r="O580">
        <v>5950650</v>
      </c>
      <c r="Q580" t="s">
        <v>1568</v>
      </c>
      <c r="R580" t="s">
        <v>556</v>
      </c>
      <c r="S580" t="s">
        <v>52</v>
      </c>
      <c r="U580">
        <v>891777</v>
      </c>
      <c r="V580" s="3">
        <v>46064.989583333336</v>
      </c>
      <c r="W580" t="s">
        <v>94</v>
      </c>
      <c r="X580" t="s">
        <v>95</v>
      </c>
      <c r="Y580" t="str">
        <f>"0493332534"</f>
        <v>0493332534</v>
      </c>
      <c r="Z580" t="s">
        <v>70</v>
      </c>
      <c r="AB580" t="s">
        <v>662</v>
      </c>
      <c r="AC580" t="s">
        <v>663</v>
      </c>
      <c r="AD580" t="s">
        <v>61</v>
      </c>
      <c r="AE580" t="s">
        <v>664</v>
      </c>
      <c r="AF580">
        <v>2067</v>
      </c>
      <c r="AG580" t="s">
        <v>665</v>
      </c>
      <c r="AI580" t="s">
        <v>59</v>
      </c>
      <c r="AL580" t="s">
        <v>2443</v>
      </c>
      <c r="AN580" s="3">
        <v>46078.705555555556</v>
      </c>
      <c r="AO580" t="s">
        <v>94</v>
      </c>
    </row>
    <row r="581" spans="1:41" x14ac:dyDescent="0.3">
      <c r="A581" t="s">
        <v>874</v>
      </c>
      <c r="B581" t="s">
        <v>875</v>
      </c>
      <c r="D581" t="s">
        <v>388</v>
      </c>
      <c r="E581" s="1">
        <v>46078</v>
      </c>
      <c r="F581" t="s">
        <v>44</v>
      </c>
      <c r="G581" t="s">
        <v>45</v>
      </c>
      <c r="H581" s="2">
        <v>0.35416666666666669</v>
      </c>
      <c r="I581" s="2">
        <v>0.70833333333333337</v>
      </c>
      <c r="J581" t="s">
        <v>876</v>
      </c>
      <c r="L581" t="s">
        <v>877</v>
      </c>
      <c r="M581" t="s">
        <v>878</v>
      </c>
      <c r="N581" t="s">
        <v>879</v>
      </c>
      <c r="O581">
        <v>5951689</v>
      </c>
      <c r="P581" t="s">
        <v>249</v>
      </c>
      <c r="Q581" t="s">
        <v>880</v>
      </c>
      <c r="R581" t="s">
        <v>392</v>
      </c>
      <c r="S581" t="s">
        <v>52</v>
      </c>
      <c r="T581" t="s">
        <v>252</v>
      </c>
      <c r="U581">
        <v>892245</v>
      </c>
      <c r="V581" s="3">
        <v>46083.556944444441</v>
      </c>
      <c r="W581" t="s">
        <v>881</v>
      </c>
      <c r="X581" t="s">
        <v>882</v>
      </c>
      <c r="Y581" t="str">
        <f>"0474765680"</f>
        <v>0474765680</v>
      </c>
      <c r="Z581" t="s">
        <v>345</v>
      </c>
      <c r="AA581" s="1">
        <v>46110</v>
      </c>
      <c r="AB581" t="s">
        <v>883</v>
      </c>
      <c r="AD581" t="s">
        <v>397</v>
      </c>
      <c r="AE581" t="s">
        <v>884</v>
      </c>
      <c r="AG581" t="s">
        <v>880</v>
      </c>
      <c r="AI581" t="s">
        <v>59</v>
      </c>
      <c r="AJ581" t="str">
        <f>"0090000061"</f>
        <v>0090000061</v>
      </c>
      <c r="AN581" s="3">
        <v>46083.556944444441</v>
      </c>
      <c r="AO581" t="s">
        <v>392</v>
      </c>
    </row>
    <row r="582" spans="1:41" x14ac:dyDescent="0.3">
      <c r="A582" t="s">
        <v>61</v>
      </c>
      <c r="B582" t="s">
        <v>655</v>
      </c>
      <c r="C582" t="s">
        <v>43</v>
      </c>
      <c r="D582" t="s">
        <v>656</v>
      </c>
      <c r="E582" s="1">
        <v>46078</v>
      </c>
      <c r="F582" t="s">
        <v>44</v>
      </c>
      <c r="G582" t="s">
        <v>45</v>
      </c>
      <c r="H582" s="2">
        <v>0.375</v>
      </c>
      <c r="I582" s="2">
        <v>0.70833333333333337</v>
      </c>
      <c r="J582" t="s">
        <v>100</v>
      </c>
      <c r="L582" t="s">
        <v>100</v>
      </c>
      <c r="M582" t="s">
        <v>1645</v>
      </c>
      <c r="N582" t="s">
        <v>2538</v>
      </c>
      <c r="O582">
        <v>5952287</v>
      </c>
      <c r="Q582" t="s">
        <v>665</v>
      </c>
      <c r="R582" t="s">
        <v>145</v>
      </c>
      <c r="S582" t="s">
        <v>52</v>
      </c>
      <c r="U582">
        <v>891776</v>
      </c>
      <c r="V582" s="3">
        <v>46037.762499999997</v>
      </c>
      <c r="W582" t="s">
        <v>2539</v>
      </c>
      <c r="X582" t="s">
        <v>2540</v>
      </c>
      <c r="Y582" t="str">
        <f>"0447679827"</f>
        <v>0447679827</v>
      </c>
      <c r="Z582" t="s">
        <v>2541</v>
      </c>
      <c r="AB582" t="s">
        <v>662</v>
      </c>
      <c r="AC582" t="s">
        <v>663</v>
      </c>
      <c r="AD582" t="s">
        <v>61</v>
      </c>
      <c r="AE582" t="s">
        <v>664</v>
      </c>
      <c r="AF582">
        <v>2067</v>
      </c>
      <c r="AG582" t="s">
        <v>2542</v>
      </c>
      <c r="AI582" t="s">
        <v>59</v>
      </c>
      <c r="AL582" t="s">
        <v>2543</v>
      </c>
      <c r="AN582" s="3">
        <v>46078.703472222223</v>
      </c>
      <c r="AO582" t="s">
        <v>2539</v>
      </c>
    </row>
    <row r="583" spans="1:41" x14ac:dyDescent="0.3">
      <c r="A583" t="s">
        <v>306</v>
      </c>
      <c r="B583" t="s">
        <v>450</v>
      </c>
      <c r="C583" t="s">
        <v>100</v>
      </c>
      <c r="D583" t="s">
        <v>63</v>
      </c>
      <c r="E583" s="1">
        <v>46078</v>
      </c>
      <c r="F583" t="s">
        <v>44</v>
      </c>
      <c r="G583" t="s">
        <v>45</v>
      </c>
      <c r="H583" s="2">
        <v>0.375</v>
      </c>
      <c r="I583" s="2">
        <v>0.625</v>
      </c>
      <c r="J583" t="s">
        <v>100</v>
      </c>
      <c r="L583" t="s">
        <v>452</v>
      </c>
      <c r="M583" t="s">
        <v>2544</v>
      </c>
      <c r="N583" t="s">
        <v>2545</v>
      </c>
      <c r="O583">
        <v>5951132</v>
      </c>
      <c r="Q583" t="s">
        <v>461</v>
      </c>
      <c r="R583" t="s">
        <v>132</v>
      </c>
      <c r="S583" t="s">
        <v>52</v>
      </c>
      <c r="U583">
        <v>891762</v>
      </c>
      <c r="V583" s="3">
        <v>46072.5</v>
      </c>
      <c r="W583" t="s">
        <v>2546</v>
      </c>
      <c r="X583" t="s">
        <v>2547</v>
      </c>
      <c r="Y583" t="str">
        <f>"0403404656"</f>
        <v>0403404656</v>
      </c>
      <c r="Z583" t="s">
        <v>2548</v>
      </c>
      <c r="AB583" t="s">
        <v>459</v>
      </c>
      <c r="AD583" t="s">
        <v>306</v>
      </c>
      <c r="AE583" t="s">
        <v>460</v>
      </c>
      <c r="AF583">
        <v>3058</v>
      </c>
      <c r="AG583" t="s">
        <v>2397</v>
      </c>
      <c r="AI583" t="s">
        <v>59</v>
      </c>
      <c r="AL583" t="s">
        <v>87</v>
      </c>
      <c r="AN583" s="3">
        <v>46078.625694444447</v>
      </c>
      <c r="AO583" t="s">
        <v>2546</v>
      </c>
    </row>
    <row r="584" spans="1:41" x14ac:dyDescent="0.3">
      <c r="A584" t="s">
        <v>61</v>
      </c>
      <c r="B584" t="s">
        <v>655</v>
      </c>
      <c r="C584" t="s">
        <v>43</v>
      </c>
      <c r="D584" t="s">
        <v>656</v>
      </c>
      <c r="E584" s="1">
        <v>46078</v>
      </c>
      <c r="F584" t="s">
        <v>44</v>
      </c>
      <c r="G584" t="s">
        <v>45</v>
      </c>
      <c r="H584" s="2">
        <v>0.375</v>
      </c>
      <c r="I584" s="2">
        <v>0.99861111111111112</v>
      </c>
      <c r="J584" t="s">
        <v>101</v>
      </c>
      <c r="L584" t="s">
        <v>47</v>
      </c>
      <c r="M584" t="s">
        <v>785</v>
      </c>
      <c r="N584" t="s">
        <v>905</v>
      </c>
      <c r="O584">
        <v>5950885</v>
      </c>
      <c r="Q584" t="s">
        <v>665</v>
      </c>
      <c r="R584" t="s">
        <v>67</v>
      </c>
      <c r="S584" t="s">
        <v>52</v>
      </c>
      <c r="U584">
        <v>891788</v>
      </c>
      <c r="V584" s="3">
        <v>46042.432638888888</v>
      </c>
      <c r="W584" t="s">
        <v>906</v>
      </c>
      <c r="X584" t="s">
        <v>907</v>
      </c>
      <c r="Y584" t="str">
        <f>"0421650139"</f>
        <v>0421650139</v>
      </c>
      <c r="Z584" t="s">
        <v>2549</v>
      </c>
      <c r="AB584" t="s">
        <v>662</v>
      </c>
      <c r="AC584" t="s">
        <v>663</v>
      </c>
      <c r="AD584" t="s">
        <v>61</v>
      </c>
      <c r="AE584" t="s">
        <v>664</v>
      </c>
      <c r="AF584">
        <v>2067</v>
      </c>
      <c r="AG584" t="s">
        <v>665</v>
      </c>
      <c r="AI584" t="s">
        <v>59</v>
      </c>
      <c r="AL584" t="s">
        <v>2550</v>
      </c>
      <c r="AN584" s="3">
        <v>46078.75</v>
      </c>
      <c r="AO584" t="s">
        <v>906</v>
      </c>
    </row>
    <row r="585" spans="1:41" x14ac:dyDescent="0.3">
      <c r="A585" t="s">
        <v>61</v>
      </c>
      <c r="B585" t="s">
        <v>62</v>
      </c>
      <c r="C585" t="s">
        <v>100</v>
      </c>
      <c r="D585" t="s">
        <v>63</v>
      </c>
      <c r="E585" s="1">
        <v>46078</v>
      </c>
      <c r="F585" t="s">
        <v>44</v>
      </c>
      <c r="G585" t="s">
        <v>45</v>
      </c>
      <c r="H585" s="2">
        <v>0.41666666666666669</v>
      </c>
      <c r="I585" s="2">
        <v>0.77083333333333337</v>
      </c>
      <c r="J585" t="s">
        <v>100</v>
      </c>
      <c r="L585" t="s">
        <v>100</v>
      </c>
      <c r="M585" t="s">
        <v>101</v>
      </c>
      <c r="N585" t="s">
        <v>102</v>
      </c>
      <c r="O585">
        <v>27</v>
      </c>
      <c r="Q585" t="s">
        <v>1051</v>
      </c>
      <c r="R585" t="s">
        <v>132</v>
      </c>
      <c r="S585" t="s">
        <v>52</v>
      </c>
      <c r="U585">
        <v>891789</v>
      </c>
      <c r="V585" s="3">
        <v>46052.632638888892</v>
      </c>
      <c r="W585" t="s">
        <v>104</v>
      </c>
      <c r="X585" t="s">
        <v>105</v>
      </c>
      <c r="Y585" t="str">
        <f>"0403748369"</f>
        <v>0403748369</v>
      </c>
      <c r="Z585" t="s">
        <v>2551</v>
      </c>
      <c r="AB585" t="s">
        <v>71</v>
      </c>
      <c r="AD585" t="s">
        <v>61</v>
      </c>
      <c r="AE585" t="s">
        <v>72</v>
      </c>
      <c r="AF585">
        <v>2747</v>
      </c>
      <c r="AG585" t="s">
        <v>1051</v>
      </c>
      <c r="AI585" t="s">
        <v>59</v>
      </c>
      <c r="AL585" t="s">
        <v>2443</v>
      </c>
      <c r="AN585" s="3">
        <v>46078.761805555558</v>
      </c>
      <c r="AO585" t="s">
        <v>104</v>
      </c>
    </row>
    <row r="586" spans="1:41" x14ac:dyDescent="0.3">
      <c r="A586" t="s">
        <v>61</v>
      </c>
      <c r="B586" t="s">
        <v>655</v>
      </c>
      <c r="C586" t="s">
        <v>43</v>
      </c>
      <c r="D586" t="s">
        <v>656</v>
      </c>
      <c r="E586" s="1">
        <v>46078</v>
      </c>
      <c r="F586" t="s">
        <v>44</v>
      </c>
      <c r="G586" t="s">
        <v>45</v>
      </c>
      <c r="H586" s="2">
        <v>0.41666666666666669</v>
      </c>
      <c r="I586" s="2">
        <v>0.99861111111111112</v>
      </c>
      <c r="J586" t="s">
        <v>185</v>
      </c>
      <c r="K586" t="s">
        <v>2552</v>
      </c>
      <c r="L586" t="s">
        <v>186</v>
      </c>
      <c r="M586" t="s">
        <v>777</v>
      </c>
      <c r="N586" t="s">
        <v>778</v>
      </c>
      <c r="O586">
        <v>5952331</v>
      </c>
      <c r="Q586" t="s">
        <v>665</v>
      </c>
      <c r="R586" t="s">
        <v>67</v>
      </c>
      <c r="S586" t="s">
        <v>52</v>
      </c>
      <c r="U586">
        <v>891785</v>
      </c>
      <c r="V586" s="3">
        <v>46077.615972222222</v>
      </c>
      <c r="W586" t="s">
        <v>780</v>
      </c>
      <c r="X586" t="s">
        <v>781</v>
      </c>
      <c r="Y586" t="str">
        <f>"0478730906"</f>
        <v>0478730906</v>
      </c>
      <c r="Z586" t="s">
        <v>70</v>
      </c>
      <c r="AA586" s="1">
        <v>46078</v>
      </c>
      <c r="AB586" t="s">
        <v>662</v>
      </c>
      <c r="AC586" t="s">
        <v>663</v>
      </c>
      <c r="AD586" t="s">
        <v>61</v>
      </c>
      <c r="AE586" t="s">
        <v>664</v>
      </c>
      <c r="AF586">
        <v>2067</v>
      </c>
      <c r="AG586" t="s">
        <v>665</v>
      </c>
      <c r="AI586" t="s">
        <v>59</v>
      </c>
      <c r="AL586" t="s">
        <v>2553</v>
      </c>
      <c r="AN586" s="3">
        <v>46078.741666666669</v>
      </c>
      <c r="AO586" t="s">
        <v>780</v>
      </c>
    </row>
    <row r="587" spans="1:41" x14ac:dyDescent="0.3">
      <c r="A587" t="s">
        <v>168</v>
      </c>
      <c r="B587" t="s">
        <v>409</v>
      </c>
      <c r="C587" t="s">
        <v>202</v>
      </c>
      <c r="D587" t="s">
        <v>309</v>
      </c>
      <c r="E587" s="1">
        <v>46078</v>
      </c>
      <c r="F587" t="s">
        <v>44</v>
      </c>
      <c r="G587" t="s">
        <v>45</v>
      </c>
      <c r="H587" s="2">
        <v>0.41666666666666669</v>
      </c>
      <c r="I587" s="2">
        <v>0.66666666666666663</v>
      </c>
      <c r="J587" t="s">
        <v>46</v>
      </c>
      <c r="L587" t="s">
        <v>47</v>
      </c>
      <c r="M587" t="s">
        <v>1572</v>
      </c>
      <c r="N587" t="s">
        <v>1573</v>
      </c>
      <c r="O587">
        <v>5951937</v>
      </c>
      <c r="Q587" t="s">
        <v>705</v>
      </c>
      <c r="R587" t="s">
        <v>500</v>
      </c>
      <c r="S587" t="s">
        <v>52</v>
      </c>
      <c r="U587">
        <v>891756</v>
      </c>
      <c r="V587" s="3">
        <v>46077.714583333334</v>
      </c>
      <c r="W587" t="s">
        <v>1574</v>
      </c>
      <c r="X587" t="s">
        <v>1575</v>
      </c>
      <c r="Y587" t="str">
        <f>"0458034418"</f>
        <v>0458034418</v>
      </c>
      <c r="Z587" t="s">
        <v>70</v>
      </c>
      <c r="AA587" s="1">
        <v>46078</v>
      </c>
      <c r="AB587" t="s">
        <v>417</v>
      </c>
      <c r="AD587" t="s">
        <v>168</v>
      </c>
      <c r="AE587" t="s">
        <v>384</v>
      </c>
      <c r="AF587">
        <v>5000</v>
      </c>
      <c r="AI587" t="s">
        <v>59</v>
      </c>
      <c r="AL587" t="s">
        <v>2554</v>
      </c>
      <c r="AM587" t="s">
        <v>2555</v>
      </c>
      <c r="AN587" s="3">
        <v>46078.606944444444</v>
      </c>
      <c r="AO587" t="s">
        <v>1574</v>
      </c>
    </row>
    <row r="588" spans="1:41" x14ac:dyDescent="0.3">
      <c r="A588" t="s">
        <v>306</v>
      </c>
      <c r="B588" t="s">
        <v>1060</v>
      </c>
      <c r="C588" t="s">
        <v>100</v>
      </c>
      <c r="D588" t="s">
        <v>184</v>
      </c>
      <c r="E588" s="1">
        <v>46078</v>
      </c>
      <c r="F588" t="s">
        <v>44</v>
      </c>
      <c r="G588" t="s">
        <v>45</v>
      </c>
      <c r="H588" s="2">
        <v>0.45833333333333331</v>
      </c>
      <c r="I588" s="2">
        <v>0.95833333333333337</v>
      </c>
      <c r="J588" t="s">
        <v>1061</v>
      </c>
      <c r="L588" t="s">
        <v>452</v>
      </c>
      <c r="M588" t="s">
        <v>2556</v>
      </c>
      <c r="N588" t="s">
        <v>2557</v>
      </c>
      <c r="O588">
        <v>5952058</v>
      </c>
      <c r="Q588" t="s">
        <v>413</v>
      </c>
      <c r="R588" t="s">
        <v>476</v>
      </c>
      <c r="S588" t="s">
        <v>119</v>
      </c>
      <c r="T588" t="s">
        <v>414</v>
      </c>
      <c r="U588">
        <v>892178</v>
      </c>
      <c r="V588" s="3">
        <v>46077.595138888886</v>
      </c>
      <c r="W588" t="s">
        <v>2558</v>
      </c>
      <c r="X588" t="s">
        <v>2559</v>
      </c>
      <c r="Y588" t="str">
        <f>"0423409018"</f>
        <v>0423409018</v>
      </c>
      <c r="Z588" t="s">
        <v>70</v>
      </c>
      <c r="AB588" t="s">
        <v>1066</v>
      </c>
      <c r="AD588" t="s">
        <v>306</v>
      </c>
      <c r="AE588" t="s">
        <v>1067</v>
      </c>
      <c r="AF588">
        <v>3084</v>
      </c>
      <c r="AI588" t="s">
        <v>59</v>
      </c>
      <c r="AL588" t="s">
        <v>1068</v>
      </c>
      <c r="AM588" t="s">
        <v>2560</v>
      </c>
      <c r="AN588" s="3">
        <v>46077.597222222219</v>
      </c>
      <c r="AO588" t="s">
        <v>476</v>
      </c>
    </row>
    <row r="589" spans="1:41" x14ac:dyDescent="0.3">
      <c r="A589" t="s">
        <v>61</v>
      </c>
      <c r="B589" t="s">
        <v>182</v>
      </c>
      <c r="C589" t="s">
        <v>183</v>
      </c>
      <c r="D589" t="s">
        <v>184</v>
      </c>
      <c r="E589" s="1">
        <v>46078</v>
      </c>
      <c r="F589" t="s">
        <v>44</v>
      </c>
      <c r="G589" t="s">
        <v>45</v>
      </c>
      <c r="H589" s="2">
        <v>0.47916666666666669</v>
      </c>
      <c r="I589" s="2">
        <v>0.99861111111111112</v>
      </c>
      <c r="J589" t="s">
        <v>185</v>
      </c>
      <c r="L589" t="s">
        <v>790</v>
      </c>
      <c r="M589" t="s">
        <v>791</v>
      </c>
      <c r="N589" t="s">
        <v>792</v>
      </c>
      <c r="O589">
        <v>5952334</v>
      </c>
      <c r="Q589" t="s">
        <v>189</v>
      </c>
      <c r="R589" t="s">
        <v>500</v>
      </c>
      <c r="S589" t="s">
        <v>52</v>
      </c>
      <c r="U589">
        <v>891786</v>
      </c>
      <c r="V589" s="3">
        <v>46071.829861111109</v>
      </c>
      <c r="W589" t="s">
        <v>793</v>
      </c>
      <c r="X589" t="s">
        <v>794</v>
      </c>
      <c r="Y589" t="str">
        <f>"0422273393"</f>
        <v>0422273393</v>
      </c>
      <c r="Z589" t="s">
        <v>513</v>
      </c>
      <c r="AB589" t="s">
        <v>193</v>
      </c>
      <c r="AD589" t="s">
        <v>61</v>
      </c>
      <c r="AE589" t="s">
        <v>194</v>
      </c>
      <c r="AF589">
        <v>2229</v>
      </c>
      <c r="AG589" t="s">
        <v>189</v>
      </c>
      <c r="AI589" t="s">
        <v>59</v>
      </c>
      <c r="AL589" t="s">
        <v>2561</v>
      </c>
      <c r="AN589" s="3">
        <v>46078.742361111108</v>
      </c>
      <c r="AO589" t="s">
        <v>793</v>
      </c>
    </row>
    <row r="590" spans="1:41" x14ac:dyDescent="0.3">
      <c r="A590" t="s">
        <v>61</v>
      </c>
      <c r="B590" t="s">
        <v>126</v>
      </c>
      <c r="C590" t="s">
        <v>43</v>
      </c>
      <c r="D590" t="s">
        <v>127</v>
      </c>
      <c r="E590" s="1">
        <v>46078</v>
      </c>
      <c r="F590" t="s">
        <v>44</v>
      </c>
      <c r="G590" t="s">
        <v>128</v>
      </c>
      <c r="H590" s="2">
        <v>0.5</v>
      </c>
      <c r="I590" s="2">
        <v>0.99861111111111112</v>
      </c>
      <c r="J590" t="s">
        <v>46</v>
      </c>
      <c r="L590" t="s">
        <v>47</v>
      </c>
      <c r="M590" t="s">
        <v>129</v>
      </c>
      <c r="N590" t="s">
        <v>130</v>
      </c>
      <c r="O590">
        <v>21231</v>
      </c>
      <c r="Q590" t="s">
        <v>131</v>
      </c>
      <c r="R590" t="s">
        <v>132</v>
      </c>
      <c r="S590" t="s">
        <v>52</v>
      </c>
      <c r="U590">
        <v>891781</v>
      </c>
      <c r="V590" s="3">
        <v>46042.632638888892</v>
      </c>
      <c r="W590" t="s">
        <v>133</v>
      </c>
      <c r="X590" t="s">
        <v>134</v>
      </c>
      <c r="Y590" t="str">
        <f>"0425328222"</f>
        <v>0425328222</v>
      </c>
      <c r="Z590" t="s">
        <v>2562</v>
      </c>
      <c r="AA590" s="1">
        <v>46078</v>
      </c>
      <c r="AB590" t="s">
        <v>136</v>
      </c>
      <c r="AD590" t="s">
        <v>61</v>
      </c>
      <c r="AE590" t="s">
        <v>137</v>
      </c>
      <c r="AF590">
        <v>2032</v>
      </c>
      <c r="AG590" t="s">
        <v>131</v>
      </c>
      <c r="AI590" t="s">
        <v>59</v>
      </c>
      <c r="AL590" t="s">
        <v>2443</v>
      </c>
      <c r="AN590" s="3">
        <v>46078.731944444444</v>
      </c>
      <c r="AO590" t="s">
        <v>133</v>
      </c>
    </row>
    <row r="591" spans="1:41" x14ac:dyDescent="0.3">
      <c r="A591" t="s">
        <v>75</v>
      </c>
      <c r="B591" t="s">
        <v>804</v>
      </c>
      <c r="C591" t="s">
        <v>43</v>
      </c>
      <c r="D591" t="s">
        <v>700</v>
      </c>
      <c r="E591" s="1">
        <v>46078</v>
      </c>
      <c r="F591" t="s">
        <v>44</v>
      </c>
      <c r="G591" t="s">
        <v>128</v>
      </c>
      <c r="H591" s="2">
        <v>0.5</v>
      </c>
      <c r="I591" s="2">
        <v>0.75</v>
      </c>
      <c r="J591" t="s">
        <v>101</v>
      </c>
      <c r="L591" t="s">
        <v>159</v>
      </c>
      <c r="M591" t="s">
        <v>2563</v>
      </c>
      <c r="N591" t="s">
        <v>2564</v>
      </c>
      <c r="O591">
        <v>22682</v>
      </c>
      <c r="Q591" t="s">
        <v>808</v>
      </c>
      <c r="R591" t="s">
        <v>926</v>
      </c>
      <c r="S591" t="s">
        <v>52</v>
      </c>
      <c r="U591">
        <v>891827</v>
      </c>
      <c r="V591" s="3">
        <v>46070.529166666667</v>
      </c>
      <c r="W591" t="s">
        <v>2565</v>
      </c>
      <c r="X591" t="s">
        <v>2566</v>
      </c>
      <c r="Y591" t="str">
        <f>"0424400679"</f>
        <v>0424400679</v>
      </c>
      <c r="Z591" t="s">
        <v>70</v>
      </c>
      <c r="AA591" s="1">
        <v>46078</v>
      </c>
      <c r="AB591" t="s">
        <v>811</v>
      </c>
      <c r="AC591" t="s">
        <v>812</v>
      </c>
      <c r="AD591" t="s">
        <v>75</v>
      </c>
      <c r="AE591" t="s">
        <v>813</v>
      </c>
      <c r="AF591">
        <v>6050</v>
      </c>
      <c r="AG591" t="s">
        <v>808</v>
      </c>
      <c r="AI591" t="s">
        <v>59</v>
      </c>
      <c r="AL591" t="s">
        <v>370</v>
      </c>
      <c r="AN591" s="3">
        <v>46078.875694444447</v>
      </c>
      <c r="AO591" t="s">
        <v>2565</v>
      </c>
    </row>
    <row r="592" spans="1:41" x14ac:dyDescent="0.3">
      <c r="A592" t="s">
        <v>61</v>
      </c>
      <c r="B592" t="s">
        <v>126</v>
      </c>
      <c r="C592" t="s">
        <v>43</v>
      </c>
      <c r="D592" t="s">
        <v>127</v>
      </c>
      <c r="E592" s="1">
        <v>46078</v>
      </c>
      <c r="F592" t="s">
        <v>44</v>
      </c>
      <c r="G592" t="s">
        <v>128</v>
      </c>
      <c r="H592" s="2">
        <v>0.5</v>
      </c>
      <c r="I592" s="2">
        <v>0.99861111111111112</v>
      </c>
      <c r="J592" t="s">
        <v>100</v>
      </c>
      <c r="L592" t="s">
        <v>100</v>
      </c>
      <c r="M592" t="s">
        <v>153</v>
      </c>
      <c r="N592" t="s">
        <v>154</v>
      </c>
      <c r="O592">
        <v>21936</v>
      </c>
      <c r="Q592" t="s">
        <v>131</v>
      </c>
      <c r="R592" t="s">
        <v>132</v>
      </c>
      <c r="S592" t="s">
        <v>52</v>
      </c>
      <c r="U592">
        <v>891780</v>
      </c>
      <c r="V592" s="3">
        <v>46042.632638888892</v>
      </c>
      <c r="W592" t="s">
        <v>155</v>
      </c>
      <c r="X592" t="s">
        <v>156</v>
      </c>
      <c r="Y592" t="str">
        <f>"0425175454"</f>
        <v>0425175454</v>
      </c>
      <c r="Z592" t="s">
        <v>2567</v>
      </c>
      <c r="AA592" s="1">
        <v>46078</v>
      </c>
      <c r="AB592" t="s">
        <v>136</v>
      </c>
      <c r="AD592" t="s">
        <v>61</v>
      </c>
      <c r="AE592" t="s">
        <v>137</v>
      </c>
      <c r="AF592">
        <v>2032</v>
      </c>
      <c r="AG592" t="s">
        <v>131</v>
      </c>
      <c r="AI592" t="s">
        <v>59</v>
      </c>
      <c r="AL592" t="s">
        <v>2443</v>
      </c>
      <c r="AN592" s="3">
        <v>46078.718055555553</v>
      </c>
      <c r="AO592" t="s">
        <v>155</v>
      </c>
    </row>
    <row r="593" spans="1:41" x14ac:dyDescent="0.3">
      <c r="A593" t="s">
        <v>75</v>
      </c>
      <c r="B593" t="s">
        <v>76</v>
      </c>
      <c r="C593" t="s">
        <v>43</v>
      </c>
      <c r="D593" t="s">
        <v>63</v>
      </c>
      <c r="E593" s="1">
        <v>46078</v>
      </c>
      <c r="F593" t="s">
        <v>44</v>
      </c>
      <c r="G593" t="s">
        <v>128</v>
      </c>
      <c r="H593" s="2">
        <v>0.5</v>
      </c>
      <c r="I593" s="2">
        <v>0.89583333333333337</v>
      </c>
      <c r="J593" t="s">
        <v>46</v>
      </c>
      <c r="K593" t="s">
        <v>77</v>
      </c>
      <c r="L593" t="s">
        <v>47</v>
      </c>
      <c r="M593" t="s">
        <v>924</v>
      </c>
      <c r="N593" t="s">
        <v>925</v>
      </c>
      <c r="O593">
        <v>5951405</v>
      </c>
      <c r="Q593" t="s">
        <v>1056</v>
      </c>
      <c r="R593" t="s">
        <v>500</v>
      </c>
      <c r="S593" t="s">
        <v>52</v>
      </c>
      <c r="U593">
        <v>891852</v>
      </c>
      <c r="V593" s="3">
        <v>46069.777777777781</v>
      </c>
      <c r="W593" t="s">
        <v>927</v>
      </c>
      <c r="X593" t="s">
        <v>928</v>
      </c>
      <c r="Y593" t="str">
        <f>"0406099115"</f>
        <v>0406099115</v>
      </c>
      <c r="Z593" t="s">
        <v>550</v>
      </c>
      <c r="AB593" t="s">
        <v>85</v>
      </c>
      <c r="AD593" t="s">
        <v>75</v>
      </c>
      <c r="AE593" t="s">
        <v>86</v>
      </c>
      <c r="AF593">
        <v>6000</v>
      </c>
      <c r="AG593" t="s">
        <v>2568</v>
      </c>
      <c r="AI593" t="s">
        <v>59</v>
      </c>
      <c r="AL593" t="s">
        <v>2569</v>
      </c>
      <c r="AN593" s="3">
        <v>46078.999305555553</v>
      </c>
      <c r="AO593" t="s">
        <v>927</v>
      </c>
    </row>
    <row r="594" spans="1:41" x14ac:dyDescent="0.3">
      <c r="A594" t="s">
        <v>168</v>
      </c>
      <c r="B594" t="s">
        <v>982</v>
      </c>
      <c r="C594" t="s">
        <v>100</v>
      </c>
      <c r="D594" t="s">
        <v>127</v>
      </c>
      <c r="E594" s="1">
        <v>46078</v>
      </c>
      <c r="F594" t="s">
        <v>44</v>
      </c>
      <c r="G594" t="s">
        <v>128</v>
      </c>
      <c r="H594" s="2">
        <v>0.5</v>
      </c>
      <c r="I594" s="2">
        <v>0.83333333333333337</v>
      </c>
      <c r="J594" t="s">
        <v>100</v>
      </c>
      <c r="L594" t="s">
        <v>100</v>
      </c>
      <c r="M594" t="s">
        <v>411</v>
      </c>
      <c r="N594" t="s">
        <v>412</v>
      </c>
      <c r="O594">
        <v>228</v>
      </c>
      <c r="Q594" t="s">
        <v>986</v>
      </c>
      <c r="R594" t="s">
        <v>176</v>
      </c>
      <c r="S594" t="s">
        <v>52</v>
      </c>
      <c r="U594">
        <v>891823</v>
      </c>
      <c r="V594" s="3">
        <v>46043.802777777775</v>
      </c>
      <c r="W594" t="s">
        <v>415</v>
      </c>
      <c r="X594" t="s">
        <v>416</v>
      </c>
      <c r="Y594" t="str">
        <f>"0414869673"</f>
        <v>0414869673</v>
      </c>
      <c r="Z594" t="s">
        <v>1134</v>
      </c>
      <c r="AB594" t="s">
        <v>985</v>
      </c>
      <c r="AD594" t="s">
        <v>168</v>
      </c>
      <c r="AE594" t="s">
        <v>279</v>
      </c>
      <c r="AF594">
        <v>5092</v>
      </c>
      <c r="AG594" t="s">
        <v>986</v>
      </c>
      <c r="AI594" t="s">
        <v>59</v>
      </c>
      <c r="AL594" t="s">
        <v>1098</v>
      </c>
      <c r="AN594" s="3">
        <v>46078.855555555558</v>
      </c>
      <c r="AO594" t="s">
        <v>415</v>
      </c>
    </row>
    <row r="595" spans="1:41" x14ac:dyDescent="0.3">
      <c r="A595" t="s">
        <v>168</v>
      </c>
      <c r="B595" t="s">
        <v>441</v>
      </c>
      <c r="C595" t="s">
        <v>101</v>
      </c>
      <c r="E595" s="1">
        <v>46078</v>
      </c>
      <c r="F595" t="s">
        <v>44</v>
      </c>
      <c r="G595" t="s">
        <v>128</v>
      </c>
      <c r="H595" s="2">
        <v>0.52083333333333337</v>
      </c>
      <c r="I595" s="2">
        <v>0.85416666666666663</v>
      </c>
      <c r="J595" t="s">
        <v>101</v>
      </c>
      <c r="L595" t="s">
        <v>159</v>
      </c>
      <c r="M595" t="s">
        <v>479</v>
      </c>
      <c r="N595" t="s">
        <v>480</v>
      </c>
      <c r="O595">
        <v>22438</v>
      </c>
      <c r="Q595" t="s">
        <v>944</v>
      </c>
      <c r="R595" t="s">
        <v>556</v>
      </c>
      <c r="S595" t="s">
        <v>52</v>
      </c>
      <c r="U595">
        <v>891795</v>
      </c>
      <c r="V595" s="3">
        <v>46050.95416666667</v>
      </c>
      <c r="W595" t="s">
        <v>481</v>
      </c>
      <c r="X595" t="s">
        <v>482</v>
      </c>
      <c r="Y595" t="str">
        <f>"0437751625"</f>
        <v>0437751625</v>
      </c>
      <c r="Z595" t="s">
        <v>70</v>
      </c>
      <c r="AA595" s="1">
        <v>46078</v>
      </c>
      <c r="AB595" t="s">
        <v>448</v>
      </c>
      <c r="AD595" t="s">
        <v>168</v>
      </c>
      <c r="AE595" t="s">
        <v>180</v>
      </c>
      <c r="AF595">
        <v>5063</v>
      </c>
      <c r="AG595" t="s">
        <v>944</v>
      </c>
      <c r="AI595" t="s">
        <v>59</v>
      </c>
      <c r="AL595" t="s">
        <v>2570</v>
      </c>
      <c r="AN595" s="3">
        <v>46078.784722222219</v>
      </c>
      <c r="AO595" t="s">
        <v>481</v>
      </c>
    </row>
    <row r="596" spans="1:41" x14ac:dyDescent="0.3">
      <c r="A596" t="s">
        <v>61</v>
      </c>
      <c r="B596" t="s">
        <v>768</v>
      </c>
      <c r="C596" t="s">
        <v>2308</v>
      </c>
      <c r="D596" t="s">
        <v>769</v>
      </c>
      <c r="E596" s="1">
        <v>46078</v>
      </c>
      <c r="F596" t="s">
        <v>44</v>
      </c>
      <c r="G596" t="s">
        <v>128</v>
      </c>
      <c r="H596" s="2">
        <v>0.52083333333333337</v>
      </c>
      <c r="I596" s="2">
        <v>0.99861111111111112</v>
      </c>
      <c r="J596" t="s">
        <v>185</v>
      </c>
      <c r="L596" t="s">
        <v>186</v>
      </c>
      <c r="M596" t="s">
        <v>2309</v>
      </c>
      <c r="N596" t="s">
        <v>2310</v>
      </c>
      <c r="O596">
        <v>5952011</v>
      </c>
      <c r="Q596" t="s">
        <v>2571</v>
      </c>
      <c r="R596" t="s">
        <v>67</v>
      </c>
      <c r="S596" t="s">
        <v>52</v>
      </c>
      <c r="U596">
        <v>891825</v>
      </c>
      <c r="V596" s="3">
        <v>46078.367361111108</v>
      </c>
      <c r="W596" t="s">
        <v>2312</v>
      </c>
      <c r="X596" t="s">
        <v>2313</v>
      </c>
      <c r="Y596" t="str">
        <f>"0410412022"</f>
        <v>0410412022</v>
      </c>
      <c r="Z596" t="s">
        <v>70</v>
      </c>
      <c r="AA596" s="1">
        <v>46078</v>
      </c>
      <c r="AB596" t="s">
        <v>775</v>
      </c>
      <c r="AD596" t="s">
        <v>61</v>
      </c>
      <c r="AE596" t="s">
        <v>776</v>
      </c>
      <c r="AF596">
        <v>2076</v>
      </c>
      <c r="AG596" t="s">
        <v>2571</v>
      </c>
      <c r="AI596" t="s">
        <v>59</v>
      </c>
      <c r="AL596" t="s">
        <v>87</v>
      </c>
      <c r="AN596" s="3">
        <v>46078.864583333336</v>
      </c>
      <c r="AO596" t="s">
        <v>2312</v>
      </c>
    </row>
    <row r="597" spans="1:41" x14ac:dyDescent="0.3">
      <c r="A597" t="s">
        <v>168</v>
      </c>
      <c r="B597" t="s">
        <v>215</v>
      </c>
      <c r="C597" t="s">
        <v>43</v>
      </c>
      <c r="D597" t="s">
        <v>127</v>
      </c>
      <c r="E597" s="1">
        <v>46078</v>
      </c>
      <c r="F597" t="s">
        <v>44</v>
      </c>
      <c r="G597" t="s">
        <v>128</v>
      </c>
      <c r="H597" s="2">
        <v>0.52083333333333337</v>
      </c>
      <c r="I597" s="2">
        <v>0.85416666666666663</v>
      </c>
      <c r="J597" t="s">
        <v>101</v>
      </c>
      <c r="L597" t="s">
        <v>159</v>
      </c>
      <c r="M597" t="s">
        <v>842</v>
      </c>
      <c r="N597" t="s">
        <v>1247</v>
      </c>
      <c r="O597">
        <v>5951105</v>
      </c>
      <c r="Q597" t="s">
        <v>219</v>
      </c>
      <c r="R597" t="s">
        <v>556</v>
      </c>
      <c r="S597" t="s">
        <v>52</v>
      </c>
      <c r="U597">
        <v>891818</v>
      </c>
      <c r="V597" s="3">
        <v>46057.082638888889</v>
      </c>
      <c r="W597" t="s">
        <v>1249</v>
      </c>
      <c r="X597" t="s">
        <v>1250</v>
      </c>
      <c r="Y597" t="str">
        <f>"0407977988"</f>
        <v>0407977988</v>
      </c>
      <c r="Z597" t="s">
        <v>70</v>
      </c>
      <c r="AA597" s="1">
        <v>46078</v>
      </c>
      <c r="AB597" t="s">
        <v>222</v>
      </c>
      <c r="AD597" t="s">
        <v>168</v>
      </c>
      <c r="AE597" t="s">
        <v>223</v>
      </c>
      <c r="AF597">
        <v>5069</v>
      </c>
      <c r="AG597" t="s">
        <v>219</v>
      </c>
      <c r="AI597" t="s">
        <v>59</v>
      </c>
      <c r="AL597" t="s">
        <v>1417</v>
      </c>
      <c r="AN597" s="3">
        <v>46078.828472222223</v>
      </c>
      <c r="AO597" t="s">
        <v>1249</v>
      </c>
    </row>
    <row r="598" spans="1:41" x14ac:dyDescent="0.3">
      <c r="A598" t="s">
        <v>61</v>
      </c>
      <c r="B598" t="s">
        <v>620</v>
      </c>
      <c r="C598" t="s">
        <v>43</v>
      </c>
      <c r="D598" t="s">
        <v>63</v>
      </c>
      <c r="E598" s="1">
        <v>46078</v>
      </c>
      <c r="F598" t="s">
        <v>44</v>
      </c>
      <c r="G598" t="s">
        <v>128</v>
      </c>
      <c r="H598" s="2">
        <v>0.52083333333333337</v>
      </c>
      <c r="I598" s="2">
        <v>0.99861111111111112</v>
      </c>
      <c r="J598" t="s">
        <v>185</v>
      </c>
      <c r="L598" t="s">
        <v>784</v>
      </c>
      <c r="M598" t="s">
        <v>785</v>
      </c>
      <c r="N598" t="s">
        <v>786</v>
      </c>
      <c r="O598">
        <v>5951112</v>
      </c>
      <c r="Q598" t="s">
        <v>2572</v>
      </c>
      <c r="R598" t="s">
        <v>67</v>
      </c>
      <c r="S598" t="s">
        <v>52</v>
      </c>
      <c r="U598">
        <v>891821</v>
      </c>
      <c r="V598" s="3">
        <v>46066.44027777778</v>
      </c>
      <c r="W598" t="s">
        <v>787</v>
      </c>
      <c r="X598" t="s">
        <v>788</v>
      </c>
      <c r="Y598" t="str">
        <f>"0423329386"</f>
        <v>0423329386</v>
      </c>
      <c r="Z598" t="s">
        <v>1052</v>
      </c>
      <c r="AB598" t="s">
        <v>628</v>
      </c>
      <c r="AD598" t="s">
        <v>61</v>
      </c>
      <c r="AE598" t="s">
        <v>629</v>
      </c>
      <c r="AF598">
        <v>2305</v>
      </c>
      <c r="AG598" t="s">
        <v>630</v>
      </c>
      <c r="AI598" t="s">
        <v>59</v>
      </c>
      <c r="AL598" t="s">
        <v>2573</v>
      </c>
      <c r="AN598" s="3">
        <v>46078.847916666666</v>
      </c>
      <c r="AO598" t="s">
        <v>787</v>
      </c>
    </row>
    <row r="599" spans="1:41" x14ac:dyDescent="0.3">
      <c r="A599" t="s">
        <v>168</v>
      </c>
      <c r="B599" t="s">
        <v>326</v>
      </c>
      <c r="C599" t="s">
        <v>43</v>
      </c>
      <c r="D599" t="s">
        <v>127</v>
      </c>
      <c r="E599" s="1">
        <v>46078</v>
      </c>
      <c r="F599" t="s">
        <v>44</v>
      </c>
      <c r="G599" t="s">
        <v>128</v>
      </c>
      <c r="H599" s="2">
        <v>0.52083333333333337</v>
      </c>
      <c r="I599" s="2">
        <v>0.85416666666666663</v>
      </c>
      <c r="J599" t="s">
        <v>185</v>
      </c>
      <c r="L599" t="s">
        <v>186</v>
      </c>
      <c r="M599" t="s">
        <v>835</v>
      </c>
      <c r="N599" t="s">
        <v>836</v>
      </c>
      <c r="O599">
        <v>22947</v>
      </c>
      <c r="Q599" t="s">
        <v>676</v>
      </c>
      <c r="R599" t="s">
        <v>1934</v>
      </c>
      <c r="S599" t="s">
        <v>52</v>
      </c>
      <c r="U599">
        <v>891794</v>
      </c>
      <c r="V599" s="3">
        <v>46034.594444444447</v>
      </c>
      <c r="W599" t="s">
        <v>837</v>
      </c>
      <c r="X599" t="s">
        <v>838</v>
      </c>
      <c r="Y599" t="str">
        <f>"0415626656"</f>
        <v>0415626656</v>
      </c>
      <c r="Z599" t="s">
        <v>2574</v>
      </c>
      <c r="AB599" t="s">
        <v>333</v>
      </c>
      <c r="AD599" t="s">
        <v>168</v>
      </c>
      <c r="AE599" t="s">
        <v>334</v>
      </c>
      <c r="AF599">
        <v>5034</v>
      </c>
      <c r="AG599" t="s">
        <v>676</v>
      </c>
      <c r="AI599" t="s">
        <v>59</v>
      </c>
      <c r="AL599" t="s">
        <v>1121</v>
      </c>
      <c r="AN599" s="3">
        <v>46078.784722222219</v>
      </c>
      <c r="AO599" t="s">
        <v>837</v>
      </c>
    </row>
    <row r="600" spans="1:41" x14ac:dyDescent="0.3">
      <c r="A600" t="s">
        <v>41</v>
      </c>
      <c r="B600" t="s">
        <v>244</v>
      </c>
      <c r="C600" t="s">
        <v>245</v>
      </c>
      <c r="D600" t="s">
        <v>246</v>
      </c>
      <c r="E600" s="1">
        <v>46078</v>
      </c>
      <c r="F600" t="s">
        <v>44</v>
      </c>
      <c r="G600" t="s">
        <v>45</v>
      </c>
      <c r="H600" s="2">
        <v>0.52083333333333337</v>
      </c>
      <c r="I600" s="2">
        <v>0.875</v>
      </c>
      <c r="J600" t="s">
        <v>100</v>
      </c>
      <c r="L600" t="s">
        <v>452</v>
      </c>
      <c r="M600" t="s">
        <v>1122</v>
      </c>
      <c r="N600" t="s">
        <v>1123</v>
      </c>
      <c r="O600">
        <v>5951585</v>
      </c>
      <c r="P600" t="s">
        <v>249</v>
      </c>
      <c r="Q600" t="s">
        <v>250</v>
      </c>
      <c r="R600" t="s">
        <v>1124</v>
      </c>
      <c r="S600" t="s">
        <v>52</v>
      </c>
      <c r="T600" t="s">
        <v>252</v>
      </c>
      <c r="U600">
        <v>892198</v>
      </c>
      <c r="V600" s="3">
        <v>46083.347916666666</v>
      </c>
      <c r="W600" t="s">
        <v>1124</v>
      </c>
      <c r="X600" t="s">
        <v>1125</v>
      </c>
      <c r="Y600" t="str">
        <f>"0406622986"</f>
        <v>0406622986</v>
      </c>
      <c r="Z600" t="s">
        <v>345</v>
      </c>
      <c r="AA600" s="1">
        <v>46082</v>
      </c>
      <c r="AB600" t="s">
        <v>255</v>
      </c>
      <c r="AD600" t="s">
        <v>41</v>
      </c>
      <c r="AE600" t="s">
        <v>256</v>
      </c>
      <c r="AF600">
        <v>4655</v>
      </c>
      <c r="AG600" t="s">
        <v>257</v>
      </c>
      <c r="AI600" t="s">
        <v>59</v>
      </c>
      <c r="AJ600" t="str">
        <f>"0050076953"</f>
        <v>0050076953</v>
      </c>
      <c r="AN600" s="3">
        <v>46083.347916666666</v>
      </c>
      <c r="AO600" t="s">
        <v>1124</v>
      </c>
    </row>
    <row r="601" spans="1:41" x14ac:dyDescent="0.3">
      <c r="A601" t="s">
        <v>168</v>
      </c>
      <c r="B601" t="s">
        <v>215</v>
      </c>
      <c r="C601" t="s">
        <v>43</v>
      </c>
      <c r="D601" t="s">
        <v>127</v>
      </c>
      <c r="E601" s="1">
        <v>46078</v>
      </c>
      <c r="F601" t="s">
        <v>44</v>
      </c>
      <c r="G601" t="s">
        <v>128</v>
      </c>
      <c r="H601" s="2">
        <v>0.52083333333333337</v>
      </c>
      <c r="I601" s="2">
        <v>0.85416666666666663</v>
      </c>
      <c r="J601" t="s">
        <v>101</v>
      </c>
      <c r="L601" t="s">
        <v>159</v>
      </c>
      <c r="M601" t="s">
        <v>217</v>
      </c>
      <c r="N601" t="s">
        <v>218</v>
      </c>
      <c r="O601">
        <v>32</v>
      </c>
      <c r="Q601" t="s">
        <v>219</v>
      </c>
      <c r="R601" t="s">
        <v>556</v>
      </c>
      <c r="S601" t="s">
        <v>52</v>
      </c>
      <c r="U601">
        <v>891801</v>
      </c>
      <c r="V601" s="3">
        <v>46057.082638888889</v>
      </c>
      <c r="W601" t="s">
        <v>220</v>
      </c>
      <c r="X601" t="s">
        <v>221</v>
      </c>
      <c r="Y601" t="str">
        <f>"0426797353"</f>
        <v>0426797353</v>
      </c>
      <c r="Z601" t="s">
        <v>70</v>
      </c>
      <c r="AA601" s="1">
        <v>46078</v>
      </c>
      <c r="AB601" t="s">
        <v>222</v>
      </c>
      <c r="AD601" t="s">
        <v>168</v>
      </c>
      <c r="AE601" t="s">
        <v>223</v>
      </c>
      <c r="AF601">
        <v>5069</v>
      </c>
      <c r="AG601" t="s">
        <v>219</v>
      </c>
      <c r="AI601" t="s">
        <v>59</v>
      </c>
      <c r="AL601" t="s">
        <v>1417</v>
      </c>
      <c r="AN601" s="3">
        <v>46078.8</v>
      </c>
      <c r="AO601" t="s">
        <v>220</v>
      </c>
    </row>
    <row r="602" spans="1:41" x14ac:dyDescent="0.3">
      <c r="A602" t="s">
        <v>41</v>
      </c>
      <c r="B602" t="s">
        <v>965</v>
      </c>
      <c r="C602" t="s">
        <v>43</v>
      </c>
      <c r="D602" t="s">
        <v>966</v>
      </c>
      <c r="E602" s="1">
        <v>46078</v>
      </c>
      <c r="F602" t="s">
        <v>44</v>
      </c>
      <c r="G602" t="s">
        <v>128</v>
      </c>
      <c r="H602" s="2">
        <v>0.52083333333333337</v>
      </c>
      <c r="I602" s="2">
        <v>0.79166666666666663</v>
      </c>
      <c r="J602" t="s">
        <v>101</v>
      </c>
      <c r="L602" t="s">
        <v>2575</v>
      </c>
      <c r="M602" t="s">
        <v>2576</v>
      </c>
      <c r="N602" t="s">
        <v>2577</v>
      </c>
      <c r="O602">
        <v>5952360</v>
      </c>
      <c r="Q602" t="s">
        <v>2578</v>
      </c>
      <c r="R602" t="s">
        <v>51</v>
      </c>
      <c r="S602" t="s">
        <v>52</v>
      </c>
      <c r="U602">
        <v>891826</v>
      </c>
      <c r="V602" s="3">
        <v>46078.341666666667</v>
      </c>
      <c r="W602" t="s">
        <v>2579</v>
      </c>
      <c r="X602" t="s">
        <v>2580</v>
      </c>
      <c r="Y602" t="str">
        <f>"0451263547"</f>
        <v>0451263547</v>
      </c>
      <c r="Z602" t="s">
        <v>70</v>
      </c>
      <c r="AA602" s="1">
        <v>46078</v>
      </c>
      <c r="AB602" t="s">
        <v>972</v>
      </c>
      <c r="AD602" t="s">
        <v>41</v>
      </c>
      <c r="AE602" t="s">
        <v>973</v>
      </c>
      <c r="AF602">
        <v>4068</v>
      </c>
      <c r="AG602" t="s">
        <v>2581</v>
      </c>
      <c r="AI602" t="s">
        <v>59</v>
      </c>
      <c r="AL602" t="s">
        <v>2582</v>
      </c>
      <c r="AN602" s="3">
        <v>46078.873611111114</v>
      </c>
      <c r="AO602" t="s">
        <v>2579</v>
      </c>
    </row>
    <row r="603" spans="1:41" x14ac:dyDescent="0.3">
      <c r="A603" t="s">
        <v>41</v>
      </c>
      <c r="B603" t="s">
        <v>965</v>
      </c>
      <c r="C603" t="s">
        <v>43</v>
      </c>
      <c r="D603" t="s">
        <v>966</v>
      </c>
      <c r="E603" s="1">
        <v>46078</v>
      </c>
      <c r="F603" t="s">
        <v>44</v>
      </c>
      <c r="G603" t="s">
        <v>128</v>
      </c>
      <c r="H603" s="2">
        <v>0.52083333333333337</v>
      </c>
      <c r="I603" s="2">
        <v>0.79166666666666663</v>
      </c>
      <c r="J603" t="s">
        <v>101</v>
      </c>
      <c r="L603" t="s">
        <v>2575</v>
      </c>
      <c r="M603" t="s">
        <v>2576</v>
      </c>
      <c r="N603" t="s">
        <v>2577</v>
      </c>
      <c r="O603">
        <v>5952360</v>
      </c>
      <c r="Q603" t="s">
        <v>2578</v>
      </c>
      <c r="R603" t="s">
        <v>759</v>
      </c>
      <c r="S603" t="s">
        <v>119</v>
      </c>
      <c r="T603" t="s">
        <v>760</v>
      </c>
      <c r="U603" t="s">
        <v>2583</v>
      </c>
      <c r="V603" s="3">
        <v>46090.589583333334</v>
      </c>
      <c r="W603" t="s">
        <v>2579</v>
      </c>
      <c r="X603" t="s">
        <v>2580</v>
      </c>
      <c r="Y603" t="str">
        <f>"0451263547"</f>
        <v>0451263547</v>
      </c>
      <c r="Z603" t="s">
        <v>70</v>
      </c>
      <c r="AB603" t="s">
        <v>972</v>
      </c>
      <c r="AD603" t="s">
        <v>41</v>
      </c>
      <c r="AE603" t="s">
        <v>973</v>
      </c>
      <c r="AF603">
        <v>4068</v>
      </c>
      <c r="AG603" t="s">
        <v>2578</v>
      </c>
      <c r="AI603" t="s">
        <v>59</v>
      </c>
      <c r="AM603" t="s">
        <v>2584</v>
      </c>
      <c r="AN603" s="3">
        <v>46090.589583333334</v>
      </c>
      <c r="AO603" t="s">
        <v>759</v>
      </c>
    </row>
    <row r="604" spans="1:41" x14ac:dyDescent="0.3">
      <c r="A604" t="s">
        <v>41</v>
      </c>
      <c r="B604" t="s">
        <v>965</v>
      </c>
      <c r="C604" t="s">
        <v>43</v>
      </c>
      <c r="D604" t="s">
        <v>966</v>
      </c>
      <c r="E604" s="1">
        <v>46078</v>
      </c>
      <c r="F604" t="s">
        <v>44</v>
      </c>
      <c r="G604" t="s">
        <v>128</v>
      </c>
      <c r="H604" s="2">
        <v>0.52083333333333337</v>
      </c>
      <c r="I604" s="2">
        <v>0.79166666666666663</v>
      </c>
      <c r="J604" t="s">
        <v>101</v>
      </c>
      <c r="L604" t="s">
        <v>2575</v>
      </c>
      <c r="M604" t="s">
        <v>2576</v>
      </c>
      <c r="N604" t="s">
        <v>2577</v>
      </c>
      <c r="O604">
        <v>5952360</v>
      </c>
      <c r="Q604" t="s">
        <v>2578</v>
      </c>
      <c r="R604" t="s">
        <v>759</v>
      </c>
      <c r="S604" t="s">
        <v>119</v>
      </c>
      <c r="T604" t="s">
        <v>760</v>
      </c>
      <c r="U604" t="s">
        <v>2585</v>
      </c>
      <c r="V604" s="3">
        <v>46090.589583333334</v>
      </c>
      <c r="W604" t="s">
        <v>2579</v>
      </c>
      <c r="X604" t="s">
        <v>2580</v>
      </c>
      <c r="Y604" t="str">
        <f>"0451263547"</f>
        <v>0451263547</v>
      </c>
      <c r="Z604" t="s">
        <v>70</v>
      </c>
      <c r="AB604" t="s">
        <v>972</v>
      </c>
      <c r="AD604" t="s">
        <v>41</v>
      </c>
      <c r="AE604" t="s">
        <v>973</v>
      </c>
      <c r="AF604">
        <v>4068</v>
      </c>
      <c r="AG604" t="s">
        <v>2578</v>
      </c>
      <c r="AI604" t="s">
        <v>59</v>
      </c>
      <c r="AM604" t="s">
        <v>2584</v>
      </c>
      <c r="AN604" s="3">
        <v>46090.589583333334</v>
      </c>
      <c r="AO604" t="s">
        <v>759</v>
      </c>
    </row>
    <row r="605" spans="1:41" x14ac:dyDescent="0.3">
      <c r="A605" t="s">
        <v>168</v>
      </c>
      <c r="B605" t="s">
        <v>266</v>
      </c>
      <c r="D605" t="s">
        <v>268</v>
      </c>
      <c r="E605" s="1">
        <v>46078</v>
      </c>
      <c r="F605" t="s">
        <v>44</v>
      </c>
      <c r="G605" t="s">
        <v>128</v>
      </c>
      <c r="H605" s="2">
        <v>0.54166666666666663</v>
      </c>
      <c r="I605" s="2">
        <v>0.89583333333333337</v>
      </c>
      <c r="J605" t="s">
        <v>296</v>
      </c>
      <c r="K605" t="s">
        <v>297</v>
      </c>
      <c r="L605" t="s">
        <v>271</v>
      </c>
      <c r="M605" t="s">
        <v>272</v>
      </c>
      <c r="N605" t="s">
        <v>273</v>
      </c>
      <c r="O605">
        <v>5951312</v>
      </c>
      <c r="Q605" t="s">
        <v>274</v>
      </c>
      <c r="R605" t="s">
        <v>176</v>
      </c>
      <c r="S605" t="s">
        <v>52</v>
      </c>
      <c r="U605">
        <v>891820</v>
      </c>
      <c r="V605" s="3">
        <v>45993.429166666669</v>
      </c>
      <c r="W605" t="s">
        <v>275</v>
      </c>
      <c r="X605" t="s">
        <v>276</v>
      </c>
      <c r="Y605" t="str">
        <f>"0451788814"</f>
        <v>0451788814</v>
      </c>
      <c r="Z605" t="s">
        <v>2586</v>
      </c>
      <c r="AB605" t="s">
        <v>277</v>
      </c>
      <c r="AC605" t="s">
        <v>278</v>
      </c>
      <c r="AD605" t="s">
        <v>168</v>
      </c>
      <c r="AE605" t="s">
        <v>279</v>
      </c>
      <c r="AF605">
        <v>5092</v>
      </c>
      <c r="AG605" t="s">
        <v>274</v>
      </c>
      <c r="AI605" t="s">
        <v>59</v>
      </c>
      <c r="AL605" t="s">
        <v>2460</v>
      </c>
      <c r="AM605" t="s">
        <v>281</v>
      </c>
      <c r="AN605" s="3">
        <v>46078.839583333334</v>
      </c>
      <c r="AO605" t="s">
        <v>275</v>
      </c>
    </row>
    <row r="606" spans="1:41" x14ac:dyDescent="0.3">
      <c r="A606" t="s">
        <v>61</v>
      </c>
      <c r="B606" t="s">
        <v>912</v>
      </c>
      <c r="C606" t="s">
        <v>913</v>
      </c>
      <c r="D606" t="s">
        <v>184</v>
      </c>
      <c r="E606" s="1">
        <v>46078</v>
      </c>
      <c r="F606" t="s">
        <v>44</v>
      </c>
      <c r="G606" t="s">
        <v>128</v>
      </c>
      <c r="H606" s="2">
        <v>0.54166666666666663</v>
      </c>
      <c r="I606" s="2">
        <v>0.99861111111111112</v>
      </c>
      <c r="J606" t="s">
        <v>46</v>
      </c>
      <c r="L606" t="s">
        <v>47</v>
      </c>
      <c r="M606" t="s">
        <v>1578</v>
      </c>
      <c r="N606" t="s">
        <v>1803</v>
      </c>
      <c r="O606">
        <v>5950668</v>
      </c>
      <c r="Q606" t="s">
        <v>916</v>
      </c>
      <c r="R606" t="s">
        <v>67</v>
      </c>
      <c r="S606" t="s">
        <v>52</v>
      </c>
      <c r="U606">
        <v>891803</v>
      </c>
      <c r="V606" s="3">
        <v>46077.584027777775</v>
      </c>
      <c r="W606" t="s">
        <v>1804</v>
      </c>
      <c r="X606" t="s">
        <v>1805</v>
      </c>
      <c r="Y606" t="str">
        <f>"0429048174"</f>
        <v>0429048174</v>
      </c>
      <c r="Z606" t="s">
        <v>70</v>
      </c>
      <c r="AA606" s="1">
        <v>46078</v>
      </c>
      <c r="AB606" t="s">
        <v>920</v>
      </c>
      <c r="AC606" t="s">
        <v>921</v>
      </c>
      <c r="AD606" t="s">
        <v>61</v>
      </c>
      <c r="AE606" t="s">
        <v>922</v>
      </c>
      <c r="AF606">
        <v>2228</v>
      </c>
      <c r="AG606" t="s">
        <v>916</v>
      </c>
      <c r="AI606" t="s">
        <v>59</v>
      </c>
      <c r="AL606" t="s">
        <v>2587</v>
      </c>
      <c r="AN606" s="3">
        <v>46078.804166666669</v>
      </c>
      <c r="AO606" t="s">
        <v>1804</v>
      </c>
    </row>
    <row r="607" spans="1:41" x14ac:dyDescent="0.3">
      <c r="A607" t="s">
        <v>61</v>
      </c>
      <c r="B607" t="s">
        <v>655</v>
      </c>
      <c r="C607" t="s">
        <v>43</v>
      </c>
      <c r="D607" t="s">
        <v>656</v>
      </c>
      <c r="E607" s="1">
        <v>46078</v>
      </c>
      <c r="F607" t="s">
        <v>44</v>
      </c>
      <c r="G607" t="s">
        <v>128</v>
      </c>
      <c r="H607" s="2">
        <v>0.54166666666666663</v>
      </c>
      <c r="I607" s="2">
        <v>0.99861111111111112</v>
      </c>
      <c r="J607" t="s">
        <v>185</v>
      </c>
      <c r="K607" t="s">
        <v>327</v>
      </c>
      <c r="L607" t="s">
        <v>186</v>
      </c>
      <c r="M607" t="s">
        <v>2588</v>
      </c>
      <c r="N607" t="s">
        <v>2589</v>
      </c>
      <c r="O607">
        <v>5951854</v>
      </c>
      <c r="Q607" t="s">
        <v>2590</v>
      </c>
      <c r="R607" t="s">
        <v>132</v>
      </c>
      <c r="S607" t="s">
        <v>52</v>
      </c>
      <c r="U607">
        <v>891845</v>
      </c>
      <c r="V607" s="3">
        <v>46028.415277777778</v>
      </c>
      <c r="W607" t="s">
        <v>2591</v>
      </c>
      <c r="X607" t="s">
        <v>2592</v>
      </c>
      <c r="Y607" t="str">
        <f>"0452497186"</f>
        <v>0452497186</v>
      </c>
      <c r="Z607" t="s">
        <v>2593</v>
      </c>
      <c r="AB607" t="s">
        <v>662</v>
      </c>
      <c r="AC607" t="s">
        <v>663</v>
      </c>
      <c r="AD607" t="s">
        <v>61</v>
      </c>
      <c r="AE607" t="s">
        <v>664</v>
      </c>
      <c r="AF607">
        <v>2067</v>
      </c>
      <c r="AG607" t="s">
        <v>665</v>
      </c>
      <c r="AI607" t="s">
        <v>59</v>
      </c>
      <c r="AL607" t="s">
        <v>2443</v>
      </c>
      <c r="AN607" s="3">
        <v>46078.92291666667</v>
      </c>
      <c r="AO607" t="s">
        <v>2591</v>
      </c>
    </row>
    <row r="608" spans="1:41" x14ac:dyDescent="0.3">
      <c r="A608" t="s">
        <v>168</v>
      </c>
      <c r="B608" t="s">
        <v>409</v>
      </c>
      <c r="C608" t="s">
        <v>1727</v>
      </c>
      <c r="D608" t="s">
        <v>309</v>
      </c>
      <c r="E608" s="1">
        <v>46078</v>
      </c>
      <c r="F608" t="s">
        <v>44</v>
      </c>
      <c r="G608" t="s">
        <v>128</v>
      </c>
      <c r="H608" s="2">
        <v>0.54166666666666663</v>
      </c>
      <c r="I608" s="2">
        <v>0.875</v>
      </c>
      <c r="J608" t="s">
        <v>1875</v>
      </c>
      <c r="K608" t="s">
        <v>171</v>
      </c>
      <c r="L608" t="s">
        <v>204</v>
      </c>
      <c r="M608" t="s">
        <v>1876</v>
      </c>
      <c r="N608" t="s">
        <v>1877</v>
      </c>
      <c r="O608">
        <v>22978</v>
      </c>
      <c r="Q608" t="s">
        <v>413</v>
      </c>
      <c r="R608" t="s">
        <v>500</v>
      </c>
      <c r="S608" t="s">
        <v>119</v>
      </c>
      <c r="U608">
        <v>892177</v>
      </c>
      <c r="V608" s="3">
        <v>46077.987500000003</v>
      </c>
      <c r="W608" t="s">
        <v>1878</v>
      </c>
      <c r="X608" t="s">
        <v>1879</v>
      </c>
      <c r="Y608" t="str">
        <f>"0401845401"</f>
        <v>0401845401</v>
      </c>
      <c r="Z608" t="s">
        <v>70</v>
      </c>
      <c r="AB608" t="s">
        <v>417</v>
      </c>
      <c r="AD608" t="s">
        <v>168</v>
      </c>
      <c r="AE608" t="s">
        <v>384</v>
      </c>
      <c r="AF608">
        <v>5000</v>
      </c>
      <c r="AI608" t="s">
        <v>59</v>
      </c>
      <c r="AL608" t="s">
        <v>2594</v>
      </c>
      <c r="AM608" t="s">
        <v>2594</v>
      </c>
      <c r="AN608" s="3">
        <v>46078.343055555553</v>
      </c>
      <c r="AO608" t="s">
        <v>231</v>
      </c>
    </row>
    <row r="609" spans="1:41" x14ac:dyDescent="0.3">
      <c r="A609" t="s">
        <v>168</v>
      </c>
      <c r="B609" t="s">
        <v>282</v>
      </c>
      <c r="C609" t="s">
        <v>43</v>
      </c>
      <c r="D609" t="s">
        <v>283</v>
      </c>
      <c r="E609" s="1">
        <v>46078</v>
      </c>
      <c r="F609" t="s">
        <v>44</v>
      </c>
      <c r="G609" t="s">
        <v>128</v>
      </c>
      <c r="H609" s="2">
        <v>0.54166666666666663</v>
      </c>
      <c r="I609" s="2">
        <v>0.77083333333333337</v>
      </c>
      <c r="J609" t="s">
        <v>185</v>
      </c>
      <c r="K609" t="s">
        <v>284</v>
      </c>
      <c r="L609" t="s">
        <v>186</v>
      </c>
      <c r="M609" t="s">
        <v>2532</v>
      </c>
      <c r="N609" t="s">
        <v>2533</v>
      </c>
      <c r="O609">
        <v>22897</v>
      </c>
      <c r="Q609" t="s">
        <v>287</v>
      </c>
      <c r="R609" t="s">
        <v>231</v>
      </c>
      <c r="S609" t="s">
        <v>52</v>
      </c>
      <c r="U609">
        <v>891797</v>
      </c>
      <c r="V609" s="3">
        <v>46077.462500000001</v>
      </c>
      <c r="W609" t="s">
        <v>2534</v>
      </c>
      <c r="X609" t="s">
        <v>2535</v>
      </c>
      <c r="Y609" t="str">
        <f>"0413562918"</f>
        <v>0413562918</v>
      </c>
      <c r="Z609" t="s">
        <v>2595</v>
      </c>
      <c r="AA609" s="1">
        <v>46078</v>
      </c>
      <c r="AB609" t="s">
        <v>291</v>
      </c>
      <c r="AC609" t="s">
        <v>292</v>
      </c>
      <c r="AD609" t="s">
        <v>168</v>
      </c>
      <c r="AE609" t="s">
        <v>293</v>
      </c>
      <c r="AF609">
        <v>5037</v>
      </c>
      <c r="AG609" t="s">
        <v>287</v>
      </c>
      <c r="AI609" t="s">
        <v>59</v>
      </c>
      <c r="AL609" t="s">
        <v>2596</v>
      </c>
      <c r="AN609" s="3">
        <v>46078.790277777778</v>
      </c>
      <c r="AO609" t="s">
        <v>2534</v>
      </c>
    </row>
    <row r="610" spans="1:41" x14ac:dyDescent="0.3">
      <c r="A610" t="s">
        <v>41</v>
      </c>
      <c r="B610" t="s">
        <v>551</v>
      </c>
      <c r="C610" t="s">
        <v>296</v>
      </c>
      <c r="D610" t="s">
        <v>246</v>
      </c>
      <c r="E610" s="1">
        <v>46078</v>
      </c>
      <c r="F610" t="s">
        <v>44</v>
      </c>
      <c r="G610" t="s">
        <v>128</v>
      </c>
      <c r="H610" s="2">
        <v>0.54166666666666663</v>
      </c>
      <c r="I610" s="2">
        <v>0.89583333333333337</v>
      </c>
      <c r="J610" t="s">
        <v>552</v>
      </c>
      <c r="K610" t="s">
        <v>553</v>
      </c>
      <c r="L610" t="s">
        <v>428</v>
      </c>
      <c r="M610" t="s">
        <v>429</v>
      </c>
      <c r="N610" t="s">
        <v>430</v>
      </c>
      <c r="O610">
        <v>5950727</v>
      </c>
      <c r="Q610" t="s">
        <v>1401</v>
      </c>
      <c r="R610" t="s">
        <v>51</v>
      </c>
      <c r="S610" t="s">
        <v>52</v>
      </c>
      <c r="U610">
        <v>891846</v>
      </c>
      <c r="V610" s="3">
        <v>46078.402777777781</v>
      </c>
      <c r="W610" t="s">
        <v>432</v>
      </c>
      <c r="X610" t="s">
        <v>433</v>
      </c>
      <c r="Y610" t="str">
        <f>"0420946792"</f>
        <v>0420946792</v>
      </c>
      <c r="Z610" t="s">
        <v>123</v>
      </c>
      <c r="AB610" t="s">
        <v>559</v>
      </c>
      <c r="AD610" t="s">
        <v>41</v>
      </c>
      <c r="AE610" t="s">
        <v>560</v>
      </c>
      <c r="AF610">
        <v>4131</v>
      </c>
      <c r="AG610" t="s">
        <v>2597</v>
      </c>
      <c r="AI610" t="s">
        <v>59</v>
      </c>
      <c r="AL610" t="s">
        <v>2598</v>
      </c>
      <c r="AN610" s="3">
        <v>46078.924305555556</v>
      </c>
      <c r="AO610" t="s">
        <v>432</v>
      </c>
    </row>
    <row r="611" spans="1:41" x14ac:dyDescent="0.3">
      <c r="A611" t="s">
        <v>168</v>
      </c>
      <c r="B611" t="s">
        <v>1178</v>
      </c>
      <c r="C611" t="s">
        <v>43</v>
      </c>
      <c r="D611" t="s">
        <v>127</v>
      </c>
      <c r="E611" s="1">
        <v>46078</v>
      </c>
      <c r="F611" t="s">
        <v>44</v>
      </c>
      <c r="G611" t="s">
        <v>128</v>
      </c>
      <c r="H611" s="2">
        <v>0.54166666666666663</v>
      </c>
      <c r="I611" s="2">
        <v>0.875</v>
      </c>
      <c r="J611" t="s">
        <v>185</v>
      </c>
      <c r="K611" t="s">
        <v>1507</v>
      </c>
      <c r="L611" t="s">
        <v>186</v>
      </c>
      <c r="M611" t="s">
        <v>2599</v>
      </c>
      <c r="N611" t="s">
        <v>465</v>
      </c>
      <c r="O611">
        <v>5951034</v>
      </c>
      <c r="Q611" t="s">
        <v>2047</v>
      </c>
      <c r="R611" t="s">
        <v>176</v>
      </c>
      <c r="S611" t="s">
        <v>52</v>
      </c>
      <c r="U611">
        <v>891799</v>
      </c>
      <c r="V611" s="3">
        <v>46071.410416666666</v>
      </c>
      <c r="W611" t="s">
        <v>2600</v>
      </c>
      <c r="X611" t="s">
        <v>2601</v>
      </c>
      <c r="Y611" t="str">
        <f>"0428891981"</f>
        <v>0428891981</v>
      </c>
      <c r="Z611" t="s">
        <v>70</v>
      </c>
      <c r="AA611" s="1">
        <v>46078</v>
      </c>
      <c r="AB611" t="s">
        <v>1184</v>
      </c>
      <c r="AD611" t="s">
        <v>168</v>
      </c>
      <c r="AE611" t="s">
        <v>1185</v>
      </c>
      <c r="AF611">
        <v>5066</v>
      </c>
      <c r="AG611" t="s">
        <v>2602</v>
      </c>
      <c r="AI611" t="s">
        <v>59</v>
      </c>
      <c r="AL611" t="s">
        <v>1417</v>
      </c>
      <c r="AN611" s="3">
        <v>46078.795138888891</v>
      </c>
      <c r="AO611" t="s">
        <v>2600</v>
      </c>
    </row>
    <row r="612" spans="1:41" x14ac:dyDescent="0.3">
      <c r="A612" t="s">
        <v>168</v>
      </c>
      <c r="B612" t="s">
        <v>1178</v>
      </c>
      <c r="C612" t="s">
        <v>1150</v>
      </c>
      <c r="D612" t="s">
        <v>127</v>
      </c>
      <c r="E612" s="1">
        <v>46078</v>
      </c>
      <c r="F612" t="s">
        <v>44</v>
      </c>
      <c r="G612" t="s">
        <v>128</v>
      </c>
      <c r="H612" s="2">
        <v>0.54166666666666663</v>
      </c>
      <c r="I612" s="2">
        <v>0.875</v>
      </c>
      <c r="J612" t="s">
        <v>101</v>
      </c>
      <c r="L612" t="s">
        <v>159</v>
      </c>
      <c r="M612" t="s">
        <v>1023</v>
      </c>
      <c r="N612" t="s">
        <v>1024</v>
      </c>
      <c r="O612">
        <v>22730</v>
      </c>
      <c r="P612" t="s">
        <v>2388</v>
      </c>
      <c r="Q612" t="s">
        <v>2389</v>
      </c>
      <c r="R612" t="s">
        <v>231</v>
      </c>
      <c r="S612" t="s">
        <v>52</v>
      </c>
      <c r="U612">
        <v>891793</v>
      </c>
      <c r="V612" s="3">
        <v>46043.511805555558</v>
      </c>
      <c r="W612" t="s">
        <v>1027</v>
      </c>
      <c r="X612" t="s">
        <v>1028</v>
      </c>
      <c r="Y612" t="str">
        <f>"0402354674"</f>
        <v>0402354674</v>
      </c>
      <c r="Z612" t="s">
        <v>2531</v>
      </c>
      <c r="AB612" t="s">
        <v>1184</v>
      </c>
      <c r="AD612" t="s">
        <v>168</v>
      </c>
      <c r="AE612" t="s">
        <v>1185</v>
      </c>
      <c r="AF612">
        <v>5066</v>
      </c>
      <c r="AG612" t="s">
        <v>2047</v>
      </c>
      <c r="AI612" t="s">
        <v>59</v>
      </c>
      <c r="AL612" t="s">
        <v>1417</v>
      </c>
      <c r="AN612" s="3">
        <v>46078.782638888886</v>
      </c>
      <c r="AO612" t="s">
        <v>1027</v>
      </c>
    </row>
    <row r="613" spans="1:41" x14ac:dyDescent="0.3">
      <c r="A613" t="s">
        <v>168</v>
      </c>
      <c r="B613" t="s">
        <v>266</v>
      </c>
      <c r="D613" t="s">
        <v>268</v>
      </c>
      <c r="E613" s="1">
        <v>46078</v>
      </c>
      <c r="F613" t="s">
        <v>44</v>
      </c>
      <c r="G613" t="s">
        <v>128</v>
      </c>
      <c r="H613" s="2">
        <v>0.54166666666666663</v>
      </c>
      <c r="I613" s="2">
        <v>0.89583333333333337</v>
      </c>
      <c r="J613" t="s">
        <v>296</v>
      </c>
      <c r="K613" t="s">
        <v>297</v>
      </c>
      <c r="L613" t="s">
        <v>2603</v>
      </c>
      <c r="M613" t="s">
        <v>1365</v>
      </c>
      <c r="N613" t="s">
        <v>1365</v>
      </c>
      <c r="O613">
        <v>22974</v>
      </c>
      <c r="Q613" t="s">
        <v>274</v>
      </c>
      <c r="R613" t="s">
        <v>176</v>
      </c>
      <c r="S613" t="s">
        <v>52</v>
      </c>
      <c r="U613">
        <v>891844</v>
      </c>
      <c r="V613" s="3">
        <v>45993.540277777778</v>
      </c>
      <c r="W613" t="s">
        <v>2604</v>
      </c>
      <c r="X613" t="s">
        <v>2605</v>
      </c>
      <c r="Y613" t="str">
        <f>"0426662717"</f>
        <v>0426662717</v>
      </c>
      <c r="Z613" t="s">
        <v>70</v>
      </c>
      <c r="AB613" t="s">
        <v>277</v>
      </c>
      <c r="AC613" t="s">
        <v>278</v>
      </c>
      <c r="AD613" t="s">
        <v>168</v>
      </c>
      <c r="AE613" t="s">
        <v>279</v>
      </c>
      <c r="AF613">
        <v>5092</v>
      </c>
      <c r="AG613" t="s">
        <v>274</v>
      </c>
      <c r="AI613" t="s">
        <v>59</v>
      </c>
      <c r="AL613" t="s">
        <v>2460</v>
      </c>
      <c r="AM613" t="s">
        <v>281</v>
      </c>
      <c r="AN613" s="3">
        <v>46078.92083333333</v>
      </c>
      <c r="AO613" t="s">
        <v>2604</v>
      </c>
    </row>
    <row r="614" spans="1:41" x14ac:dyDescent="0.3">
      <c r="A614" t="s">
        <v>168</v>
      </c>
      <c r="B614" t="s">
        <v>2606</v>
      </c>
      <c r="C614" t="s">
        <v>2607</v>
      </c>
      <c r="D614" t="s">
        <v>268</v>
      </c>
      <c r="E614" s="1">
        <v>46078</v>
      </c>
      <c r="F614" t="s">
        <v>44</v>
      </c>
      <c r="G614" t="s">
        <v>128</v>
      </c>
      <c r="H614" s="2">
        <v>0.54166666666666663</v>
      </c>
      <c r="I614" s="2">
        <v>0.89583333333333337</v>
      </c>
      <c r="J614" t="s">
        <v>1314</v>
      </c>
      <c r="K614" t="s">
        <v>849</v>
      </c>
      <c r="L614" t="s">
        <v>339</v>
      </c>
      <c r="M614" t="s">
        <v>340</v>
      </c>
      <c r="N614" t="s">
        <v>341</v>
      </c>
      <c r="O614">
        <v>5951711</v>
      </c>
      <c r="Q614" t="s">
        <v>705</v>
      </c>
      <c r="R614" t="s">
        <v>231</v>
      </c>
      <c r="S614" t="s">
        <v>119</v>
      </c>
      <c r="T614" t="s">
        <v>1932</v>
      </c>
      <c r="U614">
        <v>892210</v>
      </c>
      <c r="V614" s="3">
        <v>46077.625694444447</v>
      </c>
      <c r="W614" t="s">
        <v>343</v>
      </c>
      <c r="X614" t="s">
        <v>344</v>
      </c>
      <c r="Y614" t="str">
        <f>"0422996486"</f>
        <v>0422996486</v>
      </c>
      <c r="Z614" t="s">
        <v>70</v>
      </c>
      <c r="AB614" t="s">
        <v>2608</v>
      </c>
      <c r="AC614" t="s">
        <v>2609</v>
      </c>
      <c r="AD614" t="s">
        <v>168</v>
      </c>
      <c r="AE614" t="s">
        <v>2610</v>
      </c>
      <c r="AF614">
        <v>5211</v>
      </c>
      <c r="AI614" t="s">
        <v>59</v>
      </c>
      <c r="AL614" t="s">
        <v>2611</v>
      </c>
      <c r="AM614" t="s">
        <v>2612</v>
      </c>
      <c r="AN614" s="3">
        <v>46077.634722222225</v>
      </c>
      <c r="AO614" t="s">
        <v>231</v>
      </c>
    </row>
    <row r="615" spans="1:41" x14ac:dyDescent="0.3">
      <c r="A615" t="s">
        <v>41</v>
      </c>
      <c r="B615" t="s">
        <v>426</v>
      </c>
      <c r="C615" t="s">
        <v>296</v>
      </c>
      <c r="D615" t="s">
        <v>246</v>
      </c>
      <c r="E615" s="1">
        <v>46055</v>
      </c>
      <c r="F615" t="s">
        <v>569</v>
      </c>
      <c r="G615" t="s">
        <v>485</v>
      </c>
      <c r="H615" s="2">
        <v>0.94791666666666663</v>
      </c>
      <c r="I615" s="2">
        <v>0.30208333333333331</v>
      </c>
      <c r="J615" t="s">
        <v>464</v>
      </c>
      <c r="L615" t="s">
        <v>540</v>
      </c>
      <c r="M615" t="s">
        <v>563</v>
      </c>
      <c r="N615" t="s">
        <v>564</v>
      </c>
      <c r="O615">
        <v>402477</v>
      </c>
      <c r="Q615" t="s">
        <v>2613</v>
      </c>
      <c r="R615" t="s">
        <v>1248</v>
      </c>
      <c r="S615" t="s">
        <v>52</v>
      </c>
      <c r="U615">
        <v>889137</v>
      </c>
      <c r="V615" s="3">
        <v>46055.790277777778</v>
      </c>
      <c r="W615" t="s">
        <v>565</v>
      </c>
      <c r="X615" t="s">
        <v>566</v>
      </c>
      <c r="Y615" t="str">
        <f>"0417873276"</f>
        <v>0417873276</v>
      </c>
      <c r="Z615" t="s">
        <v>70</v>
      </c>
      <c r="AA615" s="1">
        <v>46055</v>
      </c>
      <c r="AB615" t="s">
        <v>434</v>
      </c>
      <c r="AD615" t="s">
        <v>41</v>
      </c>
      <c r="AE615" t="s">
        <v>435</v>
      </c>
      <c r="AF615">
        <v>4163</v>
      </c>
      <c r="AG615" t="s">
        <v>2613</v>
      </c>
      <c r="AI615" t="s">
        <v>59</v>
      </c>
      <c r="AL615" t="s">
        <v>87</v>
      </c>
      <c r="AN615" s="3">
        <v>46056.34375</v>
      </c>
      <c r="AO615" t="s">
        <v>565</v>
      </c>
    </row>
    <row r="616" spans="1:41" x14ac:dyDescent="0.3">
      <c r="A616" t="s">
        <v>41</v>
      </c>
      <c r="B616" t="s">
        <v>2614</v>
      </c>
      <c r="C616" t="s">
        <v>296</v>
      </c>
      <c r="D616" t="s">
        <v>246</v>
      </c>
      <c r="E616" s="1">
        <v>46055</v>
      </c>
      <c r="F616" t="s">
        <v>569</v>
      </c>
      <c r="G616" t="s">
        <v>485</v>
      </c>
      <c r="H616" s="2">
        <v>0.94791666666666663</v>
      </c>
      <c r="I616" s="2">
        <v>0.30208333333333331</v>
      </c>
      <c r="J616" t="s">
        <v>296</v>
      </c>
      <c r="K616" t="s">
        <v>427</v>
      </c>
      <c r="L616" t="s">
        <v>633</v>
      </c>
      <c r="M616" t="s">
        <v>2615</v>
      </c>
      <c r="N616" t="s">
        <v>2616</v>
      </c>
      <c r="O616">
        <v>5952430</v>
      </c>
      <c r="Q616" t="s">
        <v>2617</v>
      </c>
      <c r="R616" t="s">
        <v>1472</v>
      </c>
      <c r="S616" t="s">
        <v>52</v>
      </c>
      <c r="U616">
        <v>889138</v>
      </c>
      <c r="V616" s="3">
        <v>46050.395833333336</v>
      </c>
      <c r="W616" t="s">
        <v>2618</v>
      </c>
      <c r="X616" t="s">
        <v>2619</v>
      </c>
      <c r="Y616" t="str">
        <f>"0452176928"</f>
        <v>0452176928</v>
      </c>
      <c r="Z616" t="s">
        <v>545</v>
      </c>
      <c r="AA616" s="1">
        <v>46055</v>
      </c>
      <c r="AB616" t="s">
        <v>2620</v>
      </c>
      <c r="AD616" t="s">
        <v>41</v>
      </c>
      <c r="AE616" t="s">
        <v>2621</v>
      </c>
      <c r="AF616">
        <v>4510</v>
      </c>
      <c r="AG616" t="s">
        <v>2009</v>
      </c>
      <c r="AI616" t="s">
        <v>59</v>
      </c>
      <c r="AL616" t="s">
        <v>2622</v>
      </c>
      <c r="AN616" s="3">
        <v>46056.35</v>
      </c>
      <c r="AO616" t="s">
        <v>2618</v>
      </c>
    </row>
    <row r="617" spans="1:41" x14ac:dyDescent="0.3">
      <c r="A617" t="s">
        <v>306</v>
      </c>
      <c r="B617" t="s">
        <v>1334</v>
      </c>
      <c r="C617" t="s">
        <v>2623</v>
      </c>
      <c r="D617" t="s">
        <v>1336</v>
      </c>
      <c r="E617" s="1">
        <v>46055</v>
      </c>
      <c r="F617" t="s">
        <v>569</v>
      </c>
      <c r="G617" t="s">
        <v>485</v>
      </c>
      <c r="H617" s="2">
        <v>0.95833333333333337</v>
      </c>
      <c r="I617" s="2">
        <v>0.25</v>
      </c>
      <c r="J617" t="s">
        <v>1524</v>
      </c>
      <c r="L617" t="s">
        <v>1524</v>
      </c>
      <c r="M617" t="s">
        <v>1525</v>
      </c>
      <c r="N617" t="s">
        <v>1526</v>
      </c>
      <c r="O617">
        <v>5951852</v>
      </c>
      <c r="P617" t="s">
        <v>2624</v>
      </c>
      <c r="Q617" t="s">
        <v>2625</v>
      </c>
      <c r="R617" t="s">
        <v>145</v>
      </c>
      <c r="S617" t="s">
        <v>52</v>
      </c>
      <c r="U617">
        <v>889130</v>
      </c>
      <c r="V617" s="3">
        <v>46046.74722222222</v>
      </c>
      <c r="W617" t="s">
        <v>1527</v>
      </c>
      <c r="X617" t="s">
        <v>1528</v>
      </c>
      <c r="Y617" t="str">
        <f>"0413379513"</f>
        <v>0413379513</v>
      </c>
      <c r="Z617" t="s">
        <v>70</v>
      </c>
      <c r="AB617" t="s">
        <v>1342</v>
      </c>
      <c r="AD617" t="s">
        <v>306</v>
      </c>
      <c r="AE617" t="s">
        <v>1343</v>
      </c>
      <c r="AF617">
        <v>3144</v>
      </c>
      <c r="AG617" t="s">
        <v>705</v>
      </c>
      <c r="AI617" t="s">
        <v>59</v>
      </c>
      <c r="AL617" t="s">
        <v>2626</v>
      </c>
      <c r="AN617" s="3">
        <v>46056.250694444447</v>
      </c>
      <c r="AO617" t="s">
        <v>1527</v>
      </c>
    </row>
    <row r="618" spans="1:41" x14ac:dyDescent="0.3">
      <c r="A618" t="s">
        <v>168</v>
      </c>
      <c r="B618" t="s">
        <v>376</v>
      </c>
      <c r="C618" t="s">
        <v>43</v>
      </c>
      <c r="D618" t="s">
        <v>127</v>
      </c>
      <c r="E618" s="1">
        <v>46056</v>
      </c>
      <c r="F618" t="s">
        <v>1376</v>
      </c>
      <c r="G618" t="s">
        <v>45</v>
      </c>
      <c r="H618" s="2">
        <v>0.25</v>
      </c>
      <c r="I618" s="2">
        <v>0.5</v>
      </c>
      <c r="J618" t="s">
        <v>185</v>
      </c>
      <c r="L618" t="s">
        <v>186</v>
      </c>
      <c r="M618" t="s">
        <v>867</v>
      </c>
      <c r="N618" t="s">
        <v>868</v>
      </c>
      <c r="O618">
        <v>5951869</v>
      </c>
      <c r="Q618" t="s">
        <v>1936</v>
      </c>
      <c r="R618" t="s">
        <v>231</v>
      </c>
      <c r="S618" t="s">
        <v>52</v>
      </c>
      <c r="U618">
        <v>889196</v>
      </c>
      <c r="V618" s="3">
        <v>46008.599305555559</v>
      </c>
      <c r="W618" t="s">
        <v>870</v>
      </c>
      <c r="X618" t="s">
        <v>871</v>
      </c>
      <c r="Y618" t="str">
        <f>"0435211342"</f>
        <v>0435211342</v>
      </c>
      <c r="Z618" t="s">
        <v>1155</v>
      </c>
      <c r="AB618" t="s">
        <v>383</v>
      </c>
      <c r="AD618" t="s">
        <v>168</v>
      </c>
      <c r="AE618" t="s">
        <v>384</v>
      </c>
      <c r="AF618">
        <v>5000</v>
      </c>
      <c r="AG618" t="s">
        <v>674</v>
      </c>
      <c r="AI618" t="s">
        <v>59</v>
      </c>
      <c r="AL618" t="s">
        <v>385</v>
      </c>
      <c r="AM618" t="s">
        <v>2627</v>
      </c>
      <c r="AN618" s="3">
        <v>46056.515277777777</v>
      </c>
      <c r="AO618" t="s">
        <v>870</v>
      </c>
    </row>
    <row r="619" spans="1:41" x14ac:dyDescent="0.3">
      <c r="A619" t="s">
        <v>41</v>
      </c>
      <c r="B619" t="s">
        <v>632</v>
      </c>
      <c r="D619" t="s">
        <v>246</v>
      </c>
      <c r="E619" s="1">
        <v>46056</v>
      </c>
      <c r="F619" t="s">
        <v>1376</v>
      </c>
      <c r="G619" t="s">
        <v>45</v>
      </c>
      <c r="H619" s="2">
        <v>0.27083333333333331</v>
      </c>
      <c r="I619" s="2">
        <v>0.625</v>
      </c>
      <c r="J619" t="s">
        <v>296</v>
      </c>
      <c r="K619" t="s">
        <v>427</v>
      </c>
      <c r="L619" t="s">
        <v>633</v>
      </c>
      <c r="M619" t="s">
        <v>2628</v>
      </c>
      <c r="N619" t="s">
        <v>2629</v>
      </c>
      <c r="O619">
        <v>402519</v>
      </c>
      <c r="Q619" t="s">
        <v>2630</v>
      </c>
      <c r="R619" t="s">
        <v>145</v>
      </c>
      <c r="S619" t="s">
        <v>52</v>
      </c>
      <c r="U619">
        <v>889220</v>
      </c>
      <c r="V619" s="3">
        <v>46025.954861111109</v>
      </c>
      <c r="W619" t="s">
        <v>2631</v>
      </c>
      <c r="X619" t="s">
        <v>2632</v>
      </c>
      <c r="Y619" t="str">
        <f>"0438953615"</f>
        <v>0438953615</v>
      </c>
      <c r="Z619" t="s">
        <v>2633</v>
      </c>
      <c r="AB619" t="s">
        <v>640</v>
      </c>
      <c r="AD619" t="s">
        <v>41</v>
      </c>
      <c r="AE619" t="s">
        <v>641</v>
      </c>
      <c r="AF619">
        <v>4305</v>
      </c>
      <c r="AG619" t="s">
        <v>642</v>
      </c>
      <c r="AI619" t="s">
        <v>59</v>
      </c>
      <c r="AL619" t="s">
        <v>2634</v>
      </c>
      <c r="AM619" t="s">
        <v>644</v>
      </c>
      <c r="AN619" s="3">
        <v>46056.678472222222</v>
      </c>
      <c r="AO619" t="s">
        <v>2631</v>
      </c>
    </row>
    <row r="620" spans="1:41" x14ac:dyDescent="0.3">
      <c r="A620" t="s">
        <v>61</v>
      </c>
      <c r="B620" t="s">
        <v>62</v>
      </c>
      <c r="C620" t="s">
        <v>43</v>
      </c>
      <c r="D620" t="s">
        <v>63</v>
      </c>
      <c r="E620" s="1">
        <v>46056</v>
      </c>
      <c r="F620" t="s">
        <v>1376</v>
      </c>
      <c r="G620" t="s">
        <v>45</v>
      </c>
      <c r="H620" s="2">
        <v>0.27083333333333331</v>
      </c>
      <c r="I620" s="2">
        <v>0.5</v>
      </c>
      <c r="J620" t="s">
        <v>185</v>
      </c>
      <c r="L620" t="s">
        <v>784</v>
      </c>
      <c r="M620" t="s">
        <v>785</v>
      </c>
      <c r="N620" t="s">
        <v>786</v>
      </c>
      <c r="O620">
        <v>5951112</v>
      </c>
      <c r="Q620" t="s">
        <v>73</v>
      </c>
      <c r="R620" t="s">
        <v>67</v>
      </c>
      <c r="S620" t="s">
        <v>52</v>
      </c>
      <c r="U620">
        <v>889195</v>
      </c>
      <c r="V620" s="3">
        <v>46055.613194444442</v>
      </c>
      <c r="W620" t="s">
        <v>787</v>
      </c>
      <c r="X620" t="s">
        <v>788</v>
      </c>
      <c r="Y620" t="str">
        <f>"0423329386"</f>
        <v>0423329386</v>
      </c>
      <c r="Z620" t="s">
        <v>70</v>
      </c>
      <c r="AA620" s="1">
        <v>46056</v>
      </c>
      <c r="AB620" t="s">
        <v>71</v>
      </c>
      <c r="AD620" t="s">
        <v>61</v>
      </c>
      <c r="AE620" t="s">
        <v>72</v>
      </c>
      <c r="AF620">
        <v>2747</v>
      </c>
      <c r="AG620" t="s">
        <v>73</v>
      </c>
      <c r="AI620" t="s">
        <v>59</v>
      </c>
      <c r="AL620" t="s">
        <v>2635</v>
      </c>
      <c r="AN620" s="3">
        <v>46056.509722222225</v>
      </c>
      <c r="AO620" t="s">
        <v>787</v>
      </c>
    </row>
    <row r="621" spans="1:41" x14ac:dyDescent="0.3">
      <c r="A621" t="s">
        <v>168</v>
      </c>
      <c r="B621" t="s">
        <v>225</v>
      </c>
      <c r="C621" t="s">
        <v>796</v>
      </c>
      <c r="D621" t="s">
        <v>227</v>
      </c>
      <c r="E621" s="1">
        <v>46056</v>
      </c>
      <c r="F621" t="s">
        <v>1376</v>
      </c>
      <c r="G621" t="s">
        <v>45</v>
      </c>
      <c r="H621" s="2">
        <v>0.27083333333333331</v>
      </c>
      <c r="I621" s="2">
        <v>0.52083333333333337</v>
      </c>
      <c r="J621" t="s">
        <v>185</v>
      </c>
      <c r="K621" t="s">
        <v>238</v>
      </c>
      <c r="L621" t="s">
        <v>186</v>
      </c>
      <c r="M621" t="s">
        <v>1927</v>
      </c>
      <c r="N621" t="s">
        <v>1928</v>
      </c>
      <c r="O621">
        <v>5951825</v>
      </c>
      <c r="Q621" t="s">
        <v>230</v>
      </c>
      <c r="R621" t="s">
        <v>231</v>
      </c>
      <c r="S621" t="s">
        <v>52</v>
      </c>
      <c r="U621">
        <v>889201</v>
      </c>
      <c r="V621" s="3">
        <v>46055.386111111111</v>
      </c>
      <c r="W621" t="s">
        <v>1929</v>
      </c>
      <c r="X621" t="s">
        <v>1930</v>
      </c>
      <c r="Y621" t="str">
        <f>"0439336812"</f>
        <v>0439336812</v>
      </c>
      <c r="Z621" t="s">
        <v>70</v>
      </c>
      <c r="AA621" s="1">
        <v>46056</v>
      </c>
      <c r="AB621" t="s">
        <v>235</v>
      </c>
      <c r="AD621" t="s">
        <v>168</v>
      </c>
      <c r="AE621" t="s">
        <v>236</v>
      </c>
      <c r="AF621">
        <v>5087</v>
      </c>
      <c r="AG621" t="s">
        <v>1426</v>
      </c>
      <c r="AI621" t="s">
        <v>59</v>
      </c>
      <c r="AL621" t="s">
        <v>2636</v>
      </c>
      <c r="AN621" s="3">
        <v>46056.556250000001</v>
      </c>
      <c r="AO621" t="s">
        <v>1929</v>
      </c>
    </row>
    <row r="622" spans="1:41" x14ac:dyDescent="0.3">
      <c r="A622" t="s">
        <v>61</v>
      </c>
      <c r="B622" t="s">
        <v>182</v>
      </c>
      <c r="C622" t="s">
        <v>183</v>
      </c>
      <c r="D622" t="s">
        <v>184</v>
      </c>
      <c r="E622" s="1">
        <v>46056</v>
      </c>
      <c r="F622" t="s">
        <v>1376</v>
      </c>
      <c r="G622" t="s">
        <v>45</v>
      </c>
      <c r="H622" s="2">
        <v>0.27083333333333331</v>
      </c>
      <c r="I622" s="2">
        <v>0.52083333333333337</v>
      </c>
      <c r="J622" t="s">
        <v>185</v>
      </c>
      <c r="L622" t="s">
        <v>186</v>
      </c>
      <c r="M622" t="s">
        <v>1395</v>
      </c>
      <c r="N622" t="s">
        <v>1396</v>
      </c>
      <c r="O622">
        <v>758</v>
      </c>
      <c r="Q622" t="s">
        <v>189</v>
      </c>
      <c r="R622" t="s">
        <v>132</v>
      </c>
      <c r="S622" t="s">
        <v>52</v>
      </c>
      <c r="U622">
        <v>889198</v>
      </c>
      <c r="V622" s="3">
        <v>46051.450694444444</v>
      </c>
      <c r="W622" t="s">
        <v>1397</v>
      </c>
      <c r="X622" t="s">
        <v>1398</v>
      </c>
      <c r="Y622" t="str">
        <f>"0402403886"</f>
        <v>0402403886</v>
      </c>
      <c r="Z622" t="s">
        <v>1478</v>
      </c>
      <c r="AB622" t="s">
        <v>193</v>
      </c>
      <c r="AD622" t="s">
        <v>61</v>
      </c>
      <c r="AE622" t="s">
        <v>194</v>
      </c>
      <c r="AF622">
        <v>2229</v>
      </c>
      <c r="AG622" t="s">
        <v>189</v>
      </c>
      <c r="AI622" t="s">
        <v>59</v>
      </c>
      <c r="AL622" t="s">
        <v>2635</v>
      </c>
      <c r="AN622" s="3">
        <v>46056.525694444441</v>
      </c>
      <c r="AO622" t="s">
        <v>1397</v>
      </c>
    </row>
    <row r="623" spans="1:41" x14ac:dyDescent="0.3">
      <c r="A623" t="s">
        <v>61</v>
      </c>
      <c r="B623" t="s">
        <v>182</v>
      </c>
      <c r="C623" t="s">
        <v>1732</v>
      </c>
      <c r="D623" t="s">
        <v>184</v>
      </c>
      <c r="E623" s="1">
        <v>46056</v>
      </c>
      <c r="F623" t="s">
        <v>1376</v>
      </c>
      <c r="G623" t="s">
        <v>45</v>
      </c>
      <c r="H623" s="2">
        <v>0.27083333333333331</v>
      </c>
      <c r="I623" s="2">
        <v>0.99861111111111112</v>
      </c>
      <c r="J623" t="s">
        <v>258</v>
      </c>
      <c r="L623" t="s">
        <v>159</v>
      </c>
      <c r="M623" t="s">
        <v>2637</v>
      </c>
      <c r="N623" t="s">
        <v>2638</v>
      </c>
      <c r="O623">
        <v>718</v>
      </c>
      <c r="Q623" t="s">
        <v>2639</v>
      </c>
      <c r="R623" t="s">
        <v>67</v>
      </c>
      <c r="S623" t="s">
        <v>52</v>
      </c>
      <c r="U623">
        <v>889240</v>
      </c>
      <c r="V623" s="3">
        <v>46044.464583333334</v>
      </c>
      <c r="W623" t="s">
        <v>2640</v>
      </c>
      <c r="X623" t="s">
        <v>2641</v>
      </c>
      <c r="Y623" t="str">
        <f>"0424960094"</f>
        <v>0424960094</v>
      </c>
      <c r="Z623" t="s">
        <v>84</v>
      </c>
      <c r="AB623" t="s">
        <v>193</v>
      </c>
      <c r="AD623" t="s">
        <v>61</v>
      </c>
      <c r="AE623" t="s">
        <v>194</v>
      </c>
      <c r="AF623">
        <v>2229</v>
      </c>
      <c r="AG623" t="s">
        <v>2639</v>
      </c>
      <c r="AI623" t="s">
        <v>59</v>
      </c>
      <c r="AL623" t="s">
        <v>2635</v>
      </c>
      <c r="AN623" s="3">
        <v>46056.787499999999</v>
      </c>
      <c r="AO623" t="s">
        <v>2640</v>
      </c>
    </row>
    <row r="624" spans="1:41" x14ac:dyDescent="0.3">
      <c r="A624" t="s">
        <v>41</v>
      </c>
      <c r="B624" t="s">
        <v>462</v>
      </c>
      <c r="C624" t="s">
        <v>296</v>
      </c>
      <c r="D624" t="s">
        <v>63</v>
      </c>
      <c r="E624" s="1">
        <v>46056</v>
      </c>
      <c r="F624" t="s">
        <v>1376</v>
      </c>
      <c r="G624" t="s">
        <v>45</v>
      </c>
      <c r="H624" s="2">
        <v>0.27083333333333331</v>
      </c>
      <c r="I624" s="2">
        <v>0.47916666666666669</v>
      </c>
      <c r="J624" t="s">
        <v>296</v>
      </c>
      <c r="L624" t="s">
        <v>298</v>
      </c>
      <c r="M624" t="s">
        <v>1401</v>
      </c>
      <c r="N624" t="s">
        <v>1402</v>
      </c>
      <c r="O624">
        <v>5952070</v>
      </c>
      <c r="Q624" t="s">
        <v>2642</v>
      </c>
      <c r="R624" t="s">
        <v>500</v>
      </c>
      <c r="S624" t="s">
        <v>52</v>
      </c>
      <c r="U624">
        <v>889197</v>
      </c>
      <c r="V624" s="3">
        <v>46055.943055555559</v>
      </c>
      <c r="W624" t="s">
        <v>1404</v>
      </c>
      <c r="X624" t="s">
        <v>1405</v>
      </c>
      <c r="Y624" t="str">
        <f>"0474506417"</f>
        <v>0474506417</v>
      </c>
      <c r="Z624" t="s">
        <v>70</v>
      </c>
      <c r="AA624" s="1">
        <v>46056</v>
      </c>
      <c r="AB624" t="s">
        <v>470</v>
      </c>
      <c r="AD624" t="s">
        <v>41</v>
      </c>
      <c r="AE624" t="s">
        <v>471</v>
      </c>
      <c r="AF624">
        <v>4000</v>
      </c>
      <c r="AG624" t="s">
        <v>2643</v>
      </c>
      <c r="AI624" t="s">
        <v>59</v>
      </c>
      <c r="AL624" t="s">
        <v>2644</v>
      </c>
      <c r="AN624" s="3">
        <v>46056.520833333336</v>
      </c>
      <c r="AO624" t="s">
        <v>1404</v>
      </c>
    </row>
    <row r="625" spans="1:41" x14ac:dyDescent="0.3">
      <c r="A625" t="s">
        <v>168</v>
      </c>
      <c r="B625" t="s">
        <v>215</v>
      </c>
      <c r="C625" t="s">
        <v>43</v>
      </c>
      <c r="D625" t="s">
        <v>127</v>
      </c>
      <c r="E625" s="1">
        <v>46056</v>
      </c>
      <c r="F625" t="s">
        <v>1376</v>
      </c>
      <c r="G625" t="s">
        <v>45</v>
      </c>
      <c r="H625" s="2">
        <v>0.27083333333333331</v>
      </c>
      <c r="I625" s="2">
        <v>0.58333333333333337</v>
      </c>
      <c r="J625" t="s">
        <v>258</v>
      </c>
      <c r="K625" t="s">
        <v>259</v>
      </c>
      <c r="L625" t="s">
        <v>186</v>
      </c>
      <c r="M625" t="s">
        <v>798</v>
      </c>
      <c r="N625" t="s">
        <v>799</v>
      </c>
      <c r="O625">
        <v>20875</v>
      </c>
      <c r="Q625" t="s">
        <v>219</v>
      </c>
      <c r="R625" t="s">
        <v>176</v>
      </c>
      <c r="S625" t="s">
        <v>52</v>
      </c>
      <c r="U625">
        <v>889210</v>
      </c>
      <c r="V625" s="3">
        <v>46043.772222222222</v>
      </c>
      <c r="W625" t="s">
        <v>800</v>
      </c>
      <c r="X625" t="s">
        <v>801</v>
      </c>
      <c r="Y625" t="str">
        <f>"0417001267"</f>
        <v>0417001267</v>
      </c>
      <c r="Z625" t="s">
        <v>2645</v>
      </c>
      <c r="AB625" t="s">
        <v>222</v>
      </c>
      <c r="AD625" t="s">
        <v>168</v>
      </c>
      <c r="AE625" t="s">
        <v>223</v>
      </c>
      <c r="AF625">
        <v>5069</v>
      </c>
      <c r="AG625" t="s">
        <v>219</v>
      </c>
      <c r="AI625" t="s">
        <v>59</v>
      </c>
      <c r="AL625" t="s">
        <v>1720</v>
      </c>
      <c r="AN625" s="3">
        <v>46056.624305555553</v>
      </c>
      <c r="AO625" t="s">
        <v>800</v>
      </c>
    </row>
    <row r="626" spans="1:41" x14ac:dyDescent="0.3">
      <c r="A626" t="s">
        <v>168</v>
      </c>
      <c r="B626" t="s">
        <v>225</v>
      </c>
      <c r="C626" t="s">
        <v>226</v>
      </c>
      <c r="D626" t="s">
        <v>227</v>
      </c>
      <c r="E626" s="1">
        <v>46056</v>
      </c>
      <c r="F626" t="s">
        <v>1376</v>
      </c>
      <c r="G626" t="s">
        <v>45</v>
      </c>
      <c r="H626" s="2">
        <v>0.29166666666666669</v>
      </c>
      <c r="I626" s="2">
        <v>0.54166666666666663</v>
      </c>
      <c r="J626" t="s">
        <v>101</v>
      </c>
      <c r="K626" t="s">
        <v>2646</v>
      </c>
      <c r="L626" t="s">
        <v>2647</v>
      </c>
      <c r="M626" t="s">
        <v>2648</v>
      </c>
      <c r="N626" t="s">
        <v>2649</v>
      </c>
      <c r="O626">
        <v>22802</v>
      </c>
      <c r="Q626" t="s">
        <v>1721</v>
      </c>
      <c r="R626" t="s">
        <v>1722</v>
      </c>
      <c r="S626" t="s">
        <v>52</v>
      </c>
      <c r="U626">
        <v>889200</v>
      </c>
      <c r="V626" s="3">
        <v>46007.73541666667</v>
      </c>
      <c r="W626" t="s">
        <v>2650</v>
      </c>
      <c r="X626" t="s">
        <v>2651</v>
      </c>
      <c r="Y626" t="str">
        <f>"0435434133"</f>
        <v>0435434133</v>
      </c>
      <c r="Z626" t="s">
        <v>254</v>
      </c>
      <c r="AB626" t="s">
        <v>235</v>
      </c>
      <c r="AD626" t="s">
        <v>168</v>
      </c>
      <c r="AE626" t="s">
        <v>236</v>
      </c>
      <c r="AF626">
        <v>5087</v>
      </c>
      <c r="AI626" t="s">
        <v>59</v>
      </c>
      <c r="AL626" t="s">
        <v>1723</v>
      </c>
      <c r="AM626" t="s">
        <v>2652</v>
      </c>
      <c r="AN626" s="3">
        <v>46056.554166666669</v>
      </c>
      <c r="AO626" t="s">
        <v>2650</v>
      </c>
    </row>
    <row r="627" spans="1:41" x14ac:dyDescent="0.3">
      <c r="A627" t="s">
        <v>61</v>
      </c>
      <c r="B627" t="s">
        <v>126</v>
      </c>
      <c r="C627" t="s">
        <v>43</v>
      </c>
      <c r="D627" t="s">
        <v>127</v>
      </c>
      <c r="E627" s="1">
        <v>46056</v>
      </c>
      <c r="F627" t="s">
        <v>1376</v>
      </c>
      <c r="G627" t="s">
        <v>45</v>
      </c>
      <c r="H627" s="2">
        <v>0.29166666666666669</v>
      </c>
      <c r="I627" s="2">
        <v>0.99861111111111112</v>
      </c>
      <c r="J627" t="s">
        <v>46</v>
      </c>
      <c r="L627" t="s">
        <v>47</v>
      </c>
      <c r="M627" t="s">
        <v>129</v>
      </c>
      <c r="N627" t="s">
        <v>130</v>
      </c>
      <c r="O627">
        <v>21231</v>
      </c>
      <c r="Q627" t="s">
        <v>131</v>
      </c>
      <c r="R627" t="s">
        <v>132</v>
      </c>
      <c r="S627" t="s">
        <v>52</v>
      </c>
      <c r="U627">
        <v>889206</v>
      </c>
      <c r="V627" s="3">
        <v>46042.632638888892</v>
      </c>
      <c r="W627" t="s">
        <v>133</v>
      </c>
      <c r="X627" t="s">
        <v>134</v>
      </c>
      <c r="Y627" t="str">
        <f>"0425328222"</f>
        <v>0425328222</v>
      </c>
      <c r="Z627" t="s">
        <v>2653</v>
      </c>
      <c r="AB627" t="s">
        <v>136</v>
      </c>
      <c r="AD627" t="s">
        <v>61</v>
      </c>
      <c r="AE627" t="s">
        <v>137</v>
      </c>
      <c r="AF627">
        <v>2032</v>
      </c>
      <c r="AG627" t="s">
        <v>131</v>
      </c>
      <c r="AI627" t="s">
        <v>59</v>
      </c>
      <c r="AL627" t="s">
        <v>2635</v>
      </c>
      <c r="AN627" s="3">
        <v>46056.59652777778</v>
      </c>
      <c r="AO627" t="s">
        <v>133</v>
      </c>
    </row>
    <row r="628" spans="1:41" x14ac:dyDescent="0.3">
      <c r="A628" t="s">
        <v>168</v>
      </c>
      <c r="B628" t="s">
        <v>1021</v>
      </c>
      <c r="C628" t="s">
        <v>216</v>
      </c>
      <c r="D628" t="s">
        <v>127</v>
      </c>
      <c r="E628" s="1">
        <v>46056</v>
      </c>
      <c r="F628" t="s">
        <v>1376</v>
      </c>
      <c r="G628" t="s">
        <v>45</v>
      </c>
      <c r="H628" s="2">
        <v>0.29166666666666669</v>
      </c>
      <c r="I628" s="2">
        <v>0.54166666666666663</v>
      </c>
      <c r="J628" t="s">
        <v>101</v>
      </c>
      <c r="L628" t="s">
        <v>159</v>
      </c>
      <c r="M628" t="s">
        <v>1552</v>
      </c>
      <c r="N628" t="s">
        <v>1553</v>
      </c>
      <c r="O628">
        <v>5951790</v>
      </c>
      <c r="Q628" t="s">
        <v>2654</v>
      </c>
      <c r="R628" t="s">
        <v>500</v>
      </c>
      <c r="S628" t="s">
        <v>52</v>
      </c>
      <c r="U628">
        <v>889204</v>
      </c>
      <c r="V628" s="3">
        <v>46055.917361111111</v>
      </c>
      <c r="W628" t="s">
        <v>1554</v>
      </c>
      <c r="X628" t="s">
        <v>1555</v>
      </c>
      <c r="Y628" t="str">
        <f>"0402115073"</f>
        <v>0402115073</v>
      </c>
      <c r="Z628" t="s">
        <v>70</v>
      </c>
      <c r="AB628" t="s">
        <v>1029</v>
      </c>
      <c r="AD628" t="s">
        <v>168</v>
      </c>
      <c r="AE628" t="s">
        <v>1030</v>
      </c>
      <c r="AF628">
        <v>5022</v>
      </c>
      <c r="AG628" t="s">
        <v>2655</v>
      </c>
      <c r="AI628" t="s">
        <v>59</v>
      </c>
      <c r="AL628" t="s">
        <v>2656</v>
      </c>
      <c r="AN628" s="3">
        <v>46056.574305555558</v>
      </c>
      <c r="AO628" t="s">
        <v>1554</v>
      </c>
    </row>
    <row r="629" spans="1:41" x14ac:dyDescent="0.3">
      <c r="A629" t="s">
        <v>41</v>
      </c>
      <c r="B629" t="s">
        <v>568</v>
      </c>
      <c r="D629" t="s">
        <v>246</v>
      </c>
      <c r="E629" s="1">
        <v>46056</v>
      </c>
      <c r="F629" t="s">
        <v>1376</v>
      </c>
      <c r="G629" t="s">
        <v>45</v>
      </c>
      <c r="H629" s="2">
        <v>0.29166666666666669</v>
      </c>
      <c r="I629" s="2">
        <v>0.64583333333333337</v>
      </c>
      <c r="J629" t="s">
        <v>269</v>
      </c>
      <c r="L629" t="s">
        <v>172</v>
      </c>
      <c r="M629" t="s">
        <v>311</v>
      </c>
      <c r="N629" t="s">
        <v>570</v>
      </c>
      <c r="O629">
        <v>5951685</v>
      </c>
      <c r="P629" t="s">
        <v>571</v>
      </c>
      <c r="Q629" t="s">
        <v>572</v>
      </c>
      <c r="R629" t="s">
        <v>573</v>
      </c>
      <c r="S629" t="s">
        <v>52</v>
      </c>
      <c r="T629" t="s">
        <v>252</v>
      </c>
      <c r="U629">
        <v>889790</v>
      </c>
      <c r="V629" s="3">
        <v>46062.522222222222</v>
      </c>
      <c r="W629" t="s">
        <v>574</v>
      </c>
      <c r="X629" t="s">
        <v>575</v>
      </c>
      <c r="Y629" t="str">
        <f>"0407007024"</f>
        <v>0407007024</v>
      </c>
      <c r="Z629" t="s">
        <v>254</v>
      </c>
      <c r="AA629" s="1">
        <v>46075</v>
      </c>
      <c r="AB629" t="s">
        <v>576</v>
      </c>
      <c r="AD629" t="s">
        <v>41</v>
      </c>
      <c r="AE629" t="s">
        <v>577</v>
      </c>
      <c r="AF629">
        <v>4700</v>
      </c>
      <c r="AG629" t="s">
        <v>572</v>
      </c>
      <c r="AI629" t="s">
        <v>59</v>
      </c>
      <c r="AJ629" t="str">
        <f>"0050076113"</f>
        <v>0050076113</v>
      </c>
      <c r="AN629" s="3">
        <v>46062.522222222222</v>
      </c>
      <c r="AO629" t="s">
        <v>573</v>
      </c>
    </row>
    <row r="630" spans="1:41" x14ac:dyDescent="0.3">
      <c r="A630" t="s">
        <v>306</v>
      </c>
      <c r="B630" t="s">
        <v>386</v>
      </c>
      <c r="C630" t="s">
        <v>387</v>
      </c>
      <c r="D630" t="s">
        <v>388</v>
      </c>
      <c r="E630" s="1">
        <v>46056</v>
      </c>
      <c r="F630" t="s">
        <v>1376</v>
      </c>
      <c r="G630" t="s">
        <v>45</v>
      </c>
      <c r="H630" s="2">
        <v>0.29166666666666669</v>
      </c>
      <c r="I630" s="2">
        <v>0.625</v>
      </c>
      <c r="J630" t="s">
        <v>389</v>
      </c>
      <c r="L630" t="s">
        <v>298</v>
      </c>
      <c r="M630" t="s">
        <v>195</v>
      </c>
      <c r="N630" t="s">
        <v>390</v>
      </c>
      <c r="O630">
        <v>5951661</v>
      </c>
      <c r="P630" t="s">
        <v>249</v>
      </c>
      <c r="Q630" t="s">
        <v>391</v>
      </c>
      <c r="R630" t="s">
        <v>392</v>
      </c>
      <c r="S630" t="s">
        <v>52</v>
      </c>
      <c r="T630" t="s">
        <v>252</v>
      </c>
      <c r="U630">
        <v>889996</v>
      </c>
      <c r="V630" s="3">
        <v>46063.614583333336</v>
      </c>
      <c r="W630" t="s">
        <v>393</v>
      </c>
      <c r="X630" t="s">
        <v>394</v>
      </c>
      <c r="Y630" t="str">
        <f>"0427371732"</f>
        <v>0427371732</v>
      </c>
      <c r="Z630" t="s">
        <v>254</v>
      </c>
      <c r="AA630" s="1">
        <v>46141</v>
      </c>
      <c r="AB630" t="s">
        <v>396</v>
      </c>
      <c r="AD630" t="s">
        <v>397</v>
      </c>
      <c r="AE630" t="s">
        <v>398</v>
      </c>
      <c r="AF630">
        <v>7919</v>
      </c>
      <c r="AG630" t="s">
        <v>399</v>
      </c>
      <c r="AI630" t="s">
        <v>59</v>
      </c>
      <c r="AJ630" t="str">
        <f>"0090000067"</f>
        <v>0090000067</v>
      </c>
      <c r="AN630" s="3">
        <v>46063.614583333336</v>
      </c>
      <c r="AO630" t="s">
        <v>392</v>
      </c>
    </row>
    <row r="631" spans="1:41" x14ac:dyDescent="0.3">
      <c r="A631" t="s">
        <v>61</v>
      </c>
      <c r="B631" t="s">
        <v>1462</v>
      </c>
      <c r="C631" t="s">
        <v>296</v>
      </c>
      <c r="D631" t="s">
        <v>90</v>
      </c>
      <c r="E631" s="1">
        <v>46056</v>
      </c>
      <c r="F631" t="s">
        <v>1376</v>
      </c>
      <c r="G631" t="s">
        <v>45</v>
      </c>
      <c r="H631" s="2">
        <v>0.29166666666666669</v>
      </c>
      <c r="I631" s="2">
        <v>0.79166666666666663</v>
      </c>
      <c r="J631" t="s">
        <v>464</v>
      </c>
      <c r="L631" t="s">
        <v>47</v>
      </c>
      <c r="M631" t="s">
        <v>2657</v>
      </c>
      <c r="N631" t="s">
        <v>933</v>
      </c>
      <c r="O631">
        <v>5952318</v>
      </c>
      <c r="Q631" t="s">
        <v>2658</v>
      </c>
      <c r="R631" t="s">
        <v>67</v>
      </c>
      <c r="S631" t="s">
        <v>119</v>
      </c>
      <c r="T631" t="s">
        <v>414</v>
      </c>
      <c r="U631">
        <v>889890</v>
      </c>
      <c r="V631" s="3">
        <v>46055.579861111109</v>
      </c>
      <c r="W631" t="s">
        <v>2659</v>
      </c>
      <c r="X631" t="s">
        <v>2660</v>
      </c>
      <c r="Y631" t="str">
        <f>"1111111111"</f>
        <v>1111111111</v>
      </c>
      <c r="Z631" t="s">
        <v>1399</v>
      </c>
      <c r="AB631" t="s">
        <v>1468</v>
      </c>
      <c r="AD631" t="s">
        <v>61</v>
      </c>
      <c r="AE631" t="s">
        <v>1469</v>
      </c>
      <c r="AF631">
        <v>2060</v>
      </c>
      <c r="AG631" t="s">
        <v>1744</v>
      </c>
      <c r="AI631" t="s">
        <v>59</v>
      </c>
      <c r="AL631" t="s">
        <v>2661</v>
      </c>
      <c r="AN631" s="3">
        <v>46055.594444444447</v>
      </c>
      <c r="AO631" t="s">
        <v>67</v>
      </c>
    </row>
    <row r="632" spans="1:41" x14ac:dyDescent="0.3">
      <c r="A632" t="s">
        <v>168</v>
      </c>
      <c r="B632" t="s">
        <v>2662</v>
      </c>
      <c r="C632" t="s">
        <v>296</v>
      </c>
      <c r="D632" t="s">
        <v>401</v>
      </c>
      <c r="E632" s="1">
        <v>46056</v>
      </c>
      <c r="F632" t="s">
        <v>1376</v>
      </c>
      <c r="G632" t="s">
        <v>45</v>
      </c>
      <c r="H632" s="2">
        <v>0.29166666666666669</v>
      </c>
      <c r="I632" s="2">
        <v>0.61458333333333337</v>
      </c>
      <c r="J632" t="s">
        <v>296</v>
      </c>
      <c r="L632" t="s">
        <v>172</v>
      </c>
      <c r="M632" t="s">
        <v>1206</v>
      </c>
      <c r="N632" t="s">
        <v>1448</v>
      </c>
      <c r="O632">
        <v>22926</v>
      </c>
      <c r="Q632" t="s">
        <v>840</v>
      </c>
      <c r="R632" t="s">
        <v>500</v>
      </c>
      <c r="S632" t="s">
        <v>52</v>
      </c>
      <c r="U632">
        <v>889214</v>
      </c>
      <c r="V632" s="3">
        <v>46055.963194444441</v>
      </c>
      <c r="W632" t="s">
        <v>1449</v>
      </c>
      <c r="X632" t="s">
        <v>1450</v>
      </c>
      <c r="Y632" t="str">
        <f>"0424371761"</f>
        <v>0424371761</v>
      </c>
      <c r="Z632" t="s">
        <v>70</v>
      </c>
      <c r="AA632" s="1">
        <v>46056</v>
      </c>
      <c r="AB632" t="s">
        <v>2663</v>
      </c>
      <c r="AD632" t="s">
        <v>168</v>
      </c>
      <c r="AE632" t="s">
        <v>2664</v>
      </c>
      <c r="AF632">
        <v>5048</v>
      </c>
      <c r="AG632" t="s">
        <v>371</v>
      </c>
      <c r="AI632" t="s">
        <v>59</v>
      </c>
      <c r="AL632" t="s">
        <v>2665</v>
      </c>
      <c r="AN632" s="3">
        <v>46056.640277777777</v>
      </c>
      <c r="AO632" t="s">
        <v>1449</v>
      </c>
    </row>
    <row r="633" spans="1:41" x14ac:dyDescent="0.3">
      <c r="A633" t="s">
        <v>61</v>
      </c>
      <c r="B633" t="s">
        <v>126</v>
      </c>
      <c r="C633" t="s">
        <v>43</v>
      </c>
      <c r="D633" t="s">
        <v>127</v>
      </c>
      <c r="E633" s="1">
        <v>46056</v>
      </c>
      <c r="F633" t="s">
        <v>1376</v>
      </c>
      <c r="G633" t="s">
        <v>45</v>
      </c>
      <c r="H633" s="2">
        <v>0.29166666666666669</v>
      </c>
      <c r="I633" s="2">
        <v>0.99861111111111112</v>
      </c>
      <c r="J633" t="s">
        <v>185</v>
      </c>
      <c r="L633" t="s">
        <v>186</v>
      </c>
      <c r="M633" t="s">
        <v>1206</v>
      </c>
      <c r="N633" t="s">
        <v>1882</v>
      </c>
      <c r="O633">
        <v>21051</v>
      </c>
      <c r="Q633" t="s">
        <v>131</v>
      </c>
      <c r="R633" t="s">
        <v>132</v>
      </c>
      <c r="S633" t="s">
        <v>52</v>
      </c>
      <c r="U633">
        <v>889207</v>
      </c>
      <c r="V633" s="3">
        <v>46042.632638888892</v>
      </c>
      <c r="W633" t="s">
        <v>1883</v>
      </c>
      <c r="X633" t="s">
        <v>1884</v>
      </c>
      <c r="Y633" t="str">
        <f>"0403904564"</f>
        <v>0403904564</v>
      </c>
      <c r="Z633" t="s">
        <v>2666</v>
      </c>
      <c r="AB633" t="s">
        <v>136</v>
      </c>
      <c r="AD633" t="s">
        <v>61</v>
      </c>
      <c r="AE633" t="s">
        <v>137</v>
      </c>
      <c r="AF633">
        <v>2032</v>
      </c>
      <c r="AG633" t="s">
        <v>131</v>
      </c>
      <c r="AI633" t="s">
        <v>59</v>
      </c>
      <c r="AL633" t="s">
        <v>2635</v>
      </c>
      <c r="AN633" s="3">
        <v>46056.597222222219</v>
      </c>
      <c r="AO633" t="s">
        <v>1883</v>
      </c>
    </row>
    <row r="634" spans="1:41" x14ac:dyDescent="0.3">
      <c r="A634" t="s">
        <v>41</v>
      </c>
      <c r="B634" t="s">
        <v>965</v>
      </c>
      <c r="C634" t="s">
        <v>43</v>
      </c>
      <c r="D634" t="s">
        <v>966</v>
      </c>
      <c r="E634" s="1">
        <v>46056</v>
      </c>
      <c r="F634" t="s">
        <v>1376</v>
      </c>
      <c r="G634" t="s">
        <v>45</v>
      </c>
      <c r="H634" s="2">
        <v>0.29166666666666669</v>
      </c>
      <c r="I634" s="2">
        <v>0.54166666666666663</v>
      </c>
      <c r="J634" t="s">
        <v>101</v>
      </c>
      <c r="L634" t="s">
        <v>159</v>
      </c>
      <c r="M634" t="s">
        <v>720</v>
      </c>
      <c r="N634" t="s">
        <v>721</v>
      </c>
      <c r="O634">
        <v>5952347</v>
      </c>
      <c r="Q634" t="s">
        <v>823</v>
      </c>
      <c r="R634" t="s">
        <v>1472</v>
      </c>
      <c r="S634" t="s">
        <v>52</v>
      </c>
      <c r="U634">
        <v>889202</v>
      </c>
      <c r="V634" s="3">
        <v>46049.660416666666</v>
      </c>
      <c r="W634" t="s">
        <v>724</v>
      </c>
      <c r="X634" t="s">
        <v>725</v>
      </c>
      <c r="Y634" t="str">
        <f>"0424329976"</f>
        <v>0424329976</v>
      </c>
      <c r="Z634" t="s">
        <v>1635</v>
      </c>
      <c r="AA634" s="1">
        <v>46056</v>
      </c>
      <c r="AB634" t="s">
        <v>972</v>
      </c>
      <c r="AD634" t="s">
        <v>41</v>
      </c>
      <c r="AE634" t="s">
        <v>973</v>
      </c>
      <c r="AF634">
        <v>4068</v>
      </c>
      <c r="AG634" t="s">
        <v>823</v>
      </c>
      <c r="AI634" t="s">
        <v>59</v>
      </c>
      <c r="AL634" t="s">
        <v>2667</v>
      </c>
      <c r="AN634" s="3">
        <v>46056.563888888886</v>
      </c>
      <c r="AO634" t="s">
        <v>724</v>
      </c>
    </row>
    <row r="635" spans="1:41" x14ac:dyDescent="0.3">
      <c r="A635" t="s">
        <v>61</v>
      </c>
      <c r="B635" t="s">
        <v>1462</v>
      </c>
      <c r="C635" t="s">
        <v>484</v>
      </c>
      <c r="D635" t="s">
        <v>90</v>
      </c>
      <c r="E635" s="1">
        <v>46056</v>
      </c>
      <c r="F635" t="s">
        <v>1376</v>
      </c>
      <c r="G635" t="s">
        <v>45</v>
      </c>
      <c r="H635" s="2">
        <v>0.29166666666666669</v>
      </c>
      <c r="I635" s="2">
        <v>0.64583333333333337</v>
      </c>
      <c r="J635" t="s">
        <v>486</v>
      </c>
      <c r="L635" t="s">
        <v>487</v>
      </c>
      <c r="M635" t="s">
        <v>1463</v>
      </c>
      <c r="N635" t="s">
        <v>1464</v>
      </c>
      <c r="O635">
        <v>22756</v>
      </c>
      <c r="Q635" t="s">
        <v>2668</v>
      </c>
      <c r="R635" t="s">
        <v>67</v>
      </c>
      <c r="S635" t="s">
        <v>52</v>
      </c>
      <c r="U635">
        <v>889213</v>
      </c>
      <c r="V635" s="3">
        <v>46055.579861111109</v>
      </c>
      <c r="W635" t="s">
        <v>1466</v>
      </c>
      <c r="X635" t="s">
        <v>1467</v>
      </c>
      <c r="Y635" t="str">
        <f>"0416856891"</f>
        <v>0416856891</v>
      </c>
      <c r="Z635" t="s">
        <v>2442</v>
      </c>
      <c r="AA635" s="1">
        <v>46056</v>
      </c>
      <c r="AB635" t="s">
        <v>1468</v>
      </c>
      <c r="AD635" t="s">
        <v>61</v>
      </c>
      <c r="AE635" t="s">
        <v>1469</v>
      </c>
      <c r="AF635">
        <v>2060</v>
      </c>
      <c r="AG635" t="s">
        <v>1744</v>
      </c>
      <c r="AI635" t="s">
        <v>59</v>
      </c>
      <c r="AL635" t="s">
        <v>2669</v>
      </c>
      <c r="AN635" s="3">
        <v>46056.640277777777</v>
      </c>
      <c r="AO635" t="s">
        <v>1466</v>
      </c>
    </row>
    <row r="636" spans="1:41" x14ac:dyDescent="0.3">
      <c r="A636" t="s">
        <v>61</v>
      </c>
      <c r="B636" t="s">
        <v>62</v>
      </c>
      <c r="C636" t="s">
        <v>43</v>
      </c>
      <c r="D636" t="s">
        <v>63</v>
      </c>
      <c r="E636" s="1">
        <v>46056</v>
      </c>
      <c r="F636" t="s">
        <v>1376</v>
      </c>
      <c r="G636" t="s">
        <v>45</v>
      </c>
      <c r="H636" s="2">
        <v>0.29166666666666669</v>
      </c>
      <c r="I636" s="2">
        <v>0.99861111111111112</v>
      </c>
      <c r="J636" t="s">
        <v>101</v>
      </c>
      <c r="L636" t="s">
        <v>159</v>
      </c>
      <c r="M636" t="s">
        <v>1746</v>
      </c>
      <c r="N636" t="s">
        <v>1747</v>
      </c>
      <c r="O636">
        <v>20760</v>
      </c>
      <c r="Q636" t="s">
        <v>66</v>
      </c>
      <c r="R636" t="s">
        <v>67</v>
      </c>
      <c r="S636" t="s">
        <v>52</v>
      </c>
      <c r="U636">
        <v>889209</v>
      </c>
      <c r="V636" s="3">
        <v>46049.379166666666</v>
      </c>
      <c r="W636" t="s">
        <v>1748</v>
      </c>
      <c r="X636" t="s">
        <v>1749</v>
      </c>
      <c r="Y636" t="str">
        <f>"0433858379"</f>
        <v>0433858379</v>
      </c>
      <c r="Z636" t="s">
        <v>1382</v>
      </c>
      <c r="AB636" t="s">
        <v>71</v>
      </c>
      <c r="AD636" t="s">
        <v>61</v>
      </c>
      <c r="AE636" t="s">
        <v>72</v>
      </c>
      <c r="AF636">
        <v>2747</v>
      </c>
      <c r="AG636" t="s">
        <v>73</v>
      </c>
      <c r="AI636" t="s">
        <v>59</v>
      </c>
      <c r="AL636" t="s">
        <v>2635</v>
      </c>
      <c r="AN636" s="3">
        <v>46056.609722222223</v>
      </c>
      <c r="AO636" t="s">
        <v>1748</v>
      </c>
    </row>
    <row r="637" spans="1:41" x14ac:dyDescent="0.3">
      <c r="A637" t="s">
        <v>61</v>
      </c>
      <c r="B637" t="s">
        <v>62</v>
      </c>
      <c r="C637" t="s">
        <v>43</v>
      </c>
      <c r="D637" t="s">
        <v>63</v>
      </c>
      <c r="E637" s="1">
        <v>46056</v>
      </c>
      <c r="F637" t="s">
        <v>1376</v>
      </c>
      <c r="G637" t="s">
        <v>45</v>
      </c>
      <c r="H637" s="2">
        <v>0.29166666666666669</v>
      </c>
      <c r="I637" s="2">
        <v>0.99861111111111112</v>
      </c>
      <c r="J637" t="s">
        <v>185</v>
      </c>
      <c r="L637" t="s">
        <v>186</v>
      </c>
      <c r="M637" t="s">
        <v>1474</v>
      </c>
      <c r="N637" t="s">
        <v>1475</v>
      </c>
      <c r="O637">
        <v>22552</v>
      </c>
      <c r="Q637" t="s">
        <v>66</v>
      </c>
      <c r="R637" t="s">
        <v>67</v>
      </c>
      <c r="S637" t="s">
        <v>52</v>
      </c>
      <c r="U637">
        <v>889248</v>
      </c>
      <c r="V637" s="3">
        <v>46051.371527777781</v>
      </c>
      <c r="W637" t="s">
        <v>1476</v>
      </c>
      <c r="X637" t="s">
        <v>1477</v>
      </c>
      <c r="Y637" t="str">
        <f>"0421669341"</f>
        <v>0421669341</v>
      </c>
      <c r="Z637" t="s">
        <v>70</v>
      </c>
      <c r="AB637" t="s">
        <v>71</v>
      </c>
      <c r="AD637" t="s">
        <v>61</v>
      </c>
      <c r="AE637" t="s">
        <v>72</v>
      </c>
      <c r="AF637">
        <v>2747</v>
      </c>
      <c r="AG637" t="s">
        <v>73</v>
      </c>
      <c r="AI637" t="s">
        <v>59</v>
      </c>
      <c r="AL637" t="s">
        <v>2635</v>
      </c>
      <c r="AN637" s="3">
        <v>46056.824305555558</v>
      </c>
      <c r="AO637" t="s">
        <v>1476</v>
      </c>
    </row>
    <row r="638" spans="1:41" x14ac:dyDescent="0.3">
      <c r="A638" t="s">
        <v>41</v>
      </c>
      <c r="B638" t="s">
        <v>965</v>
      </c>
      <c r="C638" t="s">
        <v>43</v>
      </c>
      <c r="D638" t="s">
        <v>966</v>
      </c>
      <c r="E638" s="1">
        <v>46056</v>
      </c>
      <c r="F638" t="s">
        <v>1376</v>
      </c>
      <c r="G638" t="s">
        <v>45</v>
      </c>
      <c r="H638" s="2">
        <v>0.29166666666666669</v>
      </c>
      <c r="I638" s="2">
        <v>0.72916666666666663</v>
      </c>
      <c r="J638" t="s">
        <v>101</v>
      </c>
      <c r="L638" t="s">
        <v>159</v>
      </c>
      <c r="M638" t="s">
        <v>2670</v>
      </c>
      <c r="N638" t="s">
        <v>2671</v>
      </c>
      <c r="O638">
        <v>5951768</v>
      </c>
      <c r="Q638" t="s">
        <v>823</v>
      </c>
      <c r="R638" t="s">
        <v>1472</v>
      </c>
      <c r="S638" t="s">
        <v>52</v>
      </c>
      <c r="U638">
        <v>889237</v>
      </c>
      <c r="V638" s="3">
        <v>46049.660416666666</v>
      </c>
      <c r="W638" t="s">
        <v>2672</v>
      </c>
      <c r="X638" t="s">
        <v>2673</v>
      </c>
      <c r="Y638" t="str">
        <f>"0455957608"</f>
        <v>0455957608</v>
      </c>
      <c r="Z638" t="s">
        <v>366</v>
      </c>
      <c r="AA638" s="1">
        <v>46056</v>
      </c>
      <c r="AB638" t="s">
        <v>972</v>
      </c>
      <c r="AD638" t="s">
        <v>41</v>
      </c>
      <c r="AE638" t="s">
        <v>973</v>
      </c>
      <c r="AF638">
        <v>4068</v>
      </c>
      <c r="AG638" t="s">
        <v>823</v>
      </c>
      <c r="AI638" t="s">
        <v>59</v>
      </c>
      <c r="AL638" t="s">
        <v>2674</v>
      </c>
      <c r="AN638" s="3">
        <v>46056.768055555556</v>
      </c>
      <c r="AO638" t="s">
        <v>2672</v>
      </c>
    </row>
    <row r="639" spans="1:41" x14ac:dyDescent="0.3">
      <c r="A639" t="s">
        <v>306</v>
      </c>
      <c r="B639" t="s">
        <v>1751</v>
      </c>
      <c r="C639" t="s">
        <v>1752</v>
      </c>
      <c r="D639" t="s">
        <v>184</v>
      </c>
      <c r="E639" s="1">
        <v>46056</v>
      </c>
      <c r="F639" t="s">
        <v>1376</v>
      </c>
      <c r="G639" t="s">
        <v>45</v>
      </c>
      <c r="H639" s="2">
        <v>0.29166666666666669</v>
      </c>
      <c r="I639" s="2">
        <v>0.625</v>
      </c>
      <c r="J639" t="s">
        <v>1314</v>
      </c>
      <c r="L639" t="s">
        <v>1753</v>
      </c>
      <c r="M639" t="s">
        <v>1754</v>
      </c>
      <c r="N639" t="s">
        <v>1755</v>
      </c>
      <c r="O639">
        <v>20486</v>
      </c>
      <c r="Q639" t="s">
        <v>705</v>
      </c>
      <c r="R639" t="s">
        <v>500</v>
      </c>
      <c r="S639" t="s">
        <v>119</v>
      </c>
      <c r="T639" t="s">
        <v>414</v>
      </c>
      <c r="U639">
        <v>889959</v>
      </c>
      <c r="V639" s="3">
        <v>46055.690972222219</v>
      </c>
      <c r="W639" t="s">
        <v>1757</v>
      </c>
      <c r="X639" t="s">
        <v>1758</v>
      </c>
      <c r="Y639" t="str">
        <f>"0432381966"</f>
        <v>0432381966</v>
      </c>
      <c r="Z639" t="s">
        <v>70</v>
      </c>
      <c r="AB639" t="s">
        <v>1759</v>
      </c>
      <c r="AD639" t="s">
        <v>306</v>
      </c>
      <c r="AE639" t="s">
        <v>1760</v>
      </c>
      <c r="AF639">
        <v>3199</v>
      </c>
      <c r="AI639" t="s">
        <v>59</v>
      </c>
      <c r="AL639" t="s">
        <v>1361</v>
      </c>
      <c r="AM639" t="s">
        <v>2675</v>
      </c>
      <c r="AN639" s="3">
        <v>46055.691666666666</v>
      </c>
      <c r="AO639" t="s">
        <v>500</v>
      </c>
    </row>
    <row r="640" spans="1:41" x14ac:dyDescent="0.3">
      <c r="A640" t="s">
        <v>306</v>
      </c>
      <c r="B640" t="s">
        <v>1751</v>
      </c>
      <c r="C640" t="s">
        <v>1752</v>
      </c>
      <c r="D640" t="s">
        <v>184</v>
      </c>
      <c r="E640" s="1">
        <v>46056</v>
      </c>
      <c r="F640" t="s">
        <v>1376</v>
      </c>
      <c r="G640" t="s">
        <v>45</v>
      </c>
      <c r="H640" s="2">
        <v>0.29166666666666669</v>
      </c>
      <c r="I640" s="2">
        <v>0.625</v>
      </c>
      <c r="J640" t="s">
        <v>296</v>
      </c>
      <c r="L640" t="s">
        <v>1753</v>
      </c>
      <c r="M640" t="s">
        <v>1754</v>
      </c>
      <c r="N640" t="s">
        <v>1755</v>
      </c>
      <c r="O640">
        <v>20486</v>
      </c>
      <c r="Q640" t="s">
        <v>413</v>
      </c>
      <c r="R640" t="s">
        <v>759</v>
      </c>
      <c r="S640" t="s">
        <v>119</v>
      </c>
      <c r="T640" t="s">
        <v>760</v>
      </c>
      <c r="U640" t="s">
        <v>2676</v>
      </c>
      <c r="V640" s="3">
        <v>46084.525000000001</v>
      </c>
      <c r="W640" t="s">
        <v>1757</v>
      </c>
      <c r="X640" t="s">
        <v>1758</v>
      </c>
      <c r="Y640" t="str">
        <f>"0432381966"</f>
        <v>0432381966</v>
      </c>
      <c r="Z640" t="s">
        <v>70</v>
      </c>
      <c r="AB640" t="s">
        <v>1759</v>
      </c>
      <c r="AD640" t="s">
        <v>306</v>
      </c>
      <c r="AE640" t="s">
        <v>1760</v>
      </c>
      <c r="AF640">
        <v>3199</v>
      </c>
      <c r="AG640" t="s">
        <v>413</v>
      </c>
      <c r="AI640" t="s">
        <v>59</v>
      </c>
      <c r="AM640" t="s">
        <v>2677</v>
      </c>
      <c r="AN640" s="3">
        <v>46084.525000000001</v>
      </c>
      <c r="AO640" t="s">
        <v>759</v>
      </c>
    </row>
    <row r="641" spans="1:41" x14ac:dyDescent="0.3">
      <c r="A641" t="s">
        <v>306</v>
      </c>
      <c r="B641" t="s">
        <v>1751</v>
      </c>
      <c r="C641" t="s">
        <v>1752</v>
      </c>
      <c r="D641" t="s">
        <v>184</v>
      </c>
      <c r="E641" s="1">
        <v>46056</v>
      </c>
      <c r="F641" t="s">
        <v>1376</v>
      </c>
      <c r="G641" t="s">
        <v>45</v>
      </c>
      <c r="H641" s="2">
        <v>0.29166666666666669</v>
      </c>
      <c r="I641" s="2">
        <v>0.625</v>
      </c>
      <c r="J641" t="s">
        <v>496</v>
      </c>
      <c r="L641" t="s">
        <v>1753</v>
      </c>
      <c r="M641" t="s">
        <v>1754</v>
      </c>
      <c r="N641" t="s">
        <v>1755</v>
      </c>
      <c r="O641">
        <v>20486</v>
      </c>
      <c r="Q641" t="s">
        <v>413</v>
      </c>
      <c r="R641" t="s">
        <v>759</v>
      </c>
      <c r="S641" t="s">
        <v>119</v>
      </c>
      <c r="T641" t="s">
        <v>760</v>
      </c>
      <c r="U641" t="s">
        <v>2678</v>
      </c>
      <c r="V641" s="3">
        <v>46084.525694444441</v>
      </c>
      <c r="W641" t="s">
        <v>1757</v>
      </c>
      <c r="X641" t="s">
        <v>1758</v>
      </c>
      <c r="Y641" t="str">
        <f>"0432381966"</f>
        <v>0432381966</v>
      </c>
      <c r="Z641" t="s">
        <v>70</v>
      </c>
      <c r="AB641" t="s">
        <v>1759</v>
      </c>
      <c r="AD641" t="s">
        <v>306</v>
      </c>
      <c r="AE641" t="s">
        <v>1760</v>
      </c>
      <c r="AF641">
        <v>3199</v>
      </c>
      <c r="AG641" t="s">
        <v>413</v>
      </c>
      <c r="AI641" t="s">
        <v>59</v>
      </c>
      <c r="AM641" t="s">
        <v>2677</v>
      </c>
      <c r="AN641" s="3">
        <v>46084.525694444441</v>
      </c>
      <c r="AO641" t="s">
        <v>759</v>
      </c>
    </row>
    <row r="642" spans="1:41" x14ac:dyDescent="0.3">
      <c r="A642" t="s">
        <v>41</v>
      </c>
      <c r="B642" t="s">
        <v>568</v>
      </c>
      <c r="C642" t="s">
        <v>602</v>
      </c>
      <c r="D642" t="s">
        <v>246</v>
      </c>
      <c r="E642" s="1">
        <v>46056</v>
      </c>
      <c r="F642" t="s">
        <v>1376</v>
      </c>
      <c r="G642" t="s">
        <v>45</v>
      </c>
      <c r="H642" s="2">
        <v>0.29166666666666669</v>
      </c>
      <c r="I642" s="2">
        <v>0.64583333333333337</v>
      </c>
      <c r="J642" t="s">
        <v>269</v>
      </c>
      <c r="L642" t="s">
        <v>47</v>
      </c>
      <c r="M642" t="s">
        <v>603</v>
      </c>
      <c r="N642" t="s">
        <v>604</v>
      </c>
      <c r="O642">
        <v>80</v>
      </c>
      <c r="P642" t="s">
        <v>571</v>
      </c>
      <c r="Q642" t="s">
        <v>572</v>
      </c>
      <c r="R642" t="s">
        <v>573</v>
      </c>
      <c r="S642" t="s">
        <v>52</v>
      </c>
      <c r="T642" t="s">
        <v>252</v>
      </c>
      <c r="U642">
        <v>889796</v>
      </c>
      <c r="V642" s="3">
        <v>46062.525694444441</v>
      </c>
      <c r="W642" t="s">
        <v>605</v>
      </c>
      <c r="X642" t="s">
        <v>606</v>
      </c>
      <c r="Y642" t="str">
        <f>"0414330986"</f>
        <v>0414330986</v>
      </c>
      <c r="Z642" t="s">
        <v>395</v>
      </c>
      <c r="AA642" s="1">
        <v>46068</v>
      </c>
      <c r="AB642" t="s">
        <v>576</v>
      </c>
      <c r="AD642" t="s">
        <v>41</v>
      </c>
      <c r="AE642" t="s">
        <v>577</v>
      </c>
      <c r="AF642">
        <v>4700</v>
      </c>
      <c r="AG642" t="s">
        <v>572</v>
      </c>
      <c r="AI642" t="s">
        <v>59</v>
      </c>
      <c r="AJ642" t="str">
        <f>"0050075176"</f>
        <v>0050075176</v>
      </c>
      <c r="AN642" s="3">
        <v>46062.525694444441</v>
      </c>
      <c r="AO642" t="s">
        <v>573</v>
      </c>
    </row>
    <row r="643" spans="1:41" x14ac:dyDescent="0.3">
      <c r="A643" t="s">
        <v>61</v>
      </c>
      <c r="B643" t="s">
        <v>1271</v>
      </c>
      <c r="C643" t="s">
        <v>1272</v>
      </c>
      <c r="D643" t="s">
        <v>184</v>
      </c>
      <c r="E643" s="1">
        <v>46056</v>
      </c>
      <c r="F643" t="s">
        <v>1376</v>
      </c>
      <c r="G643" t="s">
        <v>45</v>
      </c>
      <c r="H643" s="2">
        <v>0.29166666666666669</v>
      </c>
      <c r="I643" s="2">
        <v>0.64583333333333337</v>
      </c>
      <c r="J643" t="s">
        <v>486</v>
      </c>
      <c r="L643" t="s">
        <v>487</v>
      </c>
      <c r="M643" t="s">
        <v>1490</v>
      </c>
      <c r="N643" t="s">
        <v>1491</v>
      </c>
      <c r="O643">
        <v>21218</v>
      </c>
      <c r="Q643" t="s">
        <v>1780</v>
      </c>
      <c r="R643" t="s">
        <v>132</v>
      </c>
      <c r="S643" t="s">
        <v>52</v>
      </c>
      <c r="U643">
        <v>889212</v>
      </c>
      <c r="V643" s="3">
        <v>46051.481944444444</v>
      </c>
      <c r="W643" t="s">
        <v>1493</v>
      </c>
      <c r="X643" t="s">
        <v>1494</v>
      </c>
      <c r="Y643" t="str">
        <f>"0401746606"</f>
        <v>0401746606</v>
      </c>
      <c r="Z643" t="s">
        <v>55</v>
      </c>
      <c r="AA643" s="1">
        <v>46056</v>
      </c>
      <c r="AB643" t="s">
        <v>1278</v>
      </c>
      <c r="AD643" t="s">
        <v>61</v>
      </c>
      <c r="AE643" t="s">
        <v>1279</v>
      </c>
      <c r="AF643">
        <v>2145</v>
      </c>
      <c r="AG643" t="s">
        <v>1783</v>
      </c>
      <c r="AI643" t="s">
        <v>59</v>
      </c>
      <c r="AL643" t="s">
        <v>2635</v>
      </c>
      <c r="AN643" s="3">
        <v>46056.631249999999</v>
      </c>
      <c r="AO643" t="s">
        <v>1493</v>
      </c>
    </row>
    <row r="644" spans="1:41" x14ac:dyDescent="0.3">
      <c r="A644" t="s">
        <v>75</v>
      </c>
      <c r="B644" t="s">
        <v>895</v>
      </c>
      <c r="C644" t="s">
        <v>896</v>
      </c>
      <c r="D644" t="s">
        <v>184</v>
      </c>
      <c r="E644" s="1">
        <v>46056</v>
      </c>
      <c r="F644" t="s">
        <v>1376</v>
      </c>
      <c r="G644" t="s">
        <v>45</v>
      </c>
      <c r="H644" s="2">
        <v>0.29166666666666669</v>
      </c>
      <c r="I644" s="2">
        <v>0.60416666666666663</v>
      </c>
      <c r="J644" t="s">
        <v>2679</v>
      </c>
      <c r="L644" t="s">
        <v>540</v>
      </c>
      <c r="M644" t="s">
        <v>2680</v>
      </c>
      <c r="N644" t="s">
        <v>1542</v>
      </c>
      <c r="O644">
        <v>5952196</v>
      </c>
      <c r="Q644" t="s">
        <v>2681</v>
      </c>
      <c r="R644" t="s">
        <v>81</v>
      </c>
      <c r="S644" t="s">
        <v>52</v>
      </c>
      <c r="U644">
        <v>889229</v>
      </c>
      <c r="V644" s="3">
        <v>46052.433333333334</v>
      </c>
      <c r="W644" t="s">
        <v>2682</v>
      </c>
      <c r="X644" t="s">
        <v>2683</v>
      </c>
      <c r="Y644" t="str">
        <f>"0412918721"</f>
        <v>0412918721</v>
      </c>
      <c r="Z644" t="s">
        <v>395</v>
      </c>
      <c r="AB644" t="s">
        <v>902</v>
      </c>
      <c r="AD644" t="s">
        <v>75</v>
      </c>
      <c r="AE644" t="s">
        <v>903</v>
      </c>
      <c r="AF644">
        <v>6009</v>
      </c>
      <c r="AG644" t="s">
        <v>2681</v>
      </c>
      <c r="AI644" t="s">
        <v>59</v>
      </c>
      <c r="AL644" t="s">
        <v>2684</v>
      </c>
      <c r="AN644" s="3">
        <v>46056.729861111111</v>
      </c>
      <c r="AO644" t="s">
        <v>2682</v>
      </c>
    </row>
    <row r="645" spans="1:41" x14ac:dyDescent="0.3">
      <c r="A645" t="s">
        <v>61</v>
      </c>
      <c r="B645" t="s">
        <v>768</v>
      </c>
      <c r="C645" t="s">
        <v>296</v>
      </c>
      <c r="D645" t="s">
        <v>769</v>
      </c>
      <c r="E645" s="1">
        <v>46056</v>
      </c>
      <c r="F645" t="s">
        <v>1376</v>
      </c>
      <c r="G645" t="s">
        <v>45</v>
      </c>
      <c r="H645" s="2">
        <v>0.3125</v>
      </c>
      <c r="I645" s="2">
        <v>0.625</v>
      </c>
      <c r="J645" t="s">
        <v>296</v>
      </c>
      <c r="L645" t="s">
        <v>298</v>
      </c>
      <c r="M645" t="s">
        <v>770</v>
      </c>
      <c r="N645" t="s">
        <v>771</v>
      </c>
      <c r="O645">
        <v>5952291</v>
      </c>
      <c r="Q645" t="s">
        <v>1957</v>
      </c>
      <c r="R645" t="s">
        <v>67</v>
      </c>
      <c r="S645" t="s">
        <v>52</v>
      </c>
      <c r="U645">
        <v>889211</v>
      </c>
      <c r="V645" s="3">
        <v>46050.375</v>
      </c>
      <c r="W645" t="s">
        <v>773</v>
      </c>
      <c r="X645" t="s">
        <v>774</v>
      </c>
      <c r="Y645" t="str">
        <f>"0432174467"</f>
        <v>0432174467</v>
      </c>
      <c r="Z645" t="s">
        <v>1862</v>
      </c>
      <c r="AB645" t="s">
        <v>775</v>
      </c>
      <c r="AD645" t="s">
        <v>61</v>
      </c>
      <c r="AE645" t="s">
        <v>776</v>
      </c>
      <c r="AF645">
        <v>2076</v>
      </c>
      <c r="AG645" t="s">
        <v>1957</v>
      </c>
      <c r="AI645" t="s">
        <v>59</v>
      </c>
      <c r="AL645" t="s">
        <v>2635</v>
      </c>
      <c r="AN645" s="3">
        <v>46056.625</v>
      </c>
      <c r="AO645" t="s">
        <v>773</v>
      </c>
    </row>
    <row r="646" spans="1:41" x14ac:dyDescent="0.3">
      <c r="A646" t="s">
        <v>306</v>
      </c>
      <c r="B646" t="s">
        <v>820</v>
      </c>
      <c r="C646" t="s">
        <v>100</v>
      </c>
      <c r="D646" t="s">
        <v>127</v>
      </c>
      <c r="E646" s="1">
        <v>46056</v>
      </c>
      <c r="F646" t="s">
        <v>1376</v>
      </c>
      <c r="G646" t="s">
        <v>45</v>
      </c>
      <c r="H646" s="2">
        <v>0.3125</v>
      </c>
      <c r="I646" s="2">
        <v>0.66666666666666663</v>
      </c>
      <c r="J646" t="s">
        <v>451</v>
      </c>
      <c r="L646" t="s">
        <v>452</v>
      </c>
      <c r="M646" t="s">
        <v>821</v>
      </c>
      <c r="N646" t="s">
        <v>822</v>
      </c>
      <c r="O646">
        <v>20712</v>
      </c>
      <c r="Q646" t="s">
        <v>823</v>
      </c>
      <c r="R646" t="s">
        <v>476</v>
      </c>
      <c r="S646" t="s">
        <v>52</v>
      </c>
      <c r="U646">
        <v>889216</v>
      </c>
      <c r="V646" s="3">
        <v>46052.489583333336</v>
      </c>
      <c r="W646" t="s">
        <v>824</v>
      </c>
      <c r="X646" t="s">
        <v>825</v>
      </c>
      <c r="Y646" t="str">
        <f>"0439419256"</f>
        <v>0439419256</v>
      </c>
      <c r="Z646" t="s">
        <v>70</v>
      </c>
      <c r="AA646" s="1">
        <v>46056</v>
      </c>
      <c r="AB646" t="s">
        <v>826</v>
      </c>
      <c r="AD646" t="s">
        <v>306</v>
      </c>
      <c r="AE646" t="s">
        <v>827</v>
      </c>
      <c r="AF646">
        <v>3181</v>
      </c>
      <c r="AG646" t="s">
        <v>823</v>
      </c>
      <c r="AI646" t="s">
        <v>59</v>
      </c>
      <c r="AL646" t="s">
        <v>87</v>
      </c>
      <c r="AN646" s="3">
        <v>46056.656944444447</v>
      </c>
      <c r="AO646" t="s">
        <v>824</v>
      </c>
    </row>
    <row r="647" spans="1:41" x14ac:dyDescent="0.3">
      <c r="A647" t="s">
        <v>306</v>
      </c>
      <c r="B647" t="s">
        <v>699</v>
      </c>
      <c r="C647" t="s">
        <v>43</v>
      </c>
      <c r="D647" t="s">
        <v>700</v>
      </c>
      <c r="E647" s="1">
        <v>46056</v>
      </c>
      <c r="F647" t="s">
        <v>1376</v>
      </c>
      <c r="G647" t="s">
        <v>45</v>
      </c>
      <c r="H647" s="2">
        <v>0.3125</v>
      </c>
      <c r="I647" s="2">
        <v>0.75</v>
      </c>
      <c r="J647" t="s">
        <v>2484</v>
      </c>
      <c r="L647" t="s">
        <v>702</v>
      </c>
      <c r="M647" t="s">
        <v>703</v>
      </c>
      <c r="N647" t="s">
        <v>704</v>
      </c>
      <c r="O647">
        <v>20947</v>
      </c>
      <c r="Q647" t="s">
        <v>2685</v>
      </c>
      <c r="R647" t="s">
        <v>314</v>
      </c>
      <c r="S647" t="s">
        <v>119</v>
      </c>
      <c r="T647" t="s">
        <v>414</v>
      </c>
      <c r="U647">
        <v>889965</v>
      </c>
      <c r="V647" s="3">
        <v>46055.378472222219</v>
      </c>
      <c r="W647" t="s">
        <v>706</v>
      </c>
      <c r="X647" t="s">
        <v>707</v>
      </c>
      <c r="Y647" t="str">
        <f>"0437759431"</f>
        <v>0437759431</v>
      </c>
      <c r="Z647" t="s">
        <v>70</v>
      </c>
      <c r="AB647" t="s">
        <v>708</v>
      </c>
      <c r="AD647" t="s">
        <v>306</v>
      </c>
      <c r="AE647" t="s">
        <v>709</v>
      </c>
      <c r="AF647">
        <v>3806</v>
      </c>
      <c r="AI647" t="s">
        <v>59</v>
      </c>
      <c r="AL647" t="s">
        <v>2686</v>
      </c>
      <c r="AM647" t="s">
        <v>2687</v>
      </c>
      <c r="AN647" s="3">
        <v>46055.418055555558</v>
      </c>
      <c r="AO647" t="s">
        <v>314</v>
      </c>
    </row>
    <row r="648" spans="1:41" x14ac:dyDescent="0.3">
      <c r="A648" t="s">
        <v>75</v>
      </c>
      <c r="B648" t="s">
        <v>804</v>
      </c>
      <c r="C648" t="s">
        <v>43</v>
      </c>
      <c r="D648" t="s">
        <v>700</v>
      </c>
      <c r="E648" s="1">
        <v>46056</v>
      </c>
      <c r="F648" t="s">
        <v>1376</v>
      </c>
      <c r="G648" t="s">
        <v>45</v>
      </c>
      <c r="H648" s="2">
        <v>0.3125</v>
      </c>
      <c r="I648" s="2">
        <v>0.75</v>
      </c>
      <c r="J648" t="s">
        <v>185</v>
      </c>
      <c r="L648" t="s">
        <v>186</v>
      </c>
      <c r="M648" t="s">
        <v>1070</v>
      </c>
      <c r="N648" t="s">
        <v>1071</v>
      </c>
      <c r="O648">
        <v>5951604</v>
      </c>
      <c r="Q648" t="s">
        <v>808</v>
      </c>
      <c r="R648" t="s">
        <v>81</v>
      </c>
      <c r="S648" t="s">
        <v>52</v>
      </c>
      <c r="U648">
        <v>889247</v>
      </c>
      <c r="V648" s="3">
        <v>46052.620833333334</v>
      </c>
      <c r="W648" t="s">
        <v>1072</v>
      </c>
      <c r="X648" t="s">
        <v>1073</v>
      </c>
      <c r="Y648" t="str">
        <f>"0410139992"</f>
        <v>0410139992</v>
      </c>
      <c r="Z648" t="s">
        <v>503</v>
      </c>
      <c r="AB648" t="s">
        <v>811</v>
      </c>
      <c r="AC648" t="s">
        <v>812</v>
      </c>
      <c r="AD648" t="s">
        <v>75</v>
      </c>
      <c r="AE648" t="s">
        <v>813</v>
      </c>
      <c r="AF648">
        <v>6050</v>
      </c>
      <c r="AG648" t="s">
        <v>808</v>
      </c>
      <c r="AI648" t="s">
        <v>59</v>
      </c>
      <c r="AL648" t="s">
        <v>87</v>
      </c>
      <c r="AN648" s="3">
        <v>46056.817361111112</v>
      </c>
      <c r="AO648" t="s">
        <v>1072</v>
      </c>
    </row>
    <row r="649" spans="1:41" x14ac:dyDescent="0.3">
      <c r="A649" t="s">
        <v>75</v>
      </c>
      <c r="B649" t="s">
        <v>804</v>
      </c>
      <c r="C649" t="s">
        <v>43</v>
      </c>
      <c r="D649" t="s">
        <v>700</v>
      </c>
      <c r="E649" s="1">
        <v>46056</v>
      </c>
      <c r="F649" t="s">
        <v>1376</v>
      </c>
      <c r="G649" t="s">
        <v>45</v>
      </c>
      <c r="H649" s="2">
        <v>0.3125</v>
      </c>
      <c r="I649" s="2">
        <v>0.75</v>
      </c>
      <c r="J649" t="s">
        <v>101</v>
      </c>
      <c r="L649" t="s">
        <v>159</v>
      </c>
      <c r="M649" t="s">
        <v>2360</v>
      </c>
      <c r="N649" t="s">
        <v>2361</v>
      </c>
      <c r="O649">
        <v>22336</v>
      </c>
      <c r="Q649" t="s">
        <v>808</v>
      </c>
      <c r="R649" t="s">
        <v>81</v>
      </c>
      <c r="S649" t="s">
        <v>52</v>
      </c>
      <c r="U649">
        <v>889266</v>
      </c>
      <c r="V649" s="3">
        <v>46052.620833333334</v>
      </c>
      <c r="W649" t="s">
        <v>2362</v>
      </c>
      <c r="X649" t="s">
        <v>2363</v>
      </c>
      <c r="Y649" t="str">
        <f>"0438980706"</f>
        <v>0438980706</v>
      </c>
      <c r="Z649" t="s">
        <v>550</v>
      </c>
      <c r="AB649" t="s">
        <v>811</v>
      </c>
      <c r="AC649" t="s">
        <v>812</v>
      </c>
      <c r="AD649" t="s">
        <v>75</v>
      </c>
      <c r="AE649" t="s">
        <v>813</v>
      </c>
      <c r="AF649">
        <v>6050</v>
      </c>
      <c r="AG649" t="s">
        <v>808</v>
      </c>
      <c r="AI649" t="s">
        <v>59</v>
      </c>
      <c r="AL649" t="s">
        <v>2688</v>
      </c>
      <c r="AN649" s="3">
        <v>46056.869444444441</v>
      </c>
      <c r="AO649" t="s">
        <v>2362</v>
      </c>
    </row>
    <row r="650" spans="1:41" x14ac:dyDescent="0.3">
      <c r="A650" t="s">
        <v>61</v>
      </c>
      <c r="B650" t="s">
        <v>62</v>
      </c>
      <c r="C650" t="s">
        <v>43</v>
      </c>
      <c r="D650" t="s">
        <v>63</v>
      </c>
      <c r="E650" s="1">
        <v>46056</v>
      </c>
      <c r="F650" t="s">
        <v>1376</v>
      </c>
      <c r="G650" t="s">
        <v>45</v>
      </c>
      <c r="H650" s="2">
        <v>0.3125</v>
      </c>
      <c r="I650" s="2">
        <v>0.70833333333333337</v>
      </c>
      <c r="J650" t="s">
        <v>185</v>
      </c>
      <c r="L650" t="s">
        <v>186</v>
      </c>
      <c r="M650" t="s">
        <v>1820</v>
      </c>
      <c r="N650" t="s">
        <v>1821</v>
      </c>
      <c r="O650">
        <v>5951390</v>
      </c>
      <c r="Q650" t="s">
        <v>66</v>
      </c>
      <c r="R650" t="s">
        <v>67</v>
      </c>
      <c r="S650" t="s">
        <v>52</v>
      </c>
      <c r="U650">
        <v>889227</v>
      </c>
      <c r="V650" s="3">
        <v>46049.379166666666</v>
      </c>
      <c r="W650" t="s">
        <v>1823</v>
      </c>
      <c r="X650" t="s">
        <v>1824</v>
      </c>
      <c r="Y650" t="str">
        <f>"0416481995"</f>
        <v>0416481995</v>
      </c>
      <c r="Z650" t="s">
        <v>1478</v>
      </c>
      <c r="AB650" t="s">
        <v>71</v>
      </c>
      <c r="AD650" t="s">
        <v>61</v>
      </c>
      <c r="AE650" t="s">
        <v>72</v>
      </c>
      <c r="AF650">
        <v>2747</v>
      </c>
      <c r="AG650" t="s">
        <v>73</v>
      </c>
      <c r="AI650" t="s">
        <v>59</v>
      </c>
      <c r="AL650" t="s">
        <v>2635</v>
      </c>
      <c r="AN650" s="3">
        <v>46056.711111111108</v>
      </c>
      <c r="AO650" t="s">
        <v>1823</v>
      </c>
    </row>
    <row r="651" spans="1:41" x14ac:dyDescent="0.3">
      <c r="A651" t="s">
        <v>61</v>
      </c>
      <c r="B651" t="s">
        <v>507</v>
      </c>
      <c r="C651" t="s">
        <v>183</v>
      </c>
      <c r="D651" t="s">
        <v>63</v>
      </c>
      <c r="E651" s="1">
        <v>46056</v>
      </c>
      <c r="F651" t="s">
        <v>1376</v>
      </c>
      <c r="G651" t="s">
        <v>45</v>
      </c>
      <c r="H651" s="2">
        <v>0.33333333333333331</v>
      </c>
      <c r="I651" s="2">
        <v>0.99861111111111112</v>
      </c>
      <c r="J651" t="s">
        <v>185</v>
      </c>
      <c r="L651" t="s">
        <v>186</v>
      </c>
      <c r="M651" t="s">
        <v>777</v>
      </c>
      <c r="N651" t="s">
        <v>778</v>
      </c>
      <c r="O651">
        <v>5952331</v>
      </c>
      <c r="Q651" t="s">
        <v>779</v>
      </c>
      <c r="R651" t="s">
        <v>500</v>
      </c>
      <c r="S651" t="s">
        <v>52</v>
      </c>
      <c r="U651">
        <v>889235</v>
      </c>
      <c r="V651" s="3">
        <v>46028.720833333333</v>
      </c>
      <c r="W651" t="s">
        <v>780</v>
      </c>
      <c r="X651" t="s">
        <v>781</v>
      </c>
      <c r="Y651" t="str">
        <f>"0478730906"</f>
        <v>0478730906</v>
      </c>
      <c r="Z651" t="s">
        <v>1155</v>
      </c>
      <c r="AB651" t="s">
        <v>514</v>
      </c>
      <c r="AD651" t="s">
        <v>61</v>
      </c>
      <c r="AE651" t="s">
        <v>515</v>
      </c>
      <c r="AF651">
        <v>2086</v>
      </c>
      <c r="AG651" t="s">
        <v>783</v>
      </c>
      <c r="AI651" t="s">
        <v>59</v>
      </c>
      <c r="AL651" t="s">
        <v>2689</v>
      </c>
      <c r="AN651" s="3">
        <v>46056.763194444444</v>
      </c>
      <c r="AO651" t="s">
        <v>780</v>
      </c>
    </row>
    <row r="652" spans="1:41" x14ac:dyDescent="0.3">
      <c r="A652" t="s">
        <v>61</v>
      </c>
      <c r="B652" t="s">
        <v>126</v>
      </c>
      <c r="C652" t="s">
        <v>43</v>
      </c>
      <c r="D652" t="s">
        <v>127</v>
      </c>
      <c r="E652" s="1">
        <v>46056</v>
      </c>
      <c r="F652" t="s">
        <v>1376</v>
      </c>
      <c r="G652" t="s">
        <v>45</v>
      </c>
      <c r="H652" s="2">
        <v>0.33333333333333331</v>
      </c>
      <c r="I652" s="2">
        <v>0.99861111111111112</v>
      </c>
      <c r="J652" t="s">
        <v>100</v>
      </c>
      <c r="L652" t="s">
        <v>100</v>
      </c>
      <c r="M652" t="s">
        <v>153</v>
      </c>
      <c r="N652" t="s">
        <v>154</v>
      </c>
      <c r="O652">
        <v>21936</v>
      </c>
      <c r="Q652" t="s">
        <v>131</v>
      </c>
      <c r="R652" t="s">
        <v>132</v>
      </c>
      <c r="S652" t="s">
        <v>52</v>
      </c>
      <c r="U652">
        <v>889203</v>
      </c>
      <c r="V652" s="3">
        <v>46042.632638888892</v>
      </c>
      <c r="W652" t="s">
        <v>155</v>
      </c>
      <c r="X652" t="s">
        <v>156</v>
      </c>
      <c r="Y652" t="str">
        <f>"0425175454"</f>
        <v>0425175454</v>
      </c>
      <c r="Z652" t="s">
        <v>1406</v>
      </c>
      <c r="AB652" t="s">
        <v>136</v>
      </c>
      <c r="AD652" t="s">
        <v>61</v>
      </c>
      <c r="AE652" t="s">
        <v>137</v>
      </c>
      <c r="AF652">
        <v>2032</v>
      </c>
      <c r="AG652" t="s">
        <v>131</v>
      </c>
      <c r="AI652" t="s">
        <v>59</v>
      </c>
      <c r="AL652" t="s">
        <v>2635</v>
      </c>
      <c r="AN652" s="3">
        <v>46056.565972222219</v>
      </c>
      <c r="AO652" t="s">
        <v>155</v>
      </c>
    </row>
    <row r="653" spans="1:41" x14ac:dyDescent="0.3">
      <c r="A653" t="s">
        <v>168</v>
      </c>
      <c r="B653" t="s">
        <v>376</v>
      </c>
      <c r="C653" t="s">
        <v>202</v>
      </c>
      <c r="D653" t="s">
        <v>127</v>
      </c>
      <c r="E653" s="1">
        <v>46056</v>
      </c>
      <c r="F653" t="s">
        <v>1376</v>
      </c>
      <c r="G653" t="s">
        <v>45</v>
      </c>
      <c r="H653" s="2">
        <v>0.33333333333333331</v>
      </c>
      <c r="I653" s="2">
        <v>0.66666666666666663</v>
      </c>
      <c r="J653" t="s">
        <v>46</v>
      </c>
      <c r="L653" t="s">
        <v>47</v>
      </c>
      <c r="M653" t="s">
        <v>1401</v>
      </c>
      <c r="N653" t="s">
        <v>1944</v>
      </c>
      <c r="O653">
        <v>22123</v>
      </c>
      <c r="Q653" t="s">
        <v>1389</v>
      </c>
      <c r="R653" t="s">
        <v>231</v>
      </c>
      <c r="S653" t="s">
        <v>52</v>
      </c>
      <c r="U653">
        <v>889219</v>
      </c>
      <c r="V653" s="3">
        <v>46051.607638888891</v>
      </c>
      <c r="W653" t="s">
        <v>1945</v>
      </c>
      <c r="X653" t="s">
        <v>1946</v>
      </c>
      <c r="Y653" t="str">
        <f>"0439908622"</f>
        <v>0439908622</v>
      </c>
      <c r="Z653" t="s">
        <v>1925</v>
      </c>
      <c r="AB653" t="s">
        <v>383</v>
      </c>
      <c r="AD653" t="s">
        <v>168</v>
      </c>
      <c r="AE653" t="s">
        <v>384</v>
      </c>
      <c r="AF653">
        <v>5000</v>
      </c>
      <c r="AG653" t="s">
        <v>1389</v>
      </c>
      <c r="AI653" t="s">
        <v>59</v>
      </c>
      <c r="AL653" t="s">
        <v>2690</v>
      </c>
      <c r="AN653" s="3">
        <v>46056.676388888889</v>
      </c>
      <c r="AO653" t="s">
        <v>1945</v>
      </c>
    </row>
    <row r="654" spans="1:41" x14ac:dyDescent="0.3">
      <c r="A654" t="s">
        <v>61</v>
      </c>
      <c r="B654" t="s">
        <v>1843</v>
      </c>
      <c r="C654" t="s">
        <v>43</v>
      </c>
      <c r="D654" t="s">
        <v>127</v>
      </c>
      <c r="E654" s="1">
        <v>46056</v>
      </c>
      <c r="F654" t="s">
        <v>1376</v>
      </c>
      <c r="G654" t="s">
        <v>45</v>
      </c>
      <c r="H654" s="2">
        <v>0.35416666666666669</v>
      </c>
      <c r="I654" s="2">
        <v>0.99861111111111112</v>
      </c>
      <c r="J654" t="s">
        <v>185</v>
      </c>
      <c r="L654" t="s">
        <v>47</v>
      </c>
      <c r="M654" t="s">
        <v>657</v>
      </c>
      <c r="N654" t="s">
        <v>658</v>
      </c>
      <c r="O654">
        <v>22959</v>
      </c>
      <c r="Q654" t="s">
        <v>1844</v>
      </c>
      <c r="R654" t="s">
        <v>1248</v>
      </c>
      <c r="S654" t="s">
        <v>52</v>
      </c>
      <c r="U654">
        <v>889228</v>
      </c>
      <c r="V654" s="3">
        <v>46044.684027777781</v>
      </c>
      <c r="W654" t="s">
        <v>660</v>
      </c>
      <c r="X654" t="s">
        <v>661</v>
      </c>
      <c r="Y654" t="str">
        <f>"0451533427"</f>
        <v>0451533427</v>
      </c>
      <c r="Z654" t="s">
        <v>70</v>
      </c>
      <c r="AA654" s="1">
        <v>46056</v>
      </c>
      <c r="AB654" t="s">
        <v>1847</v>
      </c>
      <c r="AD654" t="s">
        <v>61</v>
      </c>
      <c r="AE654" t="s">
        <v>1848</v>
      </c>
      <c r="AF654">
        <v>2217</v>
      </c>
      <c r="AG654" t="s">
        <v>1844</v>
      </c>
      <c r="AI654" t="s">
        <v>59</v>
      </c>
      <c r="AL654" t="s">
        <v>2635</v>
      </c>
      <c r="AN654" s="3">
        <v>46056.715277777781</v>
      </c>
      <c r="AO654" t="s">
        <v>660</v>
      </c>
    </row>
    <row r="655" spans="1:41" x14ac:dyDescent="0.3">
      <c r="A655" t="s">
        <v>168</v>
      </c>
      <c r="B655" t="s">
        <v>376</v>
      </c>
      <c r="C655" t="s">
        <v>43</v>
      </c>
      <c r="D655" t="s">
        <v>127</v>
      </c>
      <c r="E655" s="1">
        <v>46056</v>
      </c>
      <c r="F655" t="s">
        <v>1376</v>
      </c>
      <c r="G655" t="s">
        <v>45</v>
      </c>
      <c r="H655" s="2">
        <v>0.35416666666666669</v>
      </c>
      <c r="I655" s="2">
        <v>0.625</v>
      </c>
      <c r="J655" t="s">
        <v>185</v>
      </c>
      <c r="L655" t="s">
        <v>186</v>
      </c>
      <c r="M655" t="s">
        <v>2691</v>
      </c>
      <c r="N655" t="s">
        <v>2691</v>
      </c>
      <c r="O655">
        <v>22687</v>
      </c>
      <c r="Q655" t="s">
        <v>670</v>
      </c>
      <c r="R655" t="s">
        <v>231</v>
      </c>
      <c r="S655" t="s">
        <v>52</v>
      </c>
      <c r="U655">
        <v>889208</v>
      </c>
      <c r="V655" s="3">
        <v>46008.594444444447</v>
      </c>
      <c r="W655" t="s">
        <v>2692</v>
      </c>
      <c r="X655" t="s">
        <v>2693</v>
      </c>
      <c r="Y655" t="str">
        <f>"0433922671"</f>
        <v>0433922671</v>
      </c>
      <c r="Z655" t="s">
        <v>2000</v>
      </c>
      <c r="AB655" t="s">
        <v>383</v>
      </c>
      <c r="AD655" t="s">
        <v>168</v>
      </c>
      <c r="AE655" t="s">
        <v>384</v>
      </c>
      <c r="AF655">
        <v>5000</v>
      </c>
      <c r="AG655" t="s">
        <v>674</v>
      </c>
      <c r="AI655" t="s">
        <v>59</v>
      </c>
      <c r="AL655" t="s">
        <v>2694</v>
      </c>
      <c r="AN655" s="3">
        <v>46056.601388888892</v>
      </c>
      <c r="AO655" t="s">
        <v>2692</v>
      </c>
    </row>
    <row r="656" spans="1:41" x14ac:dyDescent="0.3">
      <c r="A656" t="s">
        <v>61</v>
      </c>
      <c r="B656" t="s">
        <v>655</v>
      </c>
      <c r="C656" t="s">
        <v>43</v>
      </c>
      <c r="D656" t="s">
        <v>656</v>
      </c>
      <c r="E656" s="1">
        <v>46056</v>
      </c>
      <c r="F656" t="s">
        <v>1376</v>
      </c>
      <c r="G656" t="s">
        <v>45</v>
      </c>
      <c r="H656" s="2">
        <v>0.35416666666666669</v>
      </c>
      <c r="I656" s="2">
        <v>0.70833333333333337</v>
      </c>
      <c r="J656" t="s">
        <v>100</v>
      </c>
      <c r="L656" t="s">
        <v>100</v>
      </c>
      <c r="M656" t="s">
        <v>1039</v>
      </c>
      <c r="N656" t="s">
        <v>1040</v>
      </c>
      <c r="O656">
        <v>5951110</v>
      </c>
      <c r="Q656" t="s">
        <v>665</v>
      </c>
      <c r="R656" t="s">
        <v>145</v>
      </c>
      <c r="S656" t="s">
        <v>52</v>
      </c>
      <c r="U656">
        <v>889222</v>
      </c>
      <c r="V656" s="3">
        <v>46037.762499999997</v>
      </c>
      <c r="W656" t="s">
        <v>1042</v>
      </c>
      <c r="X656" t="s">
        <v>1043</v>
      </c>
      <c r="Y656" t="str">
        <f>"0424952006"</f>
        <v>0424952006</v>
      </c>
      <c r="Z656" t="s">
        <v>2695</v>
      </c>
      <c r="AB656" t="s">
        <v>662</v>
      </c>
      <c r="AC656" t="s">
        <v>663</v>
      </c>
      <c r="AD656" t="s">
        <v>61</v>
      </c>
      <c r="AE656" t="s">
        <v>664</v>
      </c>
      <c r="AF656">
        <v>2067</v>
      </c>
      <c r="AG656" t="s">
        <v>1571</v>
      </c>
      <c r="AI656" t="s">
        <v>59</v>
      </c>
      <c r="AL656" t="s">
        <v>2635</v>
      </c>
      <c r="AN656" s="3">
        <v>46056.697916666664</v>
      </c>
      <c r="AO656" t="s">
        <v>1042</v>
      </c>
    </row>
    <row r="657" spans="1:41" x14ac:dyDescent="0.3">
      <c r="A657" t="s">
        <v>874</v>
      </c>
      <c r="B657" t="s">
        <v>875</v>
      </c>
      <c r="D657" t="s">
        <v>388</v>
      </c>
      <c r="E657" s="1">
        <v>46056</v>
      </c>
      <c r="F657" t="s">
        <v>1376</v>
      </c>
      <c r="G657" t="s">
        <v>45</v>
      </c>
      <c r="H657" s="2">
        <v>0.35416666666666669</v>
      </c>
      <c r="I657" s="2">
        <v>0.70833333333333337</v>
      </c>
      <c r="J657" t="s">
        <v>876</v>
      </c>
      <c r="L657" t="s">
        <v>877</v>
      </c>
      <c r="M657" t="s">
        <v>878</v>
      </c>
      <c r="N657" t="s">
        <v>879</v>
      </c>
      <c r="O657">
        <v>5951689</v>
      </c>
      <c r="P657" t="s">
        <v>249</v>
      </c>
      <c r="Q657" t="s">
        <v>880</v>
      </c>
      <c r="R657" t="s">
        <v>392</v>
      </c>
      <c r="S657" t="s">
        <v>52</v>
      </c>
      <c r="T657" t="s">
        <v>252</v>
      </c>
      <c r="U657">
        <v>889586</v>
      </c>
      <c r="V657" s="3">
        <v>46059.589583333334</v>
      </c>
      <c r="W657" t="s">
        <v>881</v>
      </c>
      <c r="X657" t="s">
        <v>882</v>
      </c>
      <c r="Y657" t="str">
        <f>"0474765680"</f>
        <v>0474765680</v>
      </c>
      <c r="Z657" t="s">
        <v>254</v>
      </c>
      <c r="AA657" s="1">
        <v>46110</v>
      </c>
      <c r="AB657" t="s">
        <v>883</v>
      </c>
      <c r="AD657" t="s">
        <v>397</v>
      </c>
      <c r="AE657" t="s">
        <v>884</v>
      </c>
      <c r="AG657" t="s">
        <v>880</v>
      </c>
      <c r="AI657" t="s">
        <v>59</v>
      </c>
      <c r="AJ657" t="str">
        <f>"0090000061"</f>
        <v>0090000061</v>
      </c>
      <c r="AN657" s="3">
        <v>46059.589583333334</v>
      </c>
      <c r="AO657" t="s">
        <v>392</v>
      </c>
    </row>
    <row r="658" spans="1:41" x14ac:dyDescent="0.3">
      <c r="A658" t="s">
        <v>306</v>
      </c>
      <c r="B658" t="s">
        <v>450</v>
      </c>
      <c r="C658" t="s">
        <v>100</v>
      </c>
      <c r="D658" t="s">
        <v>63</v>
      </c>
      <c r="E658" s="1">
        <v>46056</v>
      </c>
      <c r="F658" t="s">
        <v>1376</v>
      </c>
      <c r="G658" t="s">
        <v>45</v>
      </c>
      <c r="H658" s="2">
        <v>0.375</v>
      </c>
      <c r="I658" s="2">
        <v>0.58333333333333337</v>
      </c>
      <c r="J658" t="s">
        <v>451</v>
      </c>
      <c r="L658" t="s">
        <v>452</v>
      </c>
      <c r="M658" t="s">
        <v>1122</v>
      </c>
      <c r="N658" t="s">
        <v>1123</v>
      </c>
      <c r="O658">
        <v>5951585</v>
      </c>
      <c r="Q658" t="s">
        <v>455</v>
      </c>
      <c r="R658" t="s">
        <v>476</v>
      </c>
      <c r="S658" t="s">
        <v>52</v>
      </c>
      <c r="U658">
        <v>889205</v>
      </c>
      <c r="V658" s="3">
        <v>46050.493750000001</v>
      </c>
      <c r="W658" t="s">
        <v>1124</v>
      </c>
      <c r="X658" t="s">
        <v>1125</v>
      </c>
      <c r="Y658" t="str">
        <f>"0406622986"</f>
        <v>0406622986</v>
      </c>
      <c r="Z658" t="s">
        <v>70</v>
      </c>
      <c r="AA658" s="1">
        <v>46056</v>
      </c>
      <c r="AB658" t="s">
        <v>459</v>
      </c>
      <c r="AD658" t="s">
        <v>306</v>
      </c>
      <c r="AE658" t="s">
        <v>460</v>
      </c>
      <c r="AF658">
        <v>3058</v>
      </c>
      <c r="AG658" t="s">
        <v>455</v>
      </c>
      <c r="AI658" t="s">
        <v>59</v>
      </c>
      <c r="AL658" t="s">
        <v>87</v>
      </c>
      <c r="AN658" s="3">
        <v>46056.586805555555</v>
      </c>
      <c r="AO658" t="s">
        <v>1124</v>
      </c>
    </row>
    <row r="659" spans="1:41" x14ac:dyDescent="0.3">
      <c r="A659" t="s">
        <v>61</v>
      </c>
      <c r="B659" t="s">
        <v>1731</v>
      </c>
      <c r="C659" t="s">
        <v>43</v>
      </c>
      <c r="D659" t="s">
        <v>127</v>
      </c>
      <c r="E659" s="1">
        <v>46056</v>
      </c>
      <c r="F659" t="s">
        <v>1376</v>
      </c>
      <c r="G659" t="s">
        <v>45</v>
      </c>
      <c r="H659" s="2">
        <v>0.375</v>
      </c>
      <c r="I659" s="2">
        <v>0.72916666666666663</v>
      </c>
      <c r="J659" t="s">
        <v>2696</v>
      </c>
      <c r="L659" t="s">
        <v>159</v>
      </c>
      <c r="M659" t="s">
        <v>2697</v>
      </c>
      <c r="N659" t="s">
        <v>2698</v>
      </c>
      <c r="O659">
        <v>22027</v>
      </c>
      <c r="P659">
        <v>491589</v>
      </c>
      <c r="Q659" t="s">
        <v>1734</v>
      </c>
      <c r="R659" t="s">
        <v>132</v>
      </c>
      <c r="S659" t="s">
        <v>52</v>
      </c>
      <c r="U659">
        <v>889231</v>
      </c>
      <c r="V659" s="3">
        <v>46055.525000000001</v>
      </c>
      <c r="W659" t="s">
        <v>2699</v>
      </c>
      <c r="X659" t="s">
        <v>2700</v>
      </c>
      <c r="Y659" t="str">
        <f>"0430220611"</f>
        <v>0430220611</v>
      </c>
      <c r="Z659" t="s">
        <v>70</v>
      </c>
      <c r="AA659" s="1">
        <v>46056</v>
      </c>
      <c r="AB659" t="s">
        <v>1735</v>
      </c>
      <c r="AD659" t="s">
        <v>61</v>
      </c>
      <c r="AE659" t="s">
        <v>357</v>
      </c>
      <c r="AF659">
        <v>2153</v>
      </c>
      <c r="AG659" t="s">
        <v>1734</v>
      </c>
      <c r="AI659" t="s">
        <v>59</v>
      </c>
      <c r="AL659" t="s">
        <v>2701</v>
      </c>
      <c r="AN659" s="3">
        <v>46056.737500000003</v>
      </c>
      <c r="AO659" t="s">
        <v>2699</v>
      </c>
    </row>
    <row r="660" spans="1:41" x14ac:dyDescent="0.3">
      <c r="A660" t="s">
        <v>168</v>
      </c>
      <c r="B660" t="s">
        <v>1586</v>
      </c>
      <c r="C660" t="s">
        <v>1587</v>
      </c>
      <c r="D660" t="s">
        <v>268</v>
      </c>
      <c r="E660" s="1">
        <v>46056</v>
      </c>
      <c r="F660" t="s">
        <v>1376</v>
      </c>
      <c r="G660" t="s">
        <v>45</v>
      </c>
      <c r="H660" s="2">
        <v>0.39583333333333331</v>
      </c>
      <c r="I660" s="2">
        <v>0.72916666666666663</v>
      </c>
      <c r="J660" t="s">
        <v>2349</v>
      </c>
      <c r="K660" t="s">
        <v>849</v>
      </c>
      <c r="L660" t="s">
        <v>47</v>
      </c>
      <c r="M660" t="s">
        <v>2702</v>
      </c>
      <c r="N660" t="s">
        <v>2703</v>
      </c>
      <c r="O660">
        <v>5952149</v>
      </c>
      <c r="Q660" t="s">
        <v>1590</v>
      </c>
      <c r="R660" t="s">
        <v>231</v>
      </c>
      <c r="S660" t="s">
        <v>52</v>
      </c>
      <c r="U660">
        <v>889215</v>
      </c>
      <c r="V660" s="3">
        <v>46055.529166666667</v>
      </c>
      <c r="W660" t="s">
        <v>2704</v>
      </c>
      <c r="X660" t="s">
        <v>2705</v>
      </c>
      <c r="Y660" t="str">
        <f>"0411563184"</f>
        <v>0411563184</v>
      </c>
      <c r="Z660" t="s">
        <v>70</v>
      </c>
      <c r="AA660" s="1">
        <v>46056</v>
      </c>
      <c r="AB660" t="s">
        <v>1593</v>
      </c>
      <c r="AC660" t="s">
        <v>1594</v>
      </c>
      <c r="AD660" t="s">
        <v>168</v>
      </c>
      <c r="AE660" t="s">
        <v>1595</v>
      </c>
      <c r="AF660">
        <v>5011</v>
      </c>
      <c r="AG660" t="s">
        <v>1590</v>
      </c>
      <c r="AI660" t="s">
        <v>59</v>
      </c>
      <c r="AL660" t="s">
        <v>2706</v>
      </c>
      <c r="AN660" s="3">
        <v>46056.65347222222</v>
      </c>
      <c r="AO660" t="s">
        <v>2704</v>
      </c>
    </row>
    <row r="661" spans="1:41" x14ac:dyDescent="0.3">
      <c r="A661" t="s">
        <v>61</v>
      </c>
      <c r="B661" t="s">
        <v>912</v>
      </c>
      <c r="C661" t="s">
        <v>913</v>
      </c>
      <c r="D661" t="s">
        <v>184</v>
      </c>
      <c r="E661" s="1">
        <v>46056</v>
      </c>
      <c r="F661" t="s">
        <v>1376</v>
      </c>
      <c r="G661" t="s">
        <v>45</v>
      </c>
      <c r="H661" s="2">
        <v>0.41666666666666669</v>
      </c>
      <c r="I661" s="2">
        <v>0.77083333333333337</v>
      </c>
      <c r="J661" t="s">
        <v>46</v>
      </c>
      <c r="L661" t="s">
        <v>47</v>
      </c>
      <c r="M661" t="s">
        <v>1578</v>
      </c>
      <c r="N661" t="s">
        <v>1803</v>
      </c>
      <c r="O661">
        <v>5950668</v>
      </c>
      <c r="Q661" t="s">
        <v>916</v>
      </c>
      <c r="R661" t="s">
        <v>132</v>
      </c>
      <c r="S661" t="s">
        <v>52</v>
      </c>
      <c r="U661">
        <v>889234</v>
      </c>
      <c r="V661" s="3">
        <v>46038.652777777781</v>
      </c>
      <c r="W661" t="s">
        <v>1804</v>
      </c>
      <c r="X661" t="s">
        <v>1805</v>
      </c>
      <c r="Y661" t="str">
        <f>"0429048174"</f>
        <v>0429048174</v>
      </c>
      <c r="Z661" t="s">
        <v>2707</v>
      </c>
      <c r="AB661" t="s">
        <v>920</v>
      </c>
      <c r="AC661" t="s">
        <v>921</v>
      </c>
      <c r="AD661" t="s">
        <v>61</v>
      </c>
      <c r="AE661" t="s">
        <v>922</v>
      </c>
      <c r="AF661">
        <v>2228</v>
      </c>
      <c r="AG661" t="s">
        <v>1807</v>
      </c>
      <c r="AI661" t="s">
        <v>59</v>
      </c>
      <c r="AL661" t="s">
        <v>2635</v>
      </c>
      <c r="AN661" s="3">
        <v>46056.750694444447</v>
      </c>
      <c r="AO661" t="s">
        <v>1804</v>
      </c>
    </row>
    <row r="662" spans="1:41" x14ac:dyDescent="0.3">
      <c r="A662" t="s">
        <v>75</v>
      </c>
      <c r="B662" t="s">
        <v>76</v>
      </c>
      <c r="C662" t="s">
        <v>43</v>
      </c>
      <c r="D662" t="s">
        <v>63</v>
      </c>
      <c r="E662" s="1">
        <v>46056</v>
      </c>
      <c r="F662" t="s">
        <v>1376</v>
      </c>
      <c r="G662" t="s">
        <v>45</v>
      </c>
      <c r="H662" s="2">
        <v>0.41666666666666669</v>
      </c>
      <c r="I662" s="2">
        <v>0.75</v>
      </c>
      <c r="J662" t="s">
        <v>46</v>
      </c>
      <c r="K662" t="s">
        <v>77</v>
      </c>
      <c r="L662" t="s">
        <v>47</v>
      </c>
      <c r="M662" t="s">
        <v>954</v>
      </c>
      <c r="N662" t="s">
        <v>955</v>
      </c>
      <c r="O662">
        <v>5952037</v>
      </c>
      <c r="Q662" t="s">
        <v>80</v>
      </c>
      <c r="R662" t="s">
        <v>81</v>
      </c>
      <c r="S662" t="s">
        <v>52</v>
      </c>
      <c r="U662">
        <v>889273</v>
      </c>
      <c r="V662" s="3">
        <v>46050.73541666667</v>
      </c>
      <c r="W662" t="s">
        <v>957</v>
      </c>
      <c r="X662" t="s">
        <v>958</v>
      </c>
      <c r="Y662" t="str">
        <f>"0452457162"</f>
        <v>0452457162</v>
      </c>
      <c r="Z662" t="s">
        <v>123</v>
      </c>
      <c r="AB662" t="s">
        <v>85</v>
      </c>
      <c r="AD662" t="s">
        <v>75</v>
      </c>
      <c r="AE662" t="s">
        <v>86</v>
      </c>
      <c r="AF662">
        <v>6000</v>
      </c>
      <c r="AG662" t="s">
        <v>80</v>
      </c>
      <c r="AI662" t="s">
        <v>59</v>
      </c>
      <c r="AL662" t="s">
        <v>2708</v>
      </c>
      <c r="AN662" s="3">
        <v>46056.893750000003</v>
      </c>
      <c r="AO662" t="s">
        <v>957</v>
      </c>
    </row>
    <row r="663" spans="1:41" x14ac:dyDescent="0.3">
      <c r="A663" t="s">
        <v>61</v>
      </c>
      <c r="B663" t="s">
        <v>578</v>
      </c>
      <c r="D663" t="s">
        <v>579</v>
      </c>
      <c r="E663" s="1">
        <v>46056</v>
      </c>
      <c r="F663" t="s">
        <v>1376</v>
      </c>
      <c r="G663" t="s">
        <v>45</v>
      </c>
      <c r="H663" s="2">
        <v>0.41666666666666669</v>
      </c>
      <c r="I663" s="2">
        <v>0.77083333333333337</v>
      </c>
      <c r="J663" t="s">
        <v>269</v>
      </c>
      <c r="L663" t="s">
        <v>172</v>
      </c>
      <c r="M663" t="s">
        <v>580</v>
      </c>
      <c r="N663" t="s">
        <v>581</v>
      </c>
      <c r="O663">
        <v>5951721</v>
      </c>
      <c r="P663" t="s">
        <v>571</v>
      </c>
      <c r="Q663" t="s">
        <v>582</v>
      </c>
      <c r="R663" t="s">
        <v>573</v>
      </c>
      <c r="S663" t="s">
        <v>52</v>
      </c>
      <c r="T663" t="s">
        <v>252</v>
      </c>
      <c r="U663">
        <v>890601</v>
      </c>
      <c r="V663" s="3">
        <v>46069.394444444442</v>
      </c>
      <c r="W663" t="s">
        <v>583</v>
      </c>
      <c r="X663" t="s">
        <v>584</v>
      </c>
      <c r="Y663" t="str">
        <f>"0456677559"</f>
        <v>0456677559</v>
      </c>
      <c r="Z663" t="s">
        <v>55</v>
      </c>
      <c r="AA663" s="1">
        <v>46066</v>
      </c>
      <c r="AB663" t="s">
        <v>586</v>
      </c>
      <c r="AD663" t="s">
        <v>61</v>
      </c>
      <c r="AE663" t="s">
        <v>587</v>
      </c>
      <c r="AF663">
        <v>2320</v>
      </c>
      <c r="AG663" t="s">
        <v>588</v>
      </c>
      <c r="AI663" t="s">
        <v>59</v>
      </c>
      <c r="AJ663" t="str">
        <f>"0010193654"</f>
        <v>0010193654</v>
      </c>
      <c r="AN663" s="3">
        <v>46069.394444444442</v>
      </c>
      <c r="AO663" t="s">
        <v>573</v>
      </c>
    </row>
    <row r="664" spans="1:41" x14ac:dyDescent="0.3">
      <c r="A664" t="s">
        <v>61</v>
      </c>
      <c r="B664" t="s">
        <v>655</v>
      </c>
      <c r="C664" t="s">
        <v>43</v>
      </c>
      <c r="D664" t="s">
        <v>656</v>
      </c>
      <c r="E664" s="1">
        <v>46056</v>
      </c>
      <c r="F664" t="s">
        <v>1376</v>
      </c>
      <c r="G664" t="s">
        <v>45</v>
      </c>
      <c r="H664" s="2">
        <v>0.41666666666666669</v>
      </c>
      <c r="I664" s="2">
        <v>0.99861111111111112</v>
      </c>
      <c r="J664" t="s">
        <v>101</v>
      </c>
      <c r="L664" t="s">
        <v>47</v>
      </c>
      <c r="M664" t="s">
        <v>785</v>
      </c>
      <c r="N664" t="s">
        <v>905</v>
      </c>
      <c r="O664">
        <v>5950885</v>
      </c>
      <c r="Q664" t="s">
        <v>665</v>
      </c>
      <c r="R664" t="s">
        <v>67</v>
      </c>
      <c r="S664" t="s">
        <v>52</v>
      </c>
      <c r="U664">
        <v>889221</v>
      </c>
      <c r="V664" s="3">
        <v>46042.432638888888</v>
      </c>
      <c r="W664" t="s">
        <v>906</v>
      </c>
      <c r="X664" t="s">
        <v>907</v>
      </c>
      <c r="Y664" t="str">
        <f>"0421650139"</f>
        <v>0421650139</v>
      </c>
      <c r="Z664" t="s">
        <v>2709</v>
      </c>
      <c r="AB664" t="s">
        <v>662</v>
      </c>
      <c r="AC664" t="s">
        <v>663</v>
      </c>
      <c r="AD664" t="s">
        <v>61</v>
      </c>
      <c r="AE664" t="s">
        <v>664</v>
      </c>
      <c r="AF664">
        <v>2067</v>
      </c>
      <c r="AG664" t="s">
        <v>665</v>
      </c>
      <c r="AI664" t="s">
        <v>59</v>
      </c>
      <c r="AL664" t="s">
        <v>2710</v>
      </c>
      <c r="AN664" s="3">
        <v>46056.679166666669</v>
      </c>
      <c r="AO664" t="s">
        <v>906</v>
      </c>
    </row>
    <row r="665" spans="1:41" x14ac:dyDescent="0.3">
      <c r="A665" t="s">
        <v>168</v>
      </c>
      <c r="B665" t="s">
        <v>2711</v>
      </c>
      <c r="C665" t="s">
        <v>2348</v>
      </c>
      <c r="E665" s="1">
        <v>46056</v>
      </c>
      <c r="F665" t="s">
        <v>1376</v>
      </c>
      <c r="G665" t="s">
        <v>45</v>
      </c>
      <c r="H665" s="2">
        <v>0.41666666666666669</v>
      </c>
      <c r="I665" s="2">
        <v>0.6875</v>
      </c>
      <c r="J665" t="s">
        <v>170</v>
      </c>
      <c r="K665" t="s">
        <v>77</v>
      </c>
      <c r="L665" t="s">
        <v>47</v>
      </c>
      <c r="M665" t="s">
        <v>1089</v>
      </c>
      <c r="N665" t="s">
        <v>1024</v>
      </c>
      <c r="O665">
        <v>20963</v>
      </c>
      <c r="Q665" t="s">
        <v>2712</v>
      </c>
      <c r="R665" t="s">
        <v>231</v>
      </c>
      <c r="S665" t="s">
        <v>52</v>
      </c>
      <c r="U665">
        <v>889226</v>
      </c>
      <c r="V665" s="3">
        <v>46045.59097222222</v>
      </c>
      <c r="W665" t="s">
        <v>1091</v>
      </c>
      <c r="X665" t="s">
        <v>1092</v>
      </c>
      <c r="Y665" t="str">
        <f>"0430222501"</f>
        <v>0430222501</v>
      </c>
      <c r="Z665" t="s">
        <v>70</v>
      </c>
      <c r="AA665" s="1">
        <v>46056</v>
      </c>
      <c r="AB665" t="s">
        <v>2713</v>
      </c>
      <c r="AC665" t="s">
        <v>920</v>
      </c>
      <c r="AD665" t="s">
        <v>168</v>
      </c>
      <c r="AE665" t="s">
        <v>223</v>
      </c>
      <c r="AF665">
        <v>5069</v>
      </c>
      <c r="AG665" t="s">
        <v>2712</v>
      </c>
      <c r="AI665" t="s">
        <v>59</v>
      </c>
      <c r="AL665" t="s">
        <v>2714</v>
      </c>
      <c r="AM665" t="s">
        <v>2715</v>
      </c>
      <c r="AN665" s="3">
        <v>46056.709722222222</v>
      </c>
      <c r="AO665" t="s">
        <v>1091</v>
      </c>
    </row>
    <row r="666" spans="1:41" x14ac:dyDescent="0.3">
      <c r="A666" t="s">
        <v>41</v>
      </c>
      <c r="B666" t="s">
        <v>1546</v>
      </c>
      <c r="C666" t="s">
        <v>1547</v>
      </c>
      <c r="D666" t="s">
        <v>127</v>
      </c>
      <c r="E666" s="1">
        <v>46056</v>
      </c>
      <c r="F666" t="s">
        <v>1376</v>
      </c>
      <c r="G666" t="s">
        <v>45</v>
      </c>
      <c r="H666" s="2">
        <v>0.45833333333333331</v>
      </c>
      <c r="I666" s="2">
        <v>0.70833333333333337</v>
      </c>
      <c r="J666" t="s">
        <v>464</v>
      </c>
      <c r="L666" t="s">
        <v>464</v>
      </c>
      <c r="M666" t="s">
        <v>465</v>
      </c>
      <c r="N666" t="s">
        <v>466</v>
      </c>
      <c r="O666">
        <v>401722</v>
      </c>
      <c r="Q666" t="s">
        <v>1548</v>
      </c>
      <c r="R666" t="s">
        <v>1472</v>
      </c>
      <c r="S666" t="s">
        <v>52</v>
      </c>
      <c r="U666">
        <v>889225</v>
      </c>
      <c r="V666" s="3">
        <v>46055.680555555555</v>
      </c>
      <c r="W666" t="s">
        <v>468</v>
      </c>
      <c r="X666" t="s">
        <v>469</v>
      </c>
      <c r="Y666" t="str">
        <f>"0423030872"</f>
        <v>0423030872</v>
      </c>
      <c r="Z666" t="s">
        <v>70</v>
      </c>
      <c r="AA666" s="1">
        <v>46056</v>
      </c>
      <c r="AB666" t="s">
        <v>1549</v>
      </c>
      <c r="AC666" t="s">
        <v>1550</v>
      </c>
      <c r="AD666" t="s">
        <v>41</v>
      </c>
      <c r="AE666" t="s">
        <v>150</v>
      </c>
      <c r="AF666">
        <v>4000</v>
      </c>
      <c r="AG666" t="s">
        <v>1548</v>
      </c>
      <c r="AI666" t="s">
        <v>59</v>
      </c>
      <c r="AL666" t="s">
        <v>2622</v>
      </c>
      <c r="AN666" s="3">
        <v>46056.706944444442</v>
      </c>
      <c r="AO666" t="s">
        <v>468</v>
      </c>
    </row>
    <row r="667" spans="1:41" x14ac:dyDescent="0.3">
      <c r="A667" t="s">
        <v>168</v>
      </c>
      <c r="B667" t="s">
        <v>409</v>
      </c>
      <c r="C667" t="s">
        <v>100</v>
      </c>
      <c r="D667" t="s">
        <v>309</v>
      </c>
      <c r="E667" s="1">
        <v>46056</v>
      </c>
      <c r="F667" t="s">
        <v>1376</v>
      </c>
      <c r="G667" t="s">
        <v>128</v>
      </c>
      <c r="H667" s="2">
        <v>0.5</v>
      </c>
      <c r="I667" s="2">
        <v>0.83333333333333337</v>
      </c>
      <c r="J667" t="s">
        <v>100</v>
      </c>
      <c r="L667" t="s">
        <v>100</v>
      </c>
      <c r="M667" t="s">
        <v>2716</v>
      </c>
      <c r="N667" t="s">
        <v>2717</v>
      </c>
      <c r="O667">
        <v>5950873</v>
      </c>
      <c r="Q667" t="s">
        <v>705</v>
      </c>
      <c r="R667" t="s">
        <v>176</v>
      </c>
      <c r="S667" t="s">
        <v>52</v>
      </c>
      <c r="U667">
        <v>889253</v>
      </c>
      <c r="V667" s="3">
        <v>46055.388888888891</v>
      </c>
      <c r="W667" t="s">
        <v>2718</v>
      </c>
      <c r="X667" t="s">
        <v>2719</v>
      </c>
      <c r="Y667" t="str">
        <f>"61401208429"</f>
        <v>61401208429</v>
      </c>
      <c r="Z667" t="s">
        <v>70</v>
      </c>
      <c r="AA667" s="1">
        <v>46056</v>
      </c>
      <c r="AB667" t="s">
        <v>417</v>
      </c>
      <c r="AD667" t="s">
        <v>168</v>
      </c>
      <c r="AE667" t="s">
        <v>384</v>
      </c>
      <c r="AF667">
        <v>5000</v>
      </c>
      <c r="AI667" t="s">
        <v>59</v>
      </c>
      <c r="AL667" t="s">
        <v>2720</v>
      </c>
      <c r="AM667" t="s">
        <v>2721</v>
      </c>
      <c r="AN667" s="3">
        <v>46056.85</v>
      </c>
      <c r="AO667" t="s">
        <v>2718</v>
      </c>
    </row>
    <row r="668" spans="1:41" x14ac:dyDescent="0.3">
      <c r="A668" t="s">
        <v>168</v>
      </c>
      <c r="B668" t="s">
        <v>441</v>
      </c>
      <c r="C668" t="s">
        <v>170</v>
      </c>
      <c r="E668" s="1">
        <v>46056</v>
      </c>
      <c r="F668" t="s">
        <v>1376</v>
      </c>
      <c r="G668" t="s">
        <v>128</v>
      </c>
      <c r="H668" s="2">
        <v>0.5</v>
      </c>
      <c r="I668" s="2">
        <v>0.83333333333333337</v>
      </c>
      <c r="J668" t="s">
        <v>170</v>
      </c>
      <c r="L668" t="s">
        <v>47</v>
      </c>
      <c r="M668" t="s">
        <v>371</v>
      </c>
      <c r="N668" t="s">
        <v>372</v>
      </c>
      <c r="O668">
        <v>20698</v>
      </c>
      <c r="Q668" t="s">
        <v>944</v>
      </c>
      <c r="R668" t="s">
        <v>231</v>
      </c>
      <c r="S668" t="s">
        <v>52</v>
      </c>
      <c r="U668">
        <v>889223</v>
      </c>
      <c r="V668" s="3">
        <v>46056.34097222222</v>
      </c>
      <c r="W668" t="s">
        <v>373</v>
      </c>
      <c r="X668" t="s">
        <v>374</v>
      </c>
      <c r="Y668" t="str">
        <f>"0424925273"</f>
        <v>0424925273</v>
      </c>
      <c r="Z668" t="s">
        <v>70</v>
      </c>
      <c r="AA668" s="1">
        <v>46056</v>
      </c>
      <c r="AB668" t="s">
        <v>448</v>
      </c>
      <c r="AD668" t="s">
        <v>168</v>
      </c>
      <c r="AE668" t="s">
        <v>180</v>
      </c>
      <c r="AF668">
        <v>5063</v>
      </c>
      <c r="AG668" t="s">
        <v>944</v>
      </c>
      <c r="AI668" t="s">
        <v>59</v>
      </c>
      <c r="AN668" s="3">
        <v>46056.7</v>
      </c>
      <c r="AO668" t="s">
        <v>373</v>
      </c>
    </row>
    <row r="669" spans="1:41" x14ac:dyDescent="0.3">
      <c r="A669" t="s">
        <v>61</v>
      </c>
      <c r="B669" t="s">
        <v>62</v>
      </c>
      <c r="C669" t="s">
        <v>43</v>
      </c>
      <c r="D669" t="s">
        <v>63</v>
      </c>
      <c r="E669" s="1">
        <v>46056</v>
      </c>
      <c r="F669" t="s">
        <v>1376</v>
      </c>
      <c r="G669" t="s">
        <v>128</v>
      </c>
      <c r="H669" s="2">
        <v>0.5</v>
      </c>
      <c r="I669" s="2">
        <v>0.70833333333333337</v>
      </c>
      <c r="J669" t="s">
        <v>46</v>
      </c>
      <c r="L669" t="s">
        <v>47</v>
      </c>
      <c r="M669" t="s">
        <v>64</v>
      </c>
      <c r="N669" t="s">
        <v>65</v>
      </c>
      <c r="O669">
        <v>22580</v>
      </c>
      <c r="Q669" t="s">
        <v>66</v>
      </c>
      <c r="R669" t="s">
        <v>67</v>
      </c>
      <c r="S669" t="s">
        <v>52</v>
      </c>
      <c r="U669">
        <v>889224</v>
      </c>
      <c r="V669" s="3">
        <v>46049.379166666666</v>
      </c>
      <c r="W669" t="s">
        <v>68</v>
      </c>
      <c r="X669" t="s">
        <v>69</v>
      </c>
      <c r="Y669" t="str">
        <f>"0414449015"</f>
        <v>0414449015</v>
      </c>
      <c r="Z669" t="s">
        <v>1609</v>
      </c>
      <c r="AB669" t="s">
        <v>71</v>
      </c>
      <c r="AD669" t="s">
        <v>61</v>
      </c>
      <c r="AE669" t="s">
        <v>72</v>
      </c>
      <c r="AF669">
        <v>2747</v>
      </c>
      <c r="AG669" t="s">
        <v>73</v>
      </c>
      <c r="AI669" t="s">
        <v>59</v>
      </c>
      <c r="AL669" t="s">
        <v>2722</v>
      </c>
      <c r="AN669" s="3">
        <v>46056.701388888891</v>
      </c>
      <c r="AO669" t="s">
        <v>68</v>
      </c>
    </row>
    <row r="670" spans="1:41" x14ac:dyDescent="0.3">
      <c r="A670" t="s">
        <v>168</v>
      </c>
      <c r="B670" t="s">
        <v>409</v>
      </c>
      <c r="C670" t="s">
        <v>202</v>
      </c>
      <c r="D670" t="s">
        <v>309</v>
      </c>
      <c r="E670" s="1">
        <v>46056</v>
      </c>
      <c r="F670" t="s">
        <v>1376</v>
      </c>
      <c r="G670" t="s">
        <v>128</v>
      </c>
      <c r="H670" s="2">
        <v>0.5</v>
      </c>
      <c r="I670" s="2">
        <v>0.83333333333333337</v>
      </c>
      <c r="J670" t="s">
        <v>1837</v>
      </c>
      <c r="L670" t="s">
        <v>159</v>
      </c>
      <c r="M670" t="s">
        <v>1033</v>
      </c>
      <c r="N670" t="s">
        <v>1034</v>
      </c>
      <c r="O670">
        <v>5952456</v>
      </c>
      <c r="Q670" t="s">
        <v>413</v>
      </c>
      <c r="R670" t="s">
        <v>1248</v>
      </c>
      <c r="S670" t="s">
        <v>119</v>
      </c>
      <c r="T670" t="s">
        <v>414</v>
      </c>
      <c r="U670">
        <v>889726</v>
      </c>
      <c r="V670" s="3">
        <v>46055.834027777775</v>
      </c>
      <c r="W670" t="s">
        <v>1035</v>
      </c>
      <c r="X670" t="s">
        <v>1036</v>
      </c>
      <c r="Y670" t="str">
        <f>"0431375216"</f>
        <v>0431375216</v>
      </c>
      <c r="Z670" t="s">
        <v>70</v>
      </c>
      <c r="AB670" t="s">
        <v>417</v>
      </c>
      <c r="AD670" t="s">
        <v>168</v>
      </c>
      <c r="AE670" t="s">
        <v>384</v>
      </c>
      <c r="AF670">
        <v>5000</v>
      </c>
      <c r="AI670" t="s">
        <v>59</v>
      </c>
      <c r="AL670" t="s">
        <v>2723</v>
      </c>
      <c r="AM670" t="s">
        <v>2724</v>
      </c>
      <c r="AN670" s="3">
        <v>46055.847222222219</v>
      </c>
      <c r="AO670" t="s">
        <v>1248</v>
      </c>
    </row>
    <row r="671" spans="1:41" x14ac:dyDescent="0.3">
      <c r="A671" t="s">
        <v>41</v>
      </c>
      <c r="B671" t="s">
        <v>1219</v>
      </c>
      <c r="C671" t="s">
        <v>43</v>
      </c>
      <c r="D671" t="s">
        <v>184</v>
      </c>
      <c r="E671" s="1">
        <v>46056</v>
      </c>
      <c r="F671" t="s">
        <v>1376</v>
      </c>
      <c r="G671" t="s">
        <v>128</v>
      </c>
      <c r="H671" s="2">
        <v>0.5</v>
      </c>
      <c r="I671" s="2">
        <v>0.85416666666666663</v>
      </c>
      <c r="J671" t="s">
        <v>46</v>
      </c>
      <c r="L671" t="s">
        <v>47</v>
      </c>
      <c r="M671" t="s">
        <v>1220</v>
      </c>
      <c r="N671" t="s">
        <v>1221</v>
      </c>
      <c r="O671">
        <v>5950857</v>
      </c>
      <c r="Q671" t="s">
        <v>2725</v>
      </c>
      <c r="R671" t="s">
        <v>1472</v>
      </c>
      <c r="S671" t="s">
        <v>52</v>
      </c>
      <c r="U671">
        <v>889269</v>
      </c>
      <c r="V671" s="3">
        <v>46055.393055555556</v>
      </c>
      <c r="W671" t="s">
        <v>1223</v>
      </c>
      <c r="X671" t="s">
        <v>1224</v>
      </c>
      <c r="Y671" t="str">
        <f>"0431426020"</f>
        <v>0431426020</v>
      </c>
      <c r="Z671" t="s">
        <v>70</v>
      </c>
      <c r="AA671" s="1">
        <v>46056</v>
      </c>
      <c r="AB671" t="s">
        <v>1226</v>
      </c>
      <c r="AD671" t="s">
        <v>41</v>
      </c>
      <c r="AE671" t="s">
        <v>1227</v>
      </c>
      <c r="AF671">
        <v>4217</v>
      </c>
      <c r="AG671" t="s">
        <v>1645</v>
      </c>
      <c r="AI671" t="s">
        <v>59</v>
      </c>
      <c r="AL671" t="s">
        <v>2726</v>
      </c>
      <c r="AN671" s="3">
        <v>46056.878472222219</v>
      </c>
      <c r="AO671" t="s">
        <v>1223</v>
      </c>
    </row>
    <row r="672" spans="1:41" x14ac:dyDescent="0.3">
      <c r="A672" t="s">
        <v>168</v>
      </c>
      <c r="B672" t="s">
        <v>441</v>
      </c>
      <c r="C672" t="s">
        <v>100</v>
      </c>
      <c r="E672" s="1">
        <v>46056</v>
      </c>
      <c r="F672" t="s">
        <v>1376</v>
      </c>
      <c r="G672" t="s">
        <v>128</v>
      </c>
      <c r="H672" s="2">
        <v>0.5</v>
      </c>
      <c r="I672" s="2">
        <v>0.83333333333333337</v>
      </c>
      <c r="J672" t="s">
        <v>100</v>
      </c>
      <c r="L672" t="s">
        <v>100</v>
      </c>
      <c r="M672" t="s">
        <v>975</v>
      </c>
      <c r="N672" t="s">
        <v>976</v>
      </c>
      <c r="O672">
        <v>5950948</v>
      </c>
      <c r="Q672" t="s">
        <v>977</v>
      </c>
      <c r="R672" t="s">
        <v>231</v>
      </c>
      <c r="S672" t="s">
        <v>52</v>
      </c>
      <c r="U672">
        <v>889251</v>
      </c>
      <c r="V672" s="3">
        <v>46029.513888888891</v>
      </c>
      <c r="W672" t="s">
        <v>978</v>
      </c>
      <c r="X672" t="s">
        <v>979</v>
      </c>
      <c r="Y672" t="str">
        <f>"0451011613"</f>
        <v>0451011613</v>
      </c>
      <c r="Z672" t="s">
        <v>2727</v>
      </c>
      <c r="AB672" t="s">
        <v>448</v>
      </c>
      <c r="AD672" t="s">
        <v>168</v>
      </c>
      <c r="AE672" t="s">
        <v>180</v>
      </c>
      <c r="AF672">
        <v>5063</v>
      </c>
      <c r="AG672" t="s">
        <v>981</v>
      </c>
      <c r="AI672" t="s">
        <v>59</v>
      </c>
      <c r="AL672" t="s">
        <v>1720</v>
      </c>
      <c r="AN672" s="3">
        <v>46056.848611111112</v>
      </c>
      <c r="AO672" t="s">
        <v>978</v>
      </c>
    </row>
    <row r="673" spans="1:41" x14ac:dyDescent="0.3">
      <c r="A673" t="s">
        <v>168</v>
      </c>
      <c r="B673" t="s">
        <v>982</v>
      </c>
      <c r="C673" t="s">
        <v>100</v>
      </c>
      <c r="D673" t="s">
        <v>127</v>
      </c>
      <c r="E673" s="1">
        <v>46056</v>
      </c>
      <c r="F673" t="s">
        <v>1376</v>
      </c>
      <c r="G673" t="s">
        <v>128</v>
      </c>
      <c r="H673" s="2">
        <v>0.5</v>
      </c>
      <c r="I673" s="2">
        <v>0.83333333333333337</v>
      </c>
      <c r="J673" t="s">
        <v>100</v>
      </c>
      <c r="L673" t="s">
        <v>100</v>
      </c>
      <c r="M673" t="s">
        <v>411</v>
      </c>
      <c r="N673" t="s">
        <v>412</v>
      </c>
      <c r="O673">
        <v>228</v>
      </c>
      <c r="Q673" t="s">
        <v>983</v>
      </c>
      <c r="R673" t="s">
        <v>231</v>
      </c>
      <c r="S673" t="s">
        <v>52</v>
      </c>
      <c r="U673">
        <v>889255</v>
      </c>
      <c r="V673" s="3">
        <v>46030.459027777775</v>
      </c>
      <c r="W673" t="s">
        <v>415</v>
      </c>
      <c r="X673" t="s">
        <v>416</v>
      </c>
      <c r="Y673" t="str">
        <f>"0414869673"</f>
        <v>0414869673</v>
      </c>
      <c r="Z673" t="s">
        <v>2531</v>
      </c>
      <c r="AB673" t="s">
        <v>985</v>
      </c>
      <c r="AD673" t="s">
        <v>168</v>
      </c>
      <c r="AE673" t="s">
        <v>279</v>
      </c>
      <c r="AF673">
        <v>5092</v>
      </c>
      <c r="AG673" t="s">
        <v>986</v>
      </c>
      <c r="AI673" t="s">
        <v>59</v>
      </c>
      <c r="AL673" t="s">
        <v>987</v>
      </c>
      <c r="AN673" s="3">
        <v>46056.852777777778</v>
      </c>
      <c r="AO673" t="s">
        <v>415</v>
      </c>
    </row>
    <row r="674" spans="1:41" x14ac:dyDescent="0.3">
      <c r="A674" t="s">
        <v>75</v>
      </c>
      <c r="B674" t="s">
        <v>1891</v>
      </c>
      <c r="C674" t="s">
        <v>43</v>
      </c>
      <c r="D674" t="s">
        <v>719</v>
      </c>
      <c r="E674" s="1">
        <v>46056</v>
      </c>
      <c r="F674" t="s">
        <v>1376</v>
      </c>
      <c r="G674" t="s">
        <v>128</v>
      </c>
      <c r="H674" s="2">
        <v>0.52083333333333337</v>
      </c>
      <c r="I674" s="2">
        <v>0.875</v>
      </c>
      <c r="J674" t="s">
        <v>101</v>
      </c>
      <c r="L674" t="s">
        <v>159</v>
      </c>
      <c r="M674" t="s">
        <v>187</v>
      </c>
      <c r="N674" t="s">
        <v>1105</v>
      </c>
      <c r="O674">
        <v>21727</v>
      </c>
      <c r="Q674" t="s">
        <v>1892</v>
      </c>
      <c r="R674" t="s">
        <v>1248</v>
      </c>
      <c r="S674" t="s">
        <v>52</v>
      </c>
      <c r="U674">
        <v>889272</v>
      </c>
      <c r="V674" s="3">
        <v>46044.761805555558</v>
      </c>
      <c r="W674" t="s">
        <v>1107</v>
      </c>
      <c r="X674" t="s">
        <v>1108</v>
      </c>
      <c r="Y674" t="str">
        <f>"0407897784"</f>
        <v>0407897784</v>
      </c>
      <c r="Z674" t="s">
        <v>70</v>
      </c>
      <c r="AA674" s="1">
        <v>46056</v>
      </c>
      <c r="AB674" t="s">
        <v>1893</v>
      </c>
      <c r="AD674" t="s">
        <v>75</v>
      </c>
      <c r="AE674" t="s">
        <v>1894</v>
      </c>
      <c r="AF674">
        <v>6007</v>
      </c>
      <c r="AG674" t="s">
        <v>1892</v>
      </c>
      <c r="AI674" t="s">
        <v>59</v>
      </c>
      <c r="AL674" t="s">
        <v>1895</v>
      </c>
      <c r="AN674" s="3">
        <v>46056.893055555556</v>
      </c>
      <c r="AO674" t="s">
        <v>1107</v>
      </c>
    </row>
    <row r="675" spans="1:41" x14ac:dyDescent="0.3">
      <c r="A675" t="s">
        <v>75</v>
      </c>
      <c r="B675" t="s">
        <v>1104</v>
      </c>
      <c r="C675" t="s">
        <v>43</v>
      </c>
      <c r="D675" t="s">
        <v>700</v>
      </c>
      <c r="E675" s="1">
        <v>46056</v>
      </c>
      <c r="F675" t="s">
        <v>1376</v>
      </c>
      <c r="G675" t="s">
        <v>128</v>
      </c>
      <c r="H675" s="2">
        <v>0.52083333333333337</v>
      </c>
      <c r="I675" s="2">
        <v>0.77083333333333337</v>
      </c>
      <c r="J675" t="s">
        <v>101</v>
      </c>
      <c r="L675" t="s">
        <v>967</v>
      </c>
      <c r="M675" t="s">
        <v>2204</v>
      </c>
      <c r="N675" t="s">
        <v>2205</v>
      </c>
      <c r="O675">
        <v>22870</v>
      </c>
      <c r="Q675" t="s">
        <v>2728</v>
      </c>
      <c r="R675" t="s">
        <v>926</v>
      </c>
      <c r="S675" t="s">
        <v>52</v>
      </c>
      <c r="U675">
        <v>889249</v>
      </c>
      <c r="V675" s="3">
        <v>46049.554166666669</v>
      </c>
      <c r="W675" t="s">
        <v>2207</v>
      </c>
      <c r="X675" t="s">
        <v>2208</v>
      </c>
      <c r="Y675" t="str">
        <f>"0417473969"</f>
        <v>0417473969</v>
      </c>
      <c r="Z675" t="s">
        <v>70</v>
      </c>
      <c r="AA675" s="1">
        <v>46056</v>
      </c>
      <c r="AB675" t="s">
        <v>920</v>
      </c>
      <c r="AC675" t="s">
        <v>1109</v>
      </c>
      <c r="AD675" t="s">
        <v>75</v>
      </c>
      <c r="AE675" t="s">
        <v>1110</v>
      </c>
      <c r="AF675">
        <v>6014</v>
      </c>
      <c r="AG675" t="s">
        <v>1106</v>
      </c>
      <c r="AI675" t="s">
        <v>59</v>
      </c>
      <c r="AL675" t="s">
        <v>2729</v>
      </c>
      <c r="AN675" s="3">
        <v>46056.831250000003</v>
      </c>
      <c r="AO675" t="s">
        <v>2207</v>
      </c>
    </row>
    <row r="676" spans="1:41" x14ac:dyDescent="0.3">
      <c r="A676" t="s">
        <v>61</v>
      </c>
      <c r="B676" t="s">
        <v>158</v>
      </c>
      <c r="C676" t="s">
        <v>43</v>
      </c>
      <c r="D676" t="s">
        <v>127</v>
      </c>
      <c r="E676" s="1">
        <v>46056</v>
      </c>
      <c r="F676" t="s">
        <v>1376</v>
      </c>
      <c r="G676" t="s">
        <v>128</v>
      </c>
      <c r="H676" s="2">
        <v>0.52083333333333337</v>
      </c>
      <c r="I676" s="2">
        <v>0.99861111111111112</v>
      </c>
      <c r="J676" t="s">
        <v>101</v>
      </c>
      <c r="L676" t="s">
        <v>159</v>
      </c>
      <c r="M676" t="s">
        <v>2730</v>
      </c>
      <c r="N676" t="s">
        <v>2731</v>
      </c>
      <c r="O676">
        <v>20844</v>
      </c>
      <c r="Q676" t="s">
        <v>162</v>
      </c>
      <c r="R676" t="s">
        <v>67</v>
      </c>
      <c r="S676" t="s">
        <v>52</v>
      </c>
      <c r="U676">
        <v>889233</v>
      </c>
      <c r="V676" s="3">
        <v>46050.629861111112</v>
      </c>
      <c r="W676" t="s">
        <v>2732</v>
      </c>
      <c r="X676" t="s">
        <v>2733</v>
      </c>
      <c r="Y676" t="str">
        <f>"0415077168"</f>
        <v>0415077168</v>
      </c>
      <c r="Z676" t="s">
        <v>2392</v>
      </c>
      <c r="AB676" t="s">
        <v>166</v>
      </c>
      <c r="AD676" t="s">
        <v>61</v>
      </c>
      <c r="AE676" t="s">
        <v>167</v>
      </c>
      <c r="AF676">
        <v>2011</v>
      </c>
      <c r="AG676" t="s">
        <v>162</v>
      </c>
      <c r="AI676" t="s">
        <v>59</v>
      </c>
      <c r="AL676" t="s">
        <v>2635</v>
      </c>
      <c r="AN676" s="3">
        <v>46056.747916666667</v>
      </c>
      <c r="AO676" t="s">
        <v>2732</v>
      </c>
    </row>
    <row r="677" spans="1:41" x14ac:dyDescent="0.3">
      <c r="A677" t="s">
        <v>168</v>
      </c>
      <c r="B677" t="s">
        <v>376</v>
      </c>
      <c r="C677" t="s">
        <v>216</v>
      </c>
      <c r="D677" t="s">
        <v>1386</v>
      </c>
      <c r="E677" s="1">
        <v>46056</v>
      </c>
      <c r="F677" t="s">
        <v>1376</v>
      </c>
      <c r="G677" t="s">
        <v>128</v>
      </c>
      <c r="H677" s="2">
        <v>0.52083333333333337</v>
      </c>
      <c r="I677" s="2">
        <v>0.85416666666666663</v>
      </c>
      <c r="J677" t="s">
        <v>101</v>
      </c>
      <c r="L677" t="s">
        <v>159</v>
      </c>
      <c r="M677" t="s">
        <v>1206</v>
      </c>
      <c r="N677" t="s">
        <v>1207</v>
      </c>
      <c r="O677">
        <v>21307</v>
      </c>
      <c r="Q677" t="s">
        <v>1389</v>
      </c>
      <c r="R677" t="s">
        <v>1390</v>
      </c>
      <c r="S677" t="s">
        <v>52</v>
      </c>
      <c r="U677">
        <v>889232</v>
      </c>
      <c r="V677" s="3">
        <v>46055.553472222222</v>
      </c>
      <c r="W677" t="s">
        <v>1209</v>
      </c>
      <c r="X677" t="s">
        <v>1210</v>
      </c>
      <c r="Y677" t="str">
        <f>"0421122070"</f>
        <v>0421122070</v>
      </c>
      <c r="Z677" t="s">
        <v>70</v>
      </c>
      <c r="AA677" s="1">
        <v>46056</v>
      </c>
      <c r="AB677" t="s">
        <v>383</v>
      </c>
      <c r="AD677" t="s">
        <v>168</v>
      </c>
      <c r="AE677" t="s">
        <v>384</v>
      </c>
      <c r="AF677">
        <v>5000</v>
      </c>
      <c r="AI677" t="s">
        <v>59</v>
      </c>
      <c r="AL677" t="s">
        <v>2734</v>
      </c>
      <c r="AN677" s="3">
        <v>46056.744444444441</v>
      </c>
      <c r="AO677" t="s">
        <v>1209</v>
      </c>
    </row>
    <row r="678" spans="1:41" x14ac:dyDescent="0.3">
      <c r="A678" t="s">
        <v>61</v>
      </c>
      <c r="B678" t="s">
        <v>158</v>
      </c>
      <c r="C678" t="s">
        <v>43</v>
      </c>
      <c r="D678" t="s">
        <v>127</v>
      </c>
      <c r="E678" s="1">
        <v>46056</v>
      </c>
      <c r="F678" t="s">
        <v>1376</v>
      </c>
      <c r="G678" t="s">
        <v>128</v>
      </c>
      <c r="H678" s="2">
        <v>0.52083333333333337</v>
      </c>
      <c r="I678" s="2">
        <v>0.99861111111111112</v>
      </c>
      <c r="J678" t="s">
        <v>46</v>
      </c>
      <c r="K678" t="s">
        <v>2537</v>
      </c>
      <c r="L678" t="s">
        <v>47</v>
      </c>
      <c r="M678" t="s">
        <v>1080</v>
      </c>
      <c r="N678" t="s">
        <v>1081</v>
      </c>
      <c r="O678">
        <v>5951255</v>
      </c>
      <c r="Q678" t="s">
        <v>1131</v>
      </c>
      <c r="R678" t="s">
        <v>132</v>
      </c>
      <c r="S678" t="s">
        <v>52</v>
      </c>
      <c r="U678">
        <v>889239</v>
      </c>
      <c r="V678" s="3">
        <v>46041.356944444444</v>
      </c>
      <c r="W678" t="s">
        <v>1083</v>
      </c>
      <c r="X678" t="s">
        <v>1084</v>
      </c>
      <c r="Y678" t="str">
        <f>"0451307044"</f>
        <v>0451307044</v>
      </c>
      <c r="Z678" t="s">
        <v>123</v>
      </c>
      <c r="AB678" t="s">
        <v>166</v>
      </c>
      <c r="AD678" t="s">
        <v>61</v>
      </c>
      <c r="AE678" t="s">
        <v>167</v>
      </c>
      <c r="AF678">
        <v>2011</v>
      </c>
      <c r="AG678" t="s">
        <v>1131</v>
      </c>
      <c r="AI678" t="s">
        <v>59</v>
      </c>
      <c r="AL678" t="s">
        <v>2635</v>
      </c>
      <c r="AN678" s="3">
        <v>46056.779861111114</v>
      </c>
      <c r="AO678" t="s">
        <v>1083</v>
      </c>
    </row>
    <row r="679" spans="1:41" x14ac:dyDescent="0.3">
      <c r="A679" t="s">
        <v>61</v>
      </c>
      <c r="B679" t="s">
        <v>158</v>
      </c>
      <c r="C679" t="s">
        <v>43</v>
      </c>
      <c r="D679" t="s">
        <v>127</v>
      </c>
      <c r="E679" s="1">
        <v>46056</v>
      </c>
      <c r="F679" t="s">
        <v>1376</v>
      </c>
      <c r="G679" t="s">
        <v>128</v>
      </c>
      <c r="H679" s="2">
        <v>0.52083333333333337</v>
      </c>
      <c r="I679" s="2">
        <v>0.99861111111111112</v>
      </c>
      <c r="J679" t="s">
        <v>185</v>
      </c>
      <c r="K679" t="s">
        <v>2136</v>
      </c>
      <c r="L679" t="s">
        <v>186</v>
      </c>
      <c r="M679" t="s">
        <v>239</v>
      </c>
      <c r="N679" t="s">
        <v>240</v>
      </c>
      <c r="O679">
        <v>22527</v>
      </c>
      <c r="Q679" t="s">
        <v>162</v>
      </c>
      <c r="R679" t="s">
        <v>67</v>
      </c>
      <c r="S679" t="s">
        <v>52</v>
      </c>
      <c r="U679">
        <v>889290</v>
      </c>
      <c r="V679" s="3">
        <v>46050.629861111112</v>
      </c>
      <c r="W679" t="s">
        <v>241</v>
      </c>
      <c r="X679" t="s">
        <v>242</v>
      </c>
      <c r="Y679" t="str">
        <f>"0426409124"</f>
        <v>0426409124</v>
      </c>
      <c r="Z679" t="s">
        <v>2735</v>
      </c>
      <c r="AB679" t="s">
        <v>166</v>
      </c>
      <c r="AD679" t="s">
        <v>61</v>
      </c>
      <c r="AE679" t="s">
        <v>167</v>
      </c>
      <c r="AF679">
        <v>2011</v>
      </c>
      <c r="AG679" t="s">
        <v>162</v>
      </c>
      <c r="AI679" t="s">
        <v>59</v>
      </c>
      <c r="AL679" t="s">
        <v>2635</v>
      </c>
      <c r="AN679" s="3">
        <v>46057.290972222225</v>
      </c>
      <c r="AO679" t="s">
        <v>241</v>
      </c>
    </row>
    <row r="680" spans="1:41" x14ac:dyDescent="0.3">
      <c r="A680" t="s">
        <v>41</v>
      </c>
      <c r="B680" t="s">
        <v>244</v>
      </c>
      <c r="C680" t="s">
        <v>245</v>
      </c>
      <c r="D680" t="s">
        <v>246</v>
      </c>
      <c r="E680" s="1">
        <v>46056</v>
      </c>
      <c r="F680" t="s">
        <v>1376</v>
      </c>
      <c r="G680" t="s">
        <v>45</v>
      </c>
      <c r="H680" s="2">
        <v>0.52083333333333337</v>
      </c>
      <c r="I680" s="2">
        <v>0.875</v>
      </c>
      <c r="J680" t="s">
        <v>100</v>
      </c>
      <c r="L680" t="s">
        <v>100</v>
      </c>
      <c r="M680" t="s">
        <v>247</v>
      </c>
      <c r="N680" t="s">
        <v>248</v>
      </c>
      <c r="O680">
        <v>20770</v>
      </c>
      <c r="P680" t="s">
        <v>249</v>
      </c>
      <c r="Q680" t="s">
        <v>250</v>
      </c>
      <c r="R680" t="s">
        <v>251</v>
      </c>
      <c r="S680" t="s">
        <v>52</v>
      </c>
      <c r="T680" t="s">
        <v>252</v>
      </c>
      <c r="U680">
        <v>889762</v>
      </c>
      <c r="V680" s="3">
        <v>46062.351388888892</v>
      </c>
      <c r="W680" t="s">
        <v>251</v>
      </c>
      <c r="X680" t="s">
        <v>253</v>
      </c>
      <c r="Y680" t="str">
        <f>"0429586658"</f>
        <v>0429586658</v>
      </c>
      <c r="Z680" t="s">
        <v>254</v>
      </c>
      <c r="AA680" s="1">
        <v>46068</v>
      </c>
      <c r="AB680" t="s">
        <v>255</v>
      </c>
      <c r="AD680" t="s">
        <v>41</v>
      </c>
      <c r="AE680" t="s">
        <v>256</v>
      </c>
      <c r="AF680">
        <v>4655</v>
      </c>
      <c r="AG680" t="s">
        <v>1910</v>
      </c>
      <c r="AI680" t="s">
        <v>59</v>
      </c>
      <c r="AJ680" t="str">
        <f>"0050076900"</f>
        <v>0050076900</v>
      </c>
      <c r="AN680" s="3">
        <v>46062.351388888892</v>
      </c>
      <c r="AO680" t="s">
        <v>251</v>
      </c>
    </row>
    <row r="681" spans="1:41" x14ac:dyDescent="0.3">
      <c r="A681" t="s">
        <v>168</v>
      </c>
      <c r="B681" t="s">
        <v>215</v>
      </c>
      <c r="C681" t="s">
        <v>43</v>
      </c>
      <c r="D681" t="s">
        <v>127</v>
      </c>
      <c r="E681" s="1">
        <v>46056</v>
      </c>
      <c r="F681" t="s">
        <v>1376</v>
      </c>
      <c r="G681" t="s">
        <v>128</v>
      </c>
      <c r="H681" s="2">
        <v>0.52083333333333337</v>
      </c>
      <c r="I681" s="2">
        <v>0.85416666666666663</v>
      </c>
      <c r="J681" t="s">
        <v>258</v>
      </c>
      <c r="K681" t="s">
        <v>259</v>
      </c>
      <c r="L681" t="s">
        <v>186</v>
      </c>
      <c r="M681" t="s">
        <v>651</v>
      </c>
      <c r="N681" t="s">
        <v>412</v>
      </c>
      <c r="O681">
        <v>21855</v>
      </c>
      <c r="Q681" t="s">
        <v>2736</v>
      </c>
      <c r="R681" t="s">
        <v>176</v>
      </c>
      <c r="S681" t="s">
        <v>52</v>
      </c>
      <c r="U681">
        <v>889241</v>
      </c>
      <c r="V681" s="3">
        <v>46043.772222222222</v>
      </c>
      <c r="W681" t="s">
        <v>652</v>
      </c>
      <c r="X681" t="s">
        <v>653</v>
      </c>
      <c r="Y681" t="str">
        <f>"0407317111"</f>
        <v>0407317111</v>
      </c>
      <c r="Z681" t="s">
        <v>2737</v>
      </c>
      <c r="AB681" t="s">
        <v>222</v>
      </c>
      <c r="AD681" t="s">
        <v>168</v>
      </c>
      <c r="AE681" t="s">
        <v>223</v>
      </c>
      <c r="AF681">
        <v>5069</v>
      </c>
      <c r="AG681" t="s">
        <v>219</v>
      </c>
      <c r="AI681" t="s">
        <v>59</v>
      </c>
      <c r="AL681" t="s">
        <v>2738</v>
      </c>
      <c r="AN681" s="3">
        <v>46056.790972222225</v>
      </c>
      <c r="AO681" t="s">
        <v>652</v>
      </c>
    </row>
    <row r="682" spans="1:41" x14ac:dyDescent="0.3">
      <c r="A682" t="s">
        <v>61</v>
      </c>
      <c r="B682" t="s">
        <v>62</v>
      </c>
      <c r="C682" t="s">
        <v>100</v>
      </c>
      <c r="D682" t="s">
        <v>63</v>
      </c>
      <c r="E682" s="1">
        <v>46056</v>
      </c>
      <c r="F682" t="s">
        <v>1376</v>
      </c>
      <c r="G682" t="s">
        <v>128</v>
      </c>
      <c r="H682" s="2">
        <v>0.54166666666666663</v>
      </c>
      <c r="I682" s="2">
        <v>0.89583333333333337</v>
      </c>
      <c r="J682" t="s">
        <v>100</v>
      </c>
      <c r="L682" t="s">
        <v>100</v>
      </c>
      <c r="M682" t="s">
        <v>101</v>
      </c>
      <c r="N682" t="s">
        <v>102</v>
      </c>
      <c r="O682">
        <v>27</v>
      </c>
      <c r="Q682" t="s">
        <v>103</v>
      </c>
      <c r="R682" t="s">
        <v>67</v>
      </c>
      <c r="S682" t="s">
        <v>52</v>
      </c>
      <c r="U682">
        <v>889270</v>
      </c>
      <c r="V682" s="3">
        <v>46034.648611111108</v>
      </c>
      <c r="W682" t="s">
        <v>104</v>
      </c>
      <c r="X682" t="s">
        <v>105</v>
      </c>
      <c r="Y682" t="str">
        <f>"0403748369"</f>
        <v>0403748369</v>
      </c>
      <c r="Z682" t="s">
        <v>2739</v>
      </c>
      <c r="AB682" t="s">
        <v>71</v>
      </c>
      <c r="AD682" t="s">
        <v>61</v>
      </c>
      <c r="AE682" t="s">
        <v>72</v>
      </c>
      <c r="AF682">
        <v>2747</v>
      </c>
      <c r="AG682" t="s">
        <v>1051</v>
      </c>
      <c r="AI682" t="s">
        <v>59</v>
      </c>
      <c r="AL682" t="s">
        <v>2740</v>
      </c>
      <c r="AN682" s="3">
        <v>46056.884027777778</v>
      </c>
      <c r="AO682" t="s">
        <v>104</v>
      </c>
    </row>
    <row r="683" spans="1:41" x14ac:dyDescent="0.3">
      <c r="A683" t="s">
        <v>168</v>
      </c>
      <c r="B683" t="s">
        <v>336</v>
      </c>
      <c r="C683" t="s">
        <v>602</v>
      </c>
      <c r="D683" t="s">
        <v>268</v>
      </c>
      <c r="E683" s="1">
        <v>46056</v>
      </c>
      <c r="F683" t="s">
        <v>1376</v>
      </c>
      <c r="G683" t="s">
        <v>128</v>
      </c>
      <c r="H683" s="2">
        <v>0.54166666666666663</v>
      </c>
      <c r="I683" s="2">
        <v>0.89583333333333337</v>
      </c>
      <c r="J683" t="s">
        <v>269</v>
      </c>
      <c r="K683" t="s">
        <v>712</v>
      </c>
      <c r="L683" t="s">
        <v>713</v>
      </c>
      <c r="M683" t="s">
        <v>476</v>
      </c>
      <c r="N683" t="s">
        <v>714</v>
      </c>
      <c r="O683">
        <v>5951199</v>
      </c>
      <c r="P683" t="s">
        <v>712</v>
      </c>
      <c r="Q683" t="s">
        <v>342</v>
      </c>
      <c r="R683" t="s">
        <v>176</v>
      </c>
      <c r="S683" t="s">
        <v>52</v>
      </c>
      <c r="U683">
        <v>889230</v>
      </c>
      <c r="V683" s="3">
        <v>46042.581944444442</v>
      </c>
      <c r="W683" t="s">
        <v>715</v>
      </c>
      <c r="X683" t="s">
        <v>716</v>
      </c>
      <c r="Y683" t="str">
        <f>"0426611875"</f>
        <v>0426611875</v>
      </c>
      <c r="Z683" t="s">
        <v>254</v>
      </c>
      <c r="AB683" t="s">
        <v>346</v>
      </c>
      <c r="AD683" t="s">
        <v>168</v>
      </c>
      <c r="AE683" t="s">
        <v>347</v>
      </c>
      <c r="AF683">
        <v>5042</v>
      </c>
      <c r="AG683" t="s">
        <v>342</v>
      </c>
      <c r="AI683" t="s">
        <v>59</v>
      </c>
      <c r="AL683" t="s">
        <v>2741</v>
      </c>
      <c r="AM683" t="s">
        <v>349</v>
      </c>
      <c r="AN683" s="3">
        <v>46056.732638888891</v>
      </c>
      <c r="AO683" t="s">
        <v>715</v>
      </c>
    </row>
    <row r="684" spans="1:41" x14ac:dyDescent="0.3">
      <c r="A684" t="s">
        <v>61</v>
      </c>
      <c r="B684" t="s">
        <v>1408</v>
      </c>
      <c r="C684" t="s">
        <v>43</v>
      </c>
      <c r="D684" t="s">
        <v>719</v>
      </c>
      <c r="E684" s="1">
        <v>46056</v>
      </c>
      <c r="F684" t="s">
        <v>1376</v>
      </c>
      <c r="G684" t="s">
        <v>128</v>
      </c>
      <c r="H684" s="2">
        <v>0.54166666666666663</v>
      </c>
      <c r="I684" s="2">
        <v>0.99861111111111112</v>
      </c>
      <c r="J684" t="s">
        <v>185</v>
      </c>
      <c r="K684" t="s">
        <v>2742</v>
      </c>
      <c r="L684" t="s">
        <v>784</v>
      </c>
      <c r="M684" t="s">
        <v>785</v>
      </c>
      <c r="N684" t="s">
        <v>786</v>
      </c>
      <c r="O684">
        <v>5951112</v>
      </c>
      <c r="Q684" t="s">
        <v>2743</v>
      </c>
      <c r="R684" t="s">
        <v>132</v>
      </c>
      <c r="S684" t="s">
        <v>52</v>
      </c>
      <c r="U684">
        <v>889242</v>
      </c>
      <c r="V684" s="3">
        <v>46042.451388888891</v>
      </c>
      <c r="W684" t="s">
        <v>787</v>
      </c>
      <c r="X684" t="s">
        <v>788</v>
      </c>
      <c r="Y684" t="str">
        <f>"0423329386"</f>
        <v>0423329386</v>
      </c>
      <c r="Z684" t="s">
        <v>1375</v>
      </c>
      <c r="AB684" t="s">
        <v>1414</v>
      </c>
      <c r="AD684" t="s">
        <v>61</v>
      </c>
      <c r="AE684" t="s">
        <v>72</v>
      </c>
      <c r="AF684">
        <v>2747</v>
      </c>
      <c r="AG684" t="s">
        <v>2743</v>
      </c>
      <c r="AI684" t="s">
        <v>59</v>
      </c>
      <c r="AL684" t="s">
        <v>2744</v>
      </c>
      <c r="AN684" s="3">
        <v>46056.793055555558</v>
      </c>
      <c r="AO684" t="s">
        <v>787</v>
      </c>
    </row>
    <row r="685" spans="1:41" x14ac:dyDescent="0.3">
      <c r="A685" t="s">
        <v>61</v>
      </c>
      <c r="B685" t="s">
        <v>182</v>
      </c>
      <c r="C685" t="s">
        <v>100</v>
      </c>
      <c r="D685" t="s">
        <v>184</v>
      </c>
      <c r="E685" s="1">
        <v>46056</v>
      </c>
      <c r="F685" t="s">
        <v>1376</v>
      </c>
      <c r="G685" t="s">
        <v>128</v>
      </c>
      <c r="H685" s="2">
        <v>0.54166666666666663</v>
      </c>
      <c r="I685" s="2">
        <v>0.89583333333333337</v>
      </c>
      <c r="J685" t="s">
        <v>100</v>
      </c>
      <c r="L685" t="s">
        <v>100</v>
      </c>
      <c r="M685" t="s">
        <v>1188</v>
      </c>
      <c r="N685" t="s">
        <v>1189</v>
      </c>
      <c r="O685">
        <v>21235</v>
      </c>
      <c r="Q685" t="s">
        <v>1190</v>
      </c>
      <c r="R685" t="s">
        <v>67</v>
      </c>
      <c r="S685" t="s">
        <v>52</v>
      </c>
      <c r="U685">
        <v>889267</v>
      </c>
      <c r="V685" s="3">
        <v>46044.34097222222</v>
      </c>
      <c r="W685" t="s">
        <v>1191</v>
      </c>
      <c r="X685" t="s">
        <v>1192</v>
      </c>
      <c r="Y685" t="str">
        <f>"0479157796"</f>
        <v>0479157796</v>
      </c>
      <c r="Z685" t="s">
        <v>2745</v>
      </c>
      <c r="AB685" t="s">
        <v>193</v>
      </c>
      <c r="AD685" t="s">
        <v>61</v>
      </c>
      <c r="AE685" t="s">
        <v>194</v>
      </c>
      <c r="AF685">
        <v>2229</v>
      </c>
      <c r="AG685" t="s">
        <v>1045</v>
      </c>
      <c r="AI685" t="s">
        <v>59</v>
      </c>
      <c r="AL685" t="s">
        <v>2635</v>
      </c>
      <c r="AN685" s="3">
        <v>46056.870833333334</v>
      </c>
      <c r="AO685" t="s">
        <v>1191</v>
      </c>
    </row>
    <row r="686" spans="1:41" x14ac:dyDescent="0.3">
      <c r="A686" t="s">
        <v>168</v>
      </c>
      <c r="B686" t="s">
        <v>1021</v>
      </c>
      <c r="C686" t="s">
        <v>216</v>
      </c>
      <c r="D686" t="s">
        <v>127</v>
      </c>
      <c r="E686" s="1">
        <v>46056</v>
      </c>
      <c r="F686" t="s">
        <v>1376</v>
      </c>
      <c r="G686" t="s">
        <v>128</v>
      </c>
      <c r="H686" s="2">
        <v>0.5625</v>
      </c>
      <c r="I686" s="2">
        <v>0.77083333333333337</v>
      </c>
      <c r="J686" t="s">
        <v>101</v>
      </c>
      <c r="L686" t="s">
        <v>159</v>
      </c>
      <c r="M686" t="s">
        <v>1552</v>
      </c>
      <c r="N686" t="s">
        <v>1553</v>
      </c>
      <c r="O686">
        <v>5951790</v>
      </c>
      <c r="Q686" t="s">
        <v>1025</v>
      </c>
      <c r="R686" t="s">
        <v>231</v>
      </c>
      <c r="S686" t="s">
        <v>52</v>
      </c>
      <c r="U686">
        <v>889238</v>
      </c>
      <c r="V686" s="3">
        <v>46056.367361111108</v>
      </c>
      <c r="W686" t="s">
        <v>1554</v>
      </c>
      <c r="X686" t="s">
        <v>1555</v>
      </c>
      <c r="Y686" t="str">
        <f>"0402115073"</f>
        <v>0402115073</v>
      </c>
      <c r="Z686" t="s">
        <v>70</v>
      </c>
      <c r="AA686" s="1">
        <v>46056</v>
      </c>
      <c r="AB686" t="s">
        <v>1029</v>
      </c>
      <c r="AD686" t="s">
        <v>168</v>
      </c>
      <c r="AE686" t="s">
        <v>1030</v>
      </c>
      <c r="AF686">
        <v>5022</v>
      </c>
      <c r="AG686" t="s">
        <v>2655</v>
      </c>
      <c r="AI686" t="s">
        <v>59</v>
      </c>
      <c r="AL686" t="s">
        <v>87</v>
      </c>
      <c r="AN686" s="3">
        <v>46056.776388888888</v>
      </c>
      <c r="AO686" t="s">
        <v>1554</v>
      </c>
    </row>
    <row r="687" spans="1:41" x14ac:dyDescent="0.3">
      <c r="A687" t="s">
        <v>61</v>
      </c>
      <c r="B687" t="s">
        <v>1937</v>
      </c>
      <c r="C687" t="s">
        <v>100</v>
      </c>
      <c r="D687" t="s">
        <v>184</v>
      </c>
      <c r="E687" s="1">
        <v>46056</v>
      </c>
      <c r="F687" t="s">
        <v>1376</v>
      </c>
      <c r="G687" t="s">
        <v>128</v>
      </c>
      <c r="H687" s="2">
        <v>0.5625</v>
      </c>
      <c r="I687" s="2">
        <v>0.91666666666666663</v>
      </c>
      <c r="J687" t="s">
        <v>100</v>
      </c>
      <c r="L687" t="s">
        <v>100</v>
      </c>
      <c r="M687" t="s">
        <v>1938</v>
      </c>
      <c r="N687" t="s">
        <v>1939</v>
      </c>
      <c r="O687">
        <v>5951653</v>
      </c>
      <c r="Q687" t="s">
        <v>1087</v>
      </c>
      <c r="R687" t="s">
        <v>67</v>
      </c>
      <c r="S687" t="s">
        <v>52</v>
      </c>
      <c r="U687">
        <v>889276</v>
      </c>
      <c r="V687" s="3">
        <v>46051.433333333334</v>
      </c>
      <c r="W687" t="s">
        <v>1940</v>
      </c>
      <c r="X687" t="s">
        <v>1941</v>
      </c>
      <c r="Y687" t="str">
        <f>"0422928911"</f>
        <v>0422928911</v>
      </c>
      <c r="Z687" t="s">
        <v>1324</v>
      </c>
      <c r="AB687" t="s">
        <v>1942</v>
      </c>
      <c r="AD687" t="s">
        <v>61</v>
      </c>
      <c r="AE687" t="s">
        <v>1943</v>
      </c>
      <c r="AF687">
        <v>2065</v>
      </c>
      <c r="AG687" t="s">
        <v>1087</v>
      </c>
      <c r="AI687" t="s">
        <v>59</v>
      </c>
      <c r="AL687" t="s">
        <v>2635</v>
      </c>
      <c r="AN687" s="3">
        <v>46056.926388888889</v>
      </c>
      <c r="AO687" t="s">
        <v>1940</v>
      </c>
    </row>
    <row r="688" spans="1:41" x14ac:dyDescent="0.3">
      <c r="A688" t="s">
        <v>61</v>
      </c>
      <c r="B688" t="s">
        <v>182</v>
      </c>
      <c r="C688" t="s">
        <v>484</v>
      </c>
      <c r="D688" t="s">
        <v>184</v>
      </c>
      <c r="E688" s="1">
        <v>46056</v>
      </c>
      <c r="F688" t="s">
        <v>1376</v>
      </c>
      <c r="G688" t="s">
        <v>128</v>
      </c>
      <c r="H688" s="2">
        <v>0.5625</v>
      </c>
      <c r="I688" s="2">
        <v>0.91666666666666663</v>
      </c>
      <c r="J688" t="s">
        <v>486</v>
      </c>
      <c r="L688" t="s">
        <v>487</v>
      </c>
      <c r="M688" t="s">
        <v>2049</v>
      </c>
      <c r="N688" t="s">
        <v>2050</v>
      </c>
      <c r="O688">
        <v>5951002</v>
      </c>
      <c r="Q688" t="s">
        <v>2746</v>
      </c>
      <c r="R688" t="s">
        <v>132</v>
      </c>
      <c r="S688" t="s">
        <v>52</v>
      </c>
      <c r="U688">
        <v>889279</v>
      </c>
      <c r="V688" s="3">
        <v>46038.620138888888</v>
      </c>
      <c r="W688" t="s">
        <v>2051</v>
      </c>
      <c r="X688" t="s">
        <v>2052</v>
      </c>
      <c r="Y688" t="str">
        <f>"0421386436"</f>
        <v>0421386436</v>
      </c>
      <c r="Z688" t="s">
        <v>2747</v>
      </c>
      <c r="AB688" t="s">
        <v>193</v>
      </c>
      <c r="AD688" t="s">
        <v>61</v>
      </c>
      <c r="AE688" t="s">
        <v>194</v>
      </c>
      <c r="AF688">
        <v>2229</v>
      </c>
      <c r="AG688" t="s">
        <v>129</v>
      </c>
      <c r="AI688" t="s">
        <v>59</v>
      </c>
      <c r="AL688" t="s">
        <v>2635</v>
      </c>
      <c r="AN688" s="3">
        <v>46056.938888888886</v>
      </c>
      <c r="AO688" t="s">
        <v>2051</v>
      </c>
    </row>
    <row r="689" spans="1:41" x14ac:dyDescent="0.3">
      <c r="A689" t="s">
        <v>168</v>
      </c>
      <c r="B689" t="s">
        <v>376</v>
      </c>
      <c r="C689" t="s">
        <v>100</v>
      </c>
      <c r="D689" t="s">
        <v>127</v>
      </c>
      <c r="E689" s="1">
        <v>46056</v>
      </c>
      <c r="F689" t="s">
        <v>1376</v>
      </c>
      <c r="G689" t="s">
        <v>128</v>
      </c>
      <c r="H689" s="2">
        <v>0.58333333333333337</v>
      </c>
      <c r="I689" s="2">
        <v>0.875</v>
      </c>
      <c r="J689" t="s">
        <v>100</v>
      </c>
      <c r="L689" t="s">
        <v>100</v>
      </c>
      <c r="M689" t="s">
        <v>377</v>
      </c>
      <c r="N689" t="s">
        <v>378</v>
      </c>
      <c r="O689">
        <v>21963</v>
      </c>
      <c r="Q689" t="s">
        <v>2748</v>
      </c>
      <c r="R689" t="s">
        <v>380</v>
      </c>
      <c r="S689" t="s">
        <v>52</v>
      </c>
      <c r="U689">
        <v>889271</v>
      </c>
      <c r="V689" s="3">
        <v>46034.53125</v>
      </c>
      <c r="W689" t="s">
        <v>381</v>
      </c>
      <c r="X689" t="s">
        <v>382</v>
      </c>
      <c r="Y689" t="str">
        <f>"0438336604"</f>
        <v>0438336604</v>
      </c>
      <c r="Z689" t="s">
        <v>550</v>
      </c>
      <c r="AB689" t="s">
        <v>383</v>
      </c>
      <c r="AD689" t="s">
        <v>168</v>
      </c>
      <c r="AE689" t="s">
        <v>384</v>
      </c>
      <c r="AF689">
        <v>5000</v>
      </c>
      <c r="AI689" t="s">
        <v>59</v>
      </c>
      <c r="AL689" t="s">
        <v>385</v>
      </c>
      <c r="AM689" t="s">
        <v>2749</v>
      </c>
      <c r="AN689" s="3">
        <v>46056.886805555558</v>
      </c>
      <c r="AO689" t="s">
        <v>381</v>
      </c>
    </row>
    <row r="690" spans="1:41" x14ac:dyDescent="0.3">
      <c r="A690" t="s">
        <v>61</v>
      </c>
      <c r="B690" t="s">
        <v>182</v>
      </c>
      <c r="C690" t="s">
        <v>183</v>
      </c>
      <c r="D690" t="s">
        <v>184</v>
      </c>
      <c r="E690" s="1">
        <v>46056</v>
      </c>
      <c r="F690" t="s">
        <v>1376</v>
      </c>
      <c r="G690" t="s">
        <v>128</v>
      </c>
      <c r="H690" s="2">
        <v>0.58333333333333337</v>
      </c>
      <c r="I690" s="2">
        <v>0.99861111111111112</v>
      </c>
      <c r="J690" t="s">
        <v>185</v>
      </c>
      <c r="L690" t="s">
        <v>790</v>
      </c>
      <c r="M690" t="s">
        <v>791</v>
      </c>
      <c r="N690" t="s">
        <v>792</v>
      </c>
      <c r="O690">
        <v>5952334</v>
      </c>
      <c r="Q690" t="s">
        <v>189</v>
      </c>
      <c r="R690" t="s">
        <v>67</v>
      </c>
      <c r="S690" t="s">
        <v>52</v>
      </c>
      <c r="U690">
        <v>889243</v>
      </c>
      <c r="V690" s="3">
        <v>46051.481944444444</v>
      </c>
      <c r="W690" t="s">
        <v>793</v>
      </c>
      <c r="X690" t="s">
        <v>794</v>
      </c>
      <c r="Y690" t="str">
        <f>"0422273393"</f>
        <v>0422273393</v>
      </c>
      <c r="Z690" t="s">
        <v>70</v>
      </c>
      <c r="AB690" t="s">
        <v>193</v>
      </c>
      <c r="AD690" t="s">
        <v>61</v>
      </c>
      <c r="AE690" t="s">
        <v>194</v>
      </c>
      <c r="AF690">
        <v>2229</v>
      </c>
      <c r="AG690" t="s">
        <v>189</v>
      </c>
      <c r="AI690" t="s">
        <v>59</v>
      </c>
      <c r="AL690" t="s">
        <v>2750</v>
      </c>
      <c r="AN690" s="3">
        <v>46056.801388888889</v>
      </c>
      <c r="AO690" t="s">
        <v>793</v>
      </c>
    </row>
    <row r="691" spans="1:41" x14ac:dyDescent="0.3">
      <c r="A691" t="s">
        <v>168</v>
      </c>
      <c r="B691" t="s">
        <v>400</v>
      </c>
      <c r="C691" t="s">
        <v>100</v>
      </c>
      <c r="D691" t="s">
        <v>401</v>
      </c>
      <c r="E691" s="1">
        <v>46056</v>
      </c>
      <c r="F691" t="s">
        <v>1376</v>
      </c>
      <c r="G691" t="s">
        <v>128</v>
      </c>
      <c r="H691" s="2">
        <v>0.58333333333333337</v>
      </c>
      <c r="I691" s="2">
        <v>0.91666666666666663</v>
      </c>
      <c r="J691" t="s">
        <v>100</v>
      </c>
      <c r="L691" t="s">
        <v>100</v>
      </c>
      <c r="M691" t="s">
        <v>402</v>
      </c>
      <c r="N691" t="s">
        <v>403</v>
      </c>
      <c r="O691">
        <v>21398</v>
      </c>
      <c r="Q691" t="s">
        <v>404</v>
      </c>
      <c r="R691" t="s">
        <v>231</v>
      </c>
      <c r="S691" t="s">
        <v>52</v>
      </c>
      <c r="U691">
        <v>889278</v>
      </c>
      <c r="V691" s="3">
        <v>46050.664583333331</v>
      </c>
      <c r="W691" t="s">
        <v>405</v>
      </c>
      <c r="X691" t="s">
        <v>406</v>
      </c>
      <c r="Y691" t="str">
        <f>"0423877972"</f>
        <v>0423877972</v>
      </c>
      <c r="Z691" t="s">
        <v>1399</v>
      </c>
      <c r="AB691" t="s">
        <v>407</v>
      </c>
      <c r="AD691" t="s">
        <v>168</v>
      </c>
      <c r="AE691" t="s">
        <v>347</v>
      </c>
      <c r="AF691">
        <v>5042</v>
      </c>
      <c r="AG691" t="s">
        <v>1662</v>
      </c>
      <c r="AI691" t="s">
        <v>59</v>
      </c>
      <c r="AL691" t="s">
        <v>2751</v>
      </c>
      <c r="AM691" t="s">
        <v>2752</v>
      </c>
      <c r="AN691" s="3">
        <v>46056.932638888888</v>
      </c>
      <c r="AO691" t="s">
        <v>405</v>
      </c>
    </row>
    <row r="692" spans="1:41" x14ac:dyDescent="0.3">
      <c r="A692" t="s">
        <v>168</v>
      </c>
      <c r="B692" t="s">
        <v>1963</v>
      </c>
      <c r="C692" t="s">
        <v>1964</v>
      </c>
      <c r="D692" t="s">
        <v>401</v>
      </c>
      <c r="E692" s="1">
        <v>46056</v>
      </c>
      <c r="F692" t="s">
        <v>1376</v>
      </c>
      <c r="G692" t="s">
        <v>128</v>
      </c>
      <c r="H692" s="2">
        <v>0.60416666666666663</v>
      </c>
      <c r="I692" s="2">
        <v>0.9375</v>
      </c>
      <c r="J692" t="s">
        <v>296</v>
      </c>
      <c r="K692" t="s">
        <v>750</v>
      </c>
      <c r="L692" t="s">
        <v>271</v>
      </c>
      <c r="M692" t="s">
        <v>272</v>
      </c>
      <c r="N692" t="s">
        <v>273</v>
      </c>
      <c r="O692">
        <v>5951312</v>
      </c>
      <c r="Q692" t="s">
        <v>2753</v>
      </c>
      <c r="R692" t="s">
        <v>231</v>
      </c>
      <c r="S692" t="s">
        <v>52</v>
      </c>
      <c r="U692">
        <v>889280</v>
      </c>
      <c r="V692" s="3">
        <v>46056.40347222222</v>
      </c>
      <c r="W692" t="s">
        <v>275</v>
      </c>
      <c r="X692" t="s">
        <v>276</v>
      </c>
      <c r="Y692" t="str">
        <f>"0451788814"</f>
        <v>0451788814</v>
      </c>
      <c r="Z692" t="s">
        <v>70</v>
      </c>
      <c r="AA692" s="1">
        <v>46056</v>
      </c>
      <c r="AB692" t="s">
        <v>1967</v>
      </c>
      <c r="AD692" t="s">
        <v>168</v>
      </c>
      <c r="AE692" t="s">
        <v>1968</v>
      </c>
      <c r="AF692">
        <v>5000</v>
      </c>
      <c r="AG692" t="s">
        <v>1966</v>
      </c>
      <c r="AI692" t="s">
        <v>59</v>
      </c>
      <c r="AL692" t="s">
        <v>2754</v>
      </c>
      <c r="AN692" s="3">
        <v>46056.958333333336</v>
      </c>
      <c r="AO692" t="s">
        <v>275</v>
      </c>
    </row>
    <row r="693" spans="1:41" x14ac:dyDescent="0.3">
      <c r="A693" t="s">
        <v>61</v>
      </c>
      <c r="B693" t="s">
        <v>1462</v>
      </c>
      <c r="C693" t="s">
        <v>296</v>
      </c>
      <c r="D693" t="s">
        <v>90</v>
      </c>
      <c r="E693" s="1">
        <v>46056</v>
      </c>
      <c r="F693" t="s">
        <v>1376</v>
      </c>
      <c r="G693" t="s">
        <v>128</v>
      </c>
      <c r="H693" s="2">
        <v>0.60416666666666663</v>
      </c>
      <c r="I693" s="2">
        <v>0.91666666666666663</v>
      </c>
      <c r="J693" t="s">
        <v>296</v>
      </c>
      <c r="L693" t="s">
        <v>298</v>
      </c>
      <c r="M693" t="s">
        <v>2011</v>
      </c>
      <c r="N693" t="s">
        <v>933</v>
      </c>
      <c r="O693">
        <v>5952316</v>
      </c>
      <c r="Q693" t="s">
        <v>1744</v>
      </c>
      <c r="R693" t="s">
        <v>67</v>
      </c>
      <c r="S693" t="s">
        <v>119</v>
      </c>
      <c r="T693" t="s">
        <v>414</v>
      </c>
      <c r="U693">
        <v>889880</v>
      </c>
      <c r="V693" s="3">
        <v>46055.579861111109</v>
      </c>
      <c r="W693" t="s">
        <v>2013</v>
      </c>
      <c r="X693" t="s">
        <v>2014</v>
      </c>
      <c r="Y693" t="str">
        <f>"1111111111"</f>
        <v>1111111111</v>
      </c>
      <c r="Z693" t="s">
        <v>483</v>
      </c>
      <c r="AB693" t="s">
        <v>1468</v>
      </c>
      <c r="AD693" t="s">
        <v>61</v>
      </c>
      <c r="AE693" t="s">
        <v>1469</v>
      </c>
      <c r="AF693">
        <v>2060</v>
      </c>
      <c r="AG693" t="s">
        <v>1744</v>
      </c>
      <c r="AI693" t="s">
        <v>59</v>
      </c>
      <c r="AL693" t="s">
        <v>2755</v>
      </c>
      <c r="AN693" s="3">
        <v>46055.648611111108</v>
      </c>
      <c r="AO693" t="s">
        <v>67</v>
      </c>
    </row>
    <row r="694" spans="1:41" x14ac:dyDescent="0.3">
      <c r="A694" t="s">
        <v>306</v>
      </c>
      <c r="B694" t="s">
        <v>528</v>
      </c>
      <c r="C694" t="s">
        <v>1523</v>
      </c>
      <c r="D694" t="s">
        <v>63</v>
      </c>
      <c r="E694" s="1">
        <v>46056</v>
      </c>
      <c r="F694" t="s">
        <v>1376</v>
      </c>
      <c r="G694" t="s">
        <v>128</v>
      </c>
      <c r="H694" s="2">
        <v>0.60416666666666663</v>
      </c>
      <c r="I694" s="2">
        <v>0.91666666666666663</v>
      </c>
      <c r="J694" t="s">
        <v>296</v>
      </c>
      <c r="L694" t="s">
        <v>2079</v>
      </c>
      <c r="M694" t="s">
        <v>1395</v>
      </c>
      <c r="N694" t="s">
        <v>2080</v>
      </c>
      <c r="O694">
        <v>5952104</v>
      </c>
      <c r="Q694" t="s">
        <v>2756</v>
      </c>
      <c r="R694" t="s">
        <v>1248</v>
      </c>
      <c r="S694" t="s">
        <v>52</v>
      </c>
      <c r="U694">
        <v>889277</v>
      </c>
      <c r="V694" s="3">
        <v>46054.323611111111</v>
      </c>
      <c r="W694" t="s">
        <v>2081</v>
      </c>
      <c r="X694" t="s">
        <v>2082</v>
      </c>
      <c r="Y694" t="str">
        <f>"0410043499"</f>
        <v>0410043499</v>
      </c>
      <c r="Z694" t="s">
        <v>70</v>
      </c>
      <c r="AA694" s="1">
        <v>46056</v>
      </c>
      <c r="AB694" t="s">
        <v>537</v>
      </c>
      <c r="AD694" t="s">
        <v>306</v>
      </c>
      <c r="AE694" t="s">
        <v>538</v>
      </c>
      <c r="AF694">
        <v>3152</v>
      </c>
      <c r="AG694" t="s">
        <v>2757</v>
      </c>
      <c r="AI694" t="s">
        <v>59</v>
      </c>
      <c r="AL694" t="s">
        <v>214</v>
      </c>
      <c r="AN694" s="3">
        <v>46056.927777777775</v>
      </c>
      <c r="AO694" t="s">
        <v>2081</v>
      </c>
    </row>
    <row r="695" spans="1:41" x14ac:dyDescent="0.3">
      <c r="A695" t="s">
        <v>168</v>
      </c>
      <c r="B695" t="s">
        <v>215</v>
      </c>
      <c r="C695" t="s">
        <v>202</v>
      </c>
      <c r="D695" t="s">
        <v>127</v>
      </c>
      <c r="E695" s="1">
        <v>46056</v>
      </c>
      <c r="F695" t="s">
        <v>1376</v>
      </c>
      <c r="G695" t="s">
        <v>128</v>
      </c>
      <c r="H695" s="2">
        <v>0.625</v>
      </c>
      <c r="I695" s="2">
        <v>0.875</v>
      </c>
      <c r="J695" t="s">
        <v>46</v>
      </c>
      <c r="L695" t="s">
        <v>47</v>
      </c>
      <c r="M695" t="s">
        <v>1603</v>
      </c>
      <c r="N695" t="s">
        <v>1604</v>
      </c>
      <c r="O695">
        <v>5952018</v>
      </c>
      <c r="Q695" t="s">
        <v>219</v>
      </c>
      <c r="R695" t="s">
        <v>176</v>
      </c>
      <c r="S695" t="s">
        <v>52</v>
      </c>
      <c r="U695">
        <v>889246</v>
      </c>
      <c r="V695" s="3">
        <v>46043.799305555556</v>
      </c>
      <c r="W695" t="s">
        <v>1606</v>
      </c>
      <c r="X695" t="s">
        <v>1607</v>
      </c>
      <c r="Y695" t="str">
        <f>"0415208433"</f>
        <v>0415208433</v>
      </c>
      <c r="Z695" t="s">
        <v>1324</v>
      </c>
      <c r="AB695" t="s">
        <v>222</v>
      </c>
      <c r="AD695" t="s">
        <v>168</v>
      </c>
      <c r="AE695" t="s">
        <v>223</v>
      </c>
      <c r="AF695">
        <v>5069</v>
      </c>
      <c r="AG695" t="s">
        <v>219</v>
      </c>
      <c r="AI695" t="s">
        <v>59</v>
      </c>
      <c r="AL695" t="s">
        <v>1720</v>
      </c>
      <c r="AN695" s="3">
        <v>46056.8125</v>
      </c>
      <c r="AO695" t="s">
        <v>1606</v>
      </c>
    </row>
    <row r="696" spans="1:41" x14ac:dyDescent="0.3">
      <c r="A696" t="s">
        <v>41</v>
      </c>
      <c r="B696" t="s">
        <v>2758</v>
      </c>
      <c r="C696" t="s">
        <v>296</v>
      </c>
      <c r="D696" t="s">
        <v>63</v>
      </c>
      <c r="E696" s="1">
        <v>46056</v>
      </c>
      <c r="F696" t="s">
        <v>1376</v>
      </c>
      <c r="G696" t="s">
        <v>128</v>
      </c>
      <c r="H696" s="2">
        <v>0.625</v>
      </c>
      <c r="I696" s="2">
        <v>0.95833333333333337</v>
      </c>
      <c r="J696" t="s">
        <v>296</v>
      </c>
      <c r="L696" t="s">
        <v>1229</v>
      </c>
      <c r="M696" t="s">
        <v>1230</v>
      </c>
      <c r="N696" t="s">
        <v>1231</v>
      </c>
      <c r="O696">
        <v>5952329</v>
      </c>
      <c r="Q696" t="s">
        <v>2759</v>
      </c>
      <c r="R696" t="s">
        <v>51</v>
      </c>
      <c r="S696" t="s">
        <v>52</v>
      </c>
      <c r="U696">
        <v>889283</v>
      </c>
      <c r="V696" s="3">
        <v>46056.353472222225</v>
      </c>
      <c r="W696" t="s">
        <v>1233</v>
      </c>
      <c r="X696" t="s">
        <v>1234</v>
      </c>
      <c r="Y696" t="str">
        <f>"0485533840"</f>
        <v>0485533840</v>
      </c>
      <c r="Z696" t="s">
        <v>55</v>
      </c>
      <c r="AA696" s="1">
        <v>46056</v>
      </c>
      <c r="AB696" t="s">
        <v>2760</v>
      </c>
      <c r="AD696" t="s">
        <v>41</v>
      </c>
      <c r="AE696" t="s">
        <v>1236</v>
      </c>
      <c r="AF696">
        <v>4215</v>
      </c>
      <c r="AG696" t="s">
        <v>2759</v>
      </c>
      <c r="AI696" t="s">
        <v>59</v>
      </c>
      <c r="AL696" t="s">
        <v>87</v>
      </c>
      <c r="AN696" s="3">
        <v>46057.009722222225</v>
      </c>
      <c r="AO696" t="s">
        <v>1233</v>
      </c>
    </row>
    <row r="697" spans="1:41" x14ac:dyDescent="0.3">
      <c r="A697" t="s">
        <v>61</v>
      </c>
      <c r="B697" t="s">
        <v>1271</v>
      </c>
      <c r="C697" t="s">
        <v>1272</v>
      </c>
      <c r="D697" t="s">
        <v>184</v>
      </c>
      <c r="E697" s="1">
        <v>46056</v>
      </c>
      <c r="F697" t="s">
        <v>1376</v>
      </c>
      <c r="G697" t="s">
        <v>128</v>
      </c>
      <c r="H697" s="2">
        <v>0.625</v>
      </c>
      <c r="I697" s="2">
        <v>0.97916666666666663</v>
      </c>
      <c r="J697" t="s">
        <v>486</v>
      </c>
      <c r="L697" t="s">
        <v>487</v>
      </c>
      <c r="M697" t="s">
        <v>2064</v>
      </c>
      <c r="N697" t="s">
        <v>2065</v>
      </c>
      <c r="O697">
        <v>5952410</v>
      </c>
      <c r="Q697" t="s">
        <v>1190</v>
      </c>
      <c r="R697" t="s">
        <v>67</v>
      </c>
      <c r="S697" t="s">
        <v>52</v>
      </c>
      <c r="U697">
        <v>889282</v>
      </c>
      <c r="V697" s="3">
        <v>46056.350694444445</v>
      </c>
      <c r="W697" t="s">
        <v>2067</v>
      </c>
      <c r="X697" t="s">
        <v>2068</v>
      </c>
      <c r="Y697" t="str">
        <f>"0410100247"</f>
        <v>0410100247</v>
      </c>
      <c r="Z697" t="s">
        <v>1917</v>
      </c>
      <c r="AB697" t="s">
        <v>1278</v>
      </c>
      <c r="AD697" t="s">
        <v>61</v>
      </c>
      <c r="AE697" t="s">
        <v>1279</v>
      </c>
      <c r="AF697">
        <v>2145</v>
      </c>
      <c r="AG697" t="s">
        <v>1190</v>
      </c>
      <c r="AI697" t="s">
        <v>59</v>
      </c>
      <c r="AL697" t="s">
        <v>2761</v>
      </c>
      <c r="AN697" s="3">
        <v>46056.98333333333</v>
      </c>
      <c r="AO697" t="s">
        <v>2067</v>
      </c>
    </row>
    <row r="698" spans="1:41" x14ac:dyDescent="0.3">
      <c r="A698" t="s">
        <v>61</v>
      </c>
      <c r="B698" t="s">
        <v>62</v>
      </c>
      <c r="C698" t="s">
        <v>43</v>
      </c>
      <c r="D698" t="s">
        <v>63</v>
      </c>
      <c r="E698" s="1">
        <v>46056</v>
      </c>
      <c r="F698" t="s">
        <v>1376</v>
      </c>
      <c r="G698" t="s">
        <v>128</v>
      </c>
      <c r="H698" s="2">
        <v>0.625</v>
      </c>
      <c r="I698" s="2">
        <v>0.99861111111111112</v>
      </c>
      <c r="J698" t="s">
        <v>101</v>
      </c>
      <c r="L698" t="s">
        <v>735</v>
      </c>
      <c r="M698" t="s">
        <v>2762</v>
      </c>
      <c r="N698" t="s">
        <v>2763</v>
      </c>
      <c r="O698">
        <v>22330</v>
      </c>
      <c r="Q698" t="s">
        <v>66</v>
      </c>
      <c r="R698" t="s">
        <v>67</v>
      </c>
      <c r="S698" t="s">
        <v>52</v>
      </c>
      <c r="U698">
        <v>889250</v>
      </c>
      <c r="V698" s="3">
        <v>46051.37222222222</v>
      </c>
      <c r="W698" t="s">
        <v>2764</v>
      </c>
      <c r="X698" t="s">
        <v>2765</v>
      </c>
      <c r="Y698" t="str">
        <f>"0420483284"</f>
        <v>0420483284</v>
      </c>
      <c r="Z698" t="s">
        <v>70</v>
      </c>
      <c r="AB698" t="s">
        <v>71</v>
      </c>
      <c r="AD698" t="s">
        <v>61</v>
      </c>
      <c r="AE698" t="s">
        <v>72</v>
      </c>
      <c r="AF698">
        <v>2747</v>
      </c>
      <c r="AG698" t="s">
        <v>73</v>
      </c>
      <c r="AI698" t="s">
        <v>59</v>
      </c>
      <c r="AL698" t="s">
        <v>2635</v>
      </c>
      <c r="AN698" s="3">
        <v>46056.838888888888</v>
      </c>
      <c r="AO698" t="s">
        <v>2764</v>
      </c>
    </row>
    <row r="699" spans="1:41" x14ac:dyDescent="0.3">
      <c r="A699" t="s">
        <v>61</v>
      </c>
      <c r="B699" t="s">
        <v>2766</v>
      </c>
      <c r="C699" t="s">
        <v>202</v>
      </c>
      <c r="D699" t="s">
        <v>283</v>
      </c>
      <c r="E699" s="1">
        <v>46056</v>
      </c>
      <c r="F699" t="s">
        <v>1376</v>
      </c>
      <c r="G699" t="s">
        <v>128</v>
      </c>
      <c r="H699" s="2">
        <v>0.625</v>
      </c>
      <c r="I699" s="2">
        <v>0.77083333333333337</v>
      </c>
      <c r="J699" t="s">
        <v>46</v>
      </c>
      <c r="L699" t="s">
        <v>47</v>
      </c>
      <c r="M699" t="s">
        <v>91</v>
      </c>
      <c r="N699" t="s">
        <v>92</v>
      </c>
      <c r="O699">
        <v>5950650</v>
      </c>
      <c r="P699">
        <v>493299</v>
      </c>
      <c r="Q699" t="s">
        <v>823</v>
      </c>
      <c r="R699" t="s">
        <v>67</v>
      </c>
      <c r="S699" t="s">
        <v>52</v>
      </c>
      <c r="U699">
        <v>889236</v>
      </c>
      <c r="V699" s="3">
        <v>46056.381249999999</v>
      </c>
      <c r="W699" t="s">
        <v>94</v>
      </c>
      <c r="X699" t="s">
        <v>95</v>
      </c>
      <c r="Y699" t="str">
        <f>"0493332534"</f>
        <v>0493332534</v>
      </c>
      <c r="Z699" t="s">
        <v>70</v>
      </c>
      <c r="AA699" s="1">
        <v>46056</v>
      </c>
      <c r="AB699" t="s">
        <v>2767</v>
      </c>
      <c r="AD699" t="s">
        <v>61</v>
      </c>
      <c r="AE699" t="s">
        <v>893</v>
      </c>
      <c r="AF699">
        <v>2022</v>
      </c>
      <c r="AG699" t="s">
        <v>823</v>
      </c>
      <c r="AI699" t="s">
        <v>59</v>
      </c>
      <c r="AL699" t="s">
        <v>87</v>
      </c>
      <c r="AN699" s="3">
        <v>46056.767361111109</v>
      </c>
      <c r="AO699" t="s">
        <v>94</v>
      </c>
    </row>
    <row r="700" spans="1:41" x14ac:dyDescent="0.3">
      <c r="A700" t="s">
        <v>306</v>
      </c>
      <c r="B700" t="s">
        <v>450</v>
      </c>
      <c r="C700" t="s">
        <v>100</v>
      </c>
      <c r="D700" t="s">
        <v>63</v>
      </c>
      <c r="E700" s="1">
        <v>46056</v>
      </c>
      <c r="F700" t="s">
        <v>1376</v>
      </c>
      <c r="G700" t="s">
        <v>45</v>
      </c>
      <c r="H700" s="2">
        <v>0.66666666666666663</v>
      </c>
      <c r="I700" s="2">
        <v>0.91666666666666663</v>
      </c>
      <c r="J700" t="s">
        <v>451</v>
      </c>
      <c r="L700" t="s">
        <v>452</v>
      </c>
      <c r="M700" t="s">
        <v>2556</v>
      </c>
      <c r="N700" t="s">
        <v>2557</v>
      </c>
      <c r="O700">
        <v>5952058</v>
      </c>
      <c r="Q700" t="s">
        <v>2057</v>
      </c>
      <c r="R700" t="s">
        <v>314</v>
      </c>
      <c r="S700" t="s">
        <v>52</v>
      </c>
      <c r="U700">
        <v>889275</v>
      </c>
      <c r="V700" s="3">
        <v>46055.402777777781</v>
      </c>
      <c r="W700" t="s">
        <v>2558</v>
      </c>
      <c r="X700" t="s">
        <v>2559</v>
      </c>
      <c r="Y700" t="str">
        <f>"0423409018"</f>
        <v>0423409018</v>
      </c>
      <c r="Z700" t="s">
        <v>503</v>
      </c>
      <c r="AB700" t="s">
        <v>459</v>
      </c>
      <c r="AD700" t="s">
        <v>306</v>
      </c>
      <c r="AE700" t="s">
        <v>460</v>
      </c>
      <c r="AF700">
        <v>3058</v>
      </c>
      <c r="AG700" t="s">
        <v>461</v>
      </c>
      <c r="AI700" t="s">
        <v>59</v>
      </c>
      <c r="AL700" t="s">
        <v>87</v>
      </c>
      <c r="AN700" s="3">
        <v>46056.913888888892</v>
      </c>
      <c r="AO700" t="s">
        <v>2558</v>
      </c>
    </row>
    <row r="701" spans="1:41" x14ac:dyDescent="0.3">
      <c r="A701" t="s">
        <v>168</v>
      </c>
      <c r="B701" t="s">
        <v>1178</v>
      </c>
      <c r="C701" t="s">
        <v>100</v>
      </c>
      <c r="D701" t="s">
        <v>127</v>
      </c>
      <c r="E701" s="1">
        <v>46056</v>
      </c>
      <c r="F701" t="s">
        <v>1376</v>
      </c>
      <c r="G701" t="s">
        <v>128</v>
      </c>
      <c r="H701" s="2">
        <v>0.66666666666666663</v>
      </c>
      <c r="I701" s="2">
        <v>0.83333333333333337</v>
      </c>
      <c r="J701" t="s">
        <v>100</v>
      </c>
      <c r="L701" t="s">
        <v>100</v>
      </c>
      <c r="M701" t="s">
        <v>2768</v>
      </c>
      <c r="N701" t="s">
        <v>2769</v>
      </c>
      <c r="O701">
        <v>20874</v>
      </c>
      <c r="Q701" t="s">
        <v>2602</v>
      </c>
      <c r="R701" t="s">
        <v>231</v>
      </c>
      <c r="S701" t="s">
        <v>52</v>
      </c>
      <c r="U701">
        <v>889252</v>
      </c>
      <c r="V701" s="3">
        <v>46056.446527777778</v>
      </c>
      <c r="W701" t="s">
        <v>2770</v>
      </c>
      <c r="X701" t="s">
        <v>2771</v>
      </c>
      <c r="Y701" t="str">
        <f>"0403681516"</f>
        <v>0403681516</v>
      </c>
      <c r="Z701" t="s">
        <v>70</v>
      </c>
      <c r="AA701" s="1">
        <v>46056</v>
      </c>
      <c r="AB701" t="s">
        <v>1184</v>
      </c>
      <c r="AD701" t="s">
        <v>168</v>
      </c>
      <c r="AE701" t="s">
        <v>1185</v>
      </c>
      <c r="AF701">
        <v>5066</v>
      </c>
      <c r="AG701" t="s">
        <v>2602</v>
      </c>
      <c r="AI701" t="s">
        <v>59</v>
      </c>
      <c r="AL701" t="s">
        <v>2772</v>
      </c>
      <c r="AN701" s="3">
        <v>46056.849305555559</v>
      </c>
      <c r="AO701" t="s">
        <v>2770</v>
      </c>
    </row>
    <row r="702" spans="1:41" x14ac:dyDescent="0.3">
      <c r="A702" t="s">
        <v>75</v>
      </c>
      <c r="B702" t="s">
        <v>1971</v>
      </c>
      <c r="C702" t="s">
        <v>1972</v>
      </c>
      <c r="D702" t="s">
        <v>1971</v>
      </c>
      <c r="E702" s="1">
        <v>46056</v>
      </c>
      <c r="F702" t="s">
        <v>1376</v>
      </c>
      <c r="G702" t="s">
        <v>128</v>
      </c>
      <c r="H702" s="2">
        <v>0.66666666666666663</v>
      </c>
      <c r="I702" s="2">
        <v>0.85416666666666663</v>
      </c>
      <c r="J702" t="s">
        <v>112</v>
      </c>
      <c r="K702" t="s">
        <v>1973</v>
      </c>
      <c r="L702" t="s">
        <v>114</v>
      </c>
      <c r="M702" t="s">
        <v>1974</v>
      </c>
      <c r="N702" t="s">
        <v>1975</v>
      </c>
      <c r="O702">
        <v>22383</v>
      </c>
      <c r="Q702" t="s">
        <v>1976</v>
      </c>
      <c r="R702" t="s">
        <v>118</v>
      </c>
      <c r="S702" t="s">
        <v>52</v>
      </c>
      <c r="U702">
        <v>889245</v>
      </c>
      <c r="V702" s="3">
        <v>46056.445833333331</v>
      </c>
      <c r="W702" t="s">
        <v>1977</v>
      </c>
      <c r="X702" t="s">
        <v>1978</v>
      </c>
      <c r="Y702" t="str">
        <f>"0405795510"</f>
        <v>0405795510</v>
      </c>
      <c r="Z702" t="s">
        <v>55</v>
      </c>
      <c r="AA702" s="1">
        <v>46056</v>
      </c>
      <c r="AB702" t="s">
        <v>1979</v>
      </c>
      <c r="AD702" t="s">
        <v>75</v>
      </c>
      <c r="AE702" t="s">
        <v>125</v>
      </c>
      <c r="AF702">
        <v>6017</v>
      </c>
      <c r="AG702" t="s">
        <v>1976</v>
      </c>
      <c r="AI702" t="s">
        <v>59</v>
      </c>
      <c r="AN702" s="3">
        <v>46056.808333333334</v>
      </c>
      <c r="AO702" t="s">
        <v>1977</v>
      </c>
    </row>
    <row r="703" spans="1:41" x14ac:dyDescent="0.3">
      <c r="A703" t="s">
        <v>75</v>
      </c>
      <c r="B703" t="s">
        <v>1891</v>
      </c>
      <c r="C703" t="s">
        <v>43</v>
      </c>
      <c r="D703" t="s">
        <v>719</v>
      </c>
      <c r="E703" s="1">
        <v>46056</v>
      </c>
      <c r="F703" t="s">
        <v>1376</v>
      </c>
      <c r="G703" t="s">
        <v>128</v>
      </c>
      <c r="H703" s="2">
        <v>0.66666666666666663</v>
      </c>
      <c r="I703" s="2">
        <v>0.91666666666666663</v>
      </c>
      <c r="J703" t="s">
        <v>46</v>
      </c>
      <c r="K703" t="s">
        <v>77</v>
      </c>
      <c r="L703" t="s">
        <v>298</v>
      </c>
      <c r="M703" t="s">
        <v>2773</v>
      </c>
      <c r="N703" t="s">
        <v>2774</v>
      </c>
      <c r="O703">
        <v>5950828</v>
      </c>
      <c r="Q703" t="s">
        <v>2775</v>
      </c>
      <c r="R703" t="s">
        <v>926</v>
      </c>
      <c r="S703" t="s">
        <v>52</v>
      </c>
      <c r="U703">
        <v>889281</v>
      </c>
      <c r="V703" s="3">
        <v>46052.736111111109</v>
      </c>
      <c r="W703" t="s">
        <v>2776</v>
      </c>
      <c r="X703" t="s">
        <v>2777</v>
      </c>
      <c r="Y703" t="str">
        <f>"0490930185"</f>
        <v>0490930185</v>
      </c>
      <c r="Z703" t="s">
        <v>70</v>
      </c>
      <c r="AA703" s="1">
        <v>46056</v>
      </c>
      <c r="AB703" t="s">
        <v>1893</v>
      </c>
      <c r="AD703" t="s">
        <v>75</v>
      </c>
      <c r="AE703" t="s">
        <v>1894</v>
      </c>
      <c r="AF703">
        <v>6007</v>
      </c>
      <c r="AG703" t="s">
        <v>2775</v>
      </c>
      <c r="AI703" t="s">
        <v>59</v>
      </c>
      <c r="AL703" t="s">
        <v>2778</v>
      </c>
      <c r="AN703" s="3">
        <v>46056.96597222222</v>
      </c>
      <c r="AO703" t="s">
        <v>2776</v>
      </c>
    </row>
    <row r="704" spans="1:41" x14ac:dyDescent="0.3">
      <c r="A704" t="s">
        <v>306</v>
      </c>
      <c r="B704" t="s">
        <v>699</v>
      </c>
      <c r="C704" t="s">
        <v>43</v>
      </c>
      <c r="D704" t="s">
        <v>700</v>
      </c>
      <c r="E704" s="1">
        <v>46056</v>
      </c>
      <c r="F704" t="s">
        <v>1376</v>
      </c>
      <c r="G704" t="s">
        <v>128</v>
      </c>
      <c r="H704" s="2">
        <v>0.70833333333333337</v>
      </c>
      <c r="I704" s="2">
        <v>0.875</v>
      </c>
      <c r="J704" t="s">
        <v>101</v>
      </c>
      <c r="L704" t="s">
        <v>2167</v>
      </c>
      <c r="M704" t="s">
        <v>2168</v>
      </c>
      <c r="N704" t="s">
        <v>2169</v>
      </c>
      <c r="O704">
        <v>21033</v>
      </c>
      <c r="Q704" t="s">
        <v>2685</v>
      </c>
      <c r="R704" t="s">
        <v>314</v>
      </c>
      <c r="S704" t="s">
        <v>52</v>
      </c>
      <c r="U704">
        <v>889265</v>
      </c>
      <c r="V704" s="3">
        <v>46056.556944444441</v>
      </c>
      <c r="W704" t="s">
        <v>2171</v>
      </c>
      <c r="X704" t="s">
        <v>2172</v>
      </c>
      <c r="Y704" t="str">
        <f>"0423282929"</f>
        <v>0423282929</v>
      </c>
      <c r="Z704" t="s">
        <v>70</v>
      </c>
      <c r="AA704" s="1">
        <v>46056</v>
      </c>
      <c r="AB704" t="s">
        <v>708</v>
      </c>
      <c r="AD704" t="s">
        <v>306</v>
      </c>
      <c r="AE704" t="s">
        <v>709</v>
      </c>
      <c r="AF704">
        <v>3806</v>
      </c>
      <c r="AG704" t="s">
        <v>2779</v>
      </c>
      <c r="AI704" t="s">
        <v>59</v>
      </c>
      <c r="AL704" t="s">
        <v>87</v>
      </c>
      <c r="AN704" s="3">
        <v>46056.863194444442</v>
      </c>
      <c r="AO704" t="s">
        <v>2171</v>
      </c>
    </row>
    <row r="705" spans="1:41" x14ac:dyDescent="0.3">
      <c r="A705" t="s">
        <v>61</v>
      </c>
      <c r="B705" t="s">
        <v>182</v>
      </c>
      <c r="C705" t="s">
        <v>484</v>
      </c>
      <c r="D705" t="s">
        <v>184</v>
      </c>
      <c r="E705" s="1">
        <v>46056</v>
      </c>
      <c r="F705" t="s">
        <v>1376</v>
      </c>
      <c r="G705" t="s">
        <v>485</v>
      </c>
      <c r="H705" s="2">
        <v>0.77083333333333337</v>
      </c>
      <c r="I705" s="2">
        <v>0.29166666666666669</v>
      </c>
      <c r="J705" t="s">
        <v>486</v>
      </c>
      <c r="L705" t="s">
        <v>487</v>
      </c>
      <c r="M705" t="s">
        <v>1645</v>
      </c>
      <c r="N705" t="s">
        <v>1646</v>
      </c>
      <c r="O705">
        <v>5951065</v>
      </c>
      <c r="Q705" t="s">
        <v>129</v>
      </c>
      <c r="R705" t="s">
        <v>67</v>
      </c>
      <c r="S705" t="s">
        <v>52</v>
      </c>
      <c r="U705">
        <v>889291</v>
      </c>
      <c r="V705" s="3">
        <v>46045.427777777775</v>
      </c>
      <c r="W705" t="s">
        <v>1647</v>
      </c>
      <c r="X705" t="s">
        <v>1648</v>
      </c>
      <c r="Y705" t="str">
        <f>"0408979009"</f>
        <v>0408979009</v>
      </c>
      <c r="Z705" t="s">
        <v>846</v>
      </c>
      <c r="AB705" t="s">
        <v>193</v>
      </c>
      <c r="AD705" t="s">
        <v>61</v>
      </c>
      <c r="AE705" t="s">
        <v>194</v>
      </c>
      <c r="AF705">
        <v>2229</v>
      </c>
      <c r="AG705" t="s">
        <v>490</v>
      </c>
      <c r="AI705" t="s">
        <v>59</v>
      </c>
      <c r="AL705" t="s">
        <v>2744</v>
      </c>
      <c r="AN705" s="3">
        <v>46057.29791666667</v>
      </c>
      <c r="AO705" t="s">
        <v>1647</v>
      </c>
    </row>
    <row r="706" spans="1:41" x14ac:dyDescent="0.3">
      <c r="A706" t="s">
        <v>306</v>
      </c>
      <c r="B706" t="s">
        <v>1238</v>
      </c>
      <c r="C706" t="s">
        <v>529</v>
      </c>
      <c r="D706" t="s">
        <v>90</v>
      </c>
      <c r="E706" s="1">
        <v>46056</v>
      </c>
      <c r="F706" t="s">
        <v>1376</v>
      </c>
      <c r="G706" t="s">
        <v>485</v>
      </c>
      <c r="H706" s="2">
        <v>0.79166666666666663</v>
      </c>
      <c r="I706" s="2">
        <v>0.3125</v>
      </c>
      <c r="J706" t="s">
        <v>529</v>
      </c>
      <c r="L706" t="s">
        <v>735</v>
      </c>
      <c r="M706" t="s">
        <v>1651</v>
      </c>
      <c r="N706" t="s">
        <v>1652</v>
      </c>
      <c r="O706">
        <v>20581</v>
      </c>
      <c r="P706">
        <v>11662989</v>
      </c>
      <c r="Q706" t="s">
        <v>1245</v>
      </c>
      <c r="R706" t="s">
        <v>132</v>
      </c>
      <c r="S706" t="s">
        <v>52</v>
      </c>
      <c r="U706">
        <v>889288</v>
      </c>
      <c r="V706" s="3">
        <v>46056.69027777778</v>
      </c>
      <c r="W706" t="s">
        <v>1654</v>
      </c>
      <c r="X706" t="s">
        <v>1655</v>
      </c>
      <c r="Y706" t="str">
        <f>"0420857417"</f>
        <v>0420857417</v>
      </c>
      <c r="Z706" t="s">
        <v>70</v>
      </c>
      <c r="AA706" s="1">
        <v>46056</v>
      </c>
      <c r="AB706" t="s">
        <v>1243</v>
      </c>
      <c r="AD706" t="s">
        <v>306</v>
      </c>
      <c r="AE706" t="s">
        <v>1244</v>
      </c>
      <c r="AF706">
        <v>3065</v>
      </c>
      <c r="AG706" t="s">
        <v>98</v>
      </c>
      <c r="AI706" t="s">
        <v>59</v>
      </c>
      <c r="AL706" t="s">
        <v>2780</v>
      </c>
      <c r="AN706" s="3">
        <v>46057.271527777775</v>
      </c>
      <c r="AO706" t="s">
        <v>1654</v>
      </c>
    </row>
    <row r="707" spans="1:41" x14ac:dyDescent="0.3">
      <c r="A707" t="s">
        <v>61</v>
      </c>
      <c r="B707" t="s">
        <v>1462</v>
      </c>
      <c r="C707" t="s">
        <v>484</v>
      </c>
      <c r="D707" t="s">
        <v>90</v>
      </c>
      <c r="E707" s="1">
        <v>46056</v>
      </c>
      <c r="F707" t="s">
        <v>1376</v>
      </c>
      <c r="G707" t="s">
        <v>485</v>
      </c>
      <c r="H707" s="2">
        <v>0.79166666666666663</v>
      </c>
      <c r="I707" s="2">
        <v>0.3125</v>
      </c>
      <c r="J707" t="s">
        <v>486</v>
      </c>
      <c r="L707" t="s">
        <v>487</v>
      </c>
      <c r="M707" t="s">
        <v>596</v>
      </c>
      <c r="N707" t="s">
        <v>1280</v>
      </c>
      <c r="O707">
        <v>5952187</v>
      </c>
      <c r="Q707" t="s">
        <v>1744</v>
      </c>
      <c r="R707" t="s">
        <v>67</v>
      </c>
      <c r="S707" t="s">
        <v>52</v>
      </c>
      <c r="U707">
        <v>889294</v>
      </c>
      <c r="V707" s="3">
        <v>46055.579861111109</v>
      </c>
      <c r="W707" t="s">
        <v>1281</v>
      </c>
      <c r="X707" t="s">
        <v>1282</v>
      </c>
      <c r="Y707" t="str">
        <f>"0417203844"</f>
        <v>0417203844</v>
      </c>
      <c r="Z707" t="s">
        <v>984</v>
      </c>
      <c r="AB707" t="s">
        <v>1468</v>
      </c>
      <c r="AD707" t="s">
        <v>61</v>
      </c>
      <c r="AE707" t="s">
        <v>1469</v>
      </c>
      <c r="AF707">
        <v>2060</v>
      </c>
      <c r="AG707" t="s">
        <v>1744</v>
      </c>
      <c r="AI707" t="s">
        <v>59</v>
      </c>
      <c r="AL707" t="s">
        <v>2635</v>
      </c>
      <c r="AN707" s="3">
        <v>46057.322916666664</v>
      </c>
      <c r="AO707" t="s">
        <v>1281</v>
      </c>
    </row>
    <row r="708" spans="1:41" x14ac:dyDescent="0.3">
      <c r="A708" t="s">
        <v>61</v>
      </c>
      <c r="B708" t="s">
        <v>507</v>
      </c>
      <c r="D708" t="s">
        <v>63</v>
      </c>
      <c r="E708" s="1">
        <v>46056</v>
      </c>
      <c r="F708" t="s">
        <v>1376</v>
      </c>
      <c r="G708" t="s">
        <v>485</v>
      </c>
      <c r="H708" s="2">
        <v>0.79166666666666663</v>
      </c>
      <c r="I708" s="2">
        <v>0.3125</v>
      </c>
      <c r="J708" t="s">
        <v>296</v>
      </c>
      <c r="L708" t="s">
        <v>298</v>
      </c>
      <c r="M708" t="s">
        <v>508</v>
      </c>
      <c r="N708" t="s">
        <v>509</v>
      </c>
      <c r="O708">
        <v>22014</v>
      </c>
      <c r="Q708" t="s">
        <v>996</v>
      </c>
      <c r="R708" t="s">
        <v>132</v>
      </c>
      <c r="S708" t="s">
        <v>52</v>
      </c>
      <c r="U708">
        <v>889292</v>
      </c>
      <c r="V708" s="3">
        <v>46042.390972222223</v>
      </c>
      <c r="W708" t="s">
        <v>511</v>
      </c>
      <c r="X708" t="s">
        <v>512</v>
      </c>
      <c r="Y708" t="str">
        <f>"0430326260"</f>
        <v>0430326260</v>
      </c>
      <c r="Z708" t="s">
        <v>2358</v>
      </c>
      <c r="AB708" t="s">
        <v>514</v>
      </c>
      <c r="AD708" t="s">
        <v>61</v>
      </c>
      <c r="AE708" t="s">
        <v>515</v>
      </c>
      <c r="AF708">
        <v>2086</v>
      </c>
      <c r="AG708" t="s">
        <v>516</v>
      </c>
      <c r="AI708" t="s">
        <v>59</v>
      </c>
      <c r="AL708" t="s">
        <v>2635</v>
      </c>
      <c r="AN708" s="3">
        <v>46057.313194444447</v>
      </c>
      <c r="AO708" t="s">
        <v>511</v>
      </c>
    </row>
    <row r="709" spans="1:41" x14ac:dyDescent="0.3">
      <c r="A709" t="s">
        <v>41</v>
      </c>
      <c r="B709" t="s">
        <v>1168</v>
      </c>
      <c r="D709" t="s">
        <v>246</v>
      </c>
      <c r="E709" s="1">
        <v>46056</v>
      </c>
      <c r="F709" t="s">
        <v>1376</v>
      </c>
      <c r="G709" t="s">
        <v>485</v>
      </c>
      <c r="H709" s="2">
        <v>0.875</v>
      </c>
      <c r="I709" s="2">
        <v>0.3125</v>
      </c>
      <c r="J709" t="s">
        <v>296</v>
      </c>
      <c r="L709" t="s">
        <v>1169</v>
      </c>
      <c r="M709" t="s">
        <v>1170</v>
      </c>
      <c r="N709" t="s">
        <v>1171</v>
      </c>
      <c r="O709">
        <v>5952274</v>
      </c>
      <c r="Q709" t="s">
        <v>1172</v>
      </c>
      <c r="R709" t="s">
        <v>573</v>
      </c>
      <c r="S709" t="s">
        <v>52</v>
      </c>
      <c r="T709" t="s">
        <v>252</v>
      </c>
      <c r="U709">
        <v>889946</v>
      </c>
      <c r="V709" s="3">
        <v>46063.345138888886</v>
      </c>
      <c r="W709" t="s">
        <v>1173</v>
      </c>
      <c r="X709" t="s">
        <v>1174</v>
      </c>
      <c r="Y709" t="str">
        <f>"0432261353"</f>
        <v>0432261353</v>
      </c>
      <c r="Z709" t="s">
        <v>254</v>
      </c>
      <c r="AA709" s="1">
        <v>46083</v>
      </c>
      <c r="AB709" t="s">
        <v>1175</v>
      </c>
      <c r="AD709" t="s">
        <v>41</v>
      </c>
      <c r="AE709" t="s">
        <v>1176</v>
      </c>
      <c r="AF709">
        <v>4680</v>
      </c>
      <c r="AG709" t="s">
        <v>1172</v>
      </c>
      <c r="AI709" t="s">
        <v>59</v>
      </c>
      <c r="AJ709" t="str">
        <f>"0050076336"</f>
        <v>0050076336</v>
      </c>
      <c r="AN709" s="3">
        <v>46063.345138888886</v>
      </c>
      <c r="AO709" t="s">
        <v>573</v>
      </c>
    </row>
    <row r="710" spans="1:41" x14ac:dyDescent="0.3">
      <c r="A710" t="s">
        <v>168</v>
      </c>
      <c r="B710" t="s">
        <v>336</v>
      </c>
      <c r="D710" t="s">
        <v>268</v>
      </c>
      <c r="E710" s="1">
        <v>46056</v>
      </c>
      <c r="F710" t="s">
        <v>1376</v>
      </c>
      <c r="G710" t="s">
        <v>485</v>
      </c>
      <c r="H710" s="2">
        <v>0.875</v>
      </c>
      <c r="I710" s="2">
        <v>0.3125</v>
      </c>
      <c r="J710" t="s">
        <v>296</v>
      </c>
      <c r="K710" t="s">
        <v>338</v>
      </c>
      <c r="L710" t="s">
        <v>339</v>
      </c>
      <c r="M710" t="s">
        <v>806</v>
      </c>
      <c r="N710" t="s">
        <v>1671</v>
      </c>
      <c r="O710">
        <v>5951069</v>
      </c>
      <c r="P710" t="s">
        <v>338</v>
      </c>
      <c r="Q710" t="s">
        <v>342</v>
      </c>
      <c r="R710" t="s">
        <v>176</v>
      </c>
      <c r="S710" t="s">
        <v>52</v>
      </c>
      <c r="U710">
        <v>889274</v>
      </c>
      <c r="V710" s="3">
        <v>46042.580555555556</v>
      </c>
      <c r="W710" t="s">
        <v>1672</v>
      </c>
      <c r="X710" t="s">
        <v>1673</v>
      </c>
      <c r="Y710" t="str">
        <f>"0402344127"</f>
        <v>0402344127</v>
      </c>
      <c r="Z710" t="s">
        <v>2417</v>
      </c>
      <c r="AB710" t="s">
        <v>346</v>
      </c>
      <c r="AD710" t="s">
        <v>168</v>
      </c>
      <c r="AE710" t="s">
        <v>347</v>
      </c>
      <c r="AF710">
        <v>5042</v>
      </c>
      <c r="AG710" t="s">
        <v>342</v>
      </c>
      <c r="AI710" t="s">
        <v>59</v>
      </c>
      <c r="AL710" t="s">
        <v>2781</v>
      </c>
      <c r="AM710" t="s">
        <v>349</v>
      </c>
      <c r="AN710" s="3">
        <v>46056.896527777775</v>
      </c>
      <c r="AO710" t="s">
        <v>1672</v>
      </c>
    </row>
    <row r="711" spans="1:41" x14ac:dyDescent="0.3">
      <c r="A711" t="s">
        <v>306</v>
      </c>
      <c r="B711" t="s">
        <v>2782</v>
      </c>
      <c r="C711" t="s">
        <v>296</v>
      </c>
      <c r="D711" t="s">
        <v>90</v>
      </c>
      <c r="E711" s="1">
        <v>46056</v>
      </c>
      <c r="F711" t="s">
        <v>1376</v>
      </c>
      <c r="G711" t="s">
        <v>485</v>
      </c>
      <c r="H711" s="2">
        <v>0.89583333333333337</v>
      </c>
      <c r="I711" s="2">
        <v>0.3125</v>
      </c>
      <c r="J711" t="s">
        <v>296</v>
      </c>
      <c r="L711" t="s">
        <v>2161</v>
      </c>
      <c r="M711" t="s">
        <v>2783</v>
      </c>
      <c r="N711" t="s">
        <v>2784</v>
      </c>
      <c r="O711">
        <v>5952327</v>
      </c>
      <c r="P711">
        <v>11650511</v>
      </c>
      <c r="Q711" t="s">
        <v>98</v>
      </c>
      <c r="R711" t="s">
        <v>500</v>
      </c>
      <c r="S711" t="s">
        <v>52</v>
      </c>
      <c r="U711">
        <v>889293</v>
      </c>
      <c r="V711" s="3">
        <v>46055.979166666664</v>
      </c>
      <c r="W711" t="s">
        <v>2785</v>
      </c>
      <c r="X711" t="s">
        <v>2786</v>
      </c>
      <c r="Y711" t="str">
        <f>"0424801358"</f>
        <v>0424801358</v>
      </c>
      <c r="Z711" t="s">
        <v>70</v>
      </c>
      <c r="AA711" s="1">
        <v>46056</v>
      </c>
      <c r="AB711" t="s">
        <v>2787</v>
      </c>
      <c r="AD711" t="s">
        <v>306</v>
      </c>
      <c r="AE711" t="s">
        <v>2174</v>
      </c>
      <c r="AF711">
        <v>3030</v>
      </c>
      <c r="AG711" t="s">
        <v>1245</v>
      </c>
      <c r="AI711" t="s">
        <v>59</v>
      </c>
      <c r="AL711" t="s">
        <v>2788</v>
      </c>
      <c r="AN711" s="3">
        <v>46057.318749999999</v>
      </c>
      <c r="AO711" t="s">
        <v>2785</v>
      </c>
    </row>
    <row r="712" spans="1:41" x14ac:dyDescent="0.3">
      <c r="A712" t="s">
        <v>306</v>
      </c>
      <c r="B712" t="s">
        <v>2789</v>
      </c>
      <c r="D712" t="s">
        <v>90</v>
      </c>
      <c r="E712" s="1">
        <v>46056</v>
      </c>
      <c r="F712" t="s">
        <v>1376</v>
      </c>
      <c r="G712" t="s">
        <v>485</v>
      </c>
      <c r="H712" s="2">
        <v>0.91666666666666663</v>
      </c>
      <c r="I712" s="2">
        <v>0.29166666666666669</v>
      </c>
      <c r="J712" t="s">
        <v>296</v>
      </c>
      <c r="L712" t="s">
        <v>310</v>
      </c>
      <c r="M712" t="s">
        <v>311</v>
      </c>
      <c r="N712" t="s">
        <v>312</v>
      </c>
      <c r="O712">
        <v>5952174</v>
      </c>
      <c r="P712">
        <v>11662968</v>
      </c>
      <c r="Q712" t="s">
        <v>1245</v>
      </c>
      <c r="R712" t="s">
        <v>132</v>
      </c>
      <c r="S712" t="s">
        <v>52</v>
      </c>
      <c r="U712">
        <v>889289</v>
      </c>
      <c r="V712" s="3">
        <v>46056.688888888886</v>
      </c>
      <c r="W712" t="s">
        <v>315</v>
      </c>
      <c r="X712" t="s">
        <v>316</v>
      </c>
      <c r="Y712" t="str">
        <f>"0452621529"</f>
        <v>0452621529</v>
      </c>
      <c r="Z712" t="s">
        <v>70</v>
      </c>
      <c r="AA712" s="1">
        <v>46056</v>
      </c>
      <c r="AB712" t="s">
        <v>2790</v>
      </c>
      <c r="AD712" t="s">
        <v>306</v>
      </c>
      <c r="AE712" t="s">
        <v>1520</v>
      </c>
      <c r="AF712">
        <v>3002</v>
      </c>
      <c r="AG712" t="s">
        <v>98</v>
      </c>
      <c r="AI712" t="s">
        <v>59</v>
      </c>
      <c r="AL712" t="s">
        <v>87</v>
      </c>
      <c r="AN712" s="3">
        <v>46057.286805555559</v>
      </c>
      <c r="AO712" t="s">
        <v>315</v>
      </c>
    </row>
    <row r="713" spans="1:41" x14ac:dyDescent="0.3">
      <c r="A713" t="s">
        <v>306</v>
      </c>
      <c r="B713" t="s">
        <v>1353</v>
      </c>
      <c r="C713" t="s">
        <v>1354</v>
      </c>
      <c r="D713" t="s">
        <v>184</v>
      </c>
      <c r="E713" s="1">
        <v>46056</v>
      </c>
      <c r="F713" t="s">
        <v>1376</v>
      </c>
      <c r="G713" t="s">
        <v>485</v>
      </c>
      <c r="H713" s="2">
        <v>0.91666666666666663</v>
      </c>
      <c r="I713" s="2">
        <v>0.3125</v>
      </c>
      <c r="J713" t="s">
        <v>1355</v>
      </c>
      <c r="K713" t="s">
        <v>530</v>
      </c>
      <c r="L713" t="s">
        <v>531</v>
      </c>
      <c r="M713" t="s">
        <v>532</v>
      </c>
      <c r="N713" t="s">
        <v>533</v>
      </c>
      <c r="O713">
        <v>20495</v>
      </c>
      <c r="Q713" t="s">
        <v>705</v>
      </c>
      <c r="R713" t="s">
        <v>500</v>
      </c>
      <c r="S713" t="s">
        <v>119</v>
      </c>
      <c r="T713" t="s">
        <v>414</v>
      </c>
      <c r="U713">
        <v>889799</v>
      </c>
      <c r="V713" s="3">
        <v>46056.775694444441</v>
      </c>
      <c r="W713" t="s">
        <v>535</v>
      </c>
      <c r="X713" t="s">
        <v>536</v>
      </c>
      <c r="Y713" t="str">
        <f>"0447625522"</f>
        <v>0447625522</v>
      </c>
      <c r="Z713" t="s">
        <v>70</v>
      </c>
      <c r="AB713" t="s">
        <v>1357</v>
      </c>
      <c r="AD713" t="s">
        <v>306</v>
      </c>
      <c r="AE713" t="s">
        <v>1358</v>
      </c>
      <c r="AF713">
        <v>3181</v>
      </c>
      <c r="AI713" t="s">
        <v>59</v>
      </c>
      <c r="AL713" t="s">
        <v>1068</v>
      </c>
      <c r="AM713" t="s">
        <v>2791</v>
      </c>
      <c r="AN713" s="3">
        <v>46056.777083333334</v>
      </c>
      <c r="AO713" t="s">
        <v>500</v>
      </c>
    </row>
    <row r="714" spans="1:41" x14ac:dyDescent="0.3">
      <c r="A714" t="s">
        <v>168</v>
      </c>
      <c r="B714" t="s">
        <v>607</v>
      </c>
      <c r="C714" t="s">
        <v>267</v>
      </c>
      <c r="D714" t="s">
        <v>268</v>
      </c>
      <c r="E714" s="1">
        <v>46056</v>
      </c>
      <c r="F714" t="s">
        <v>1376</v>
      </c>
      <c r="G714" t="s">
        <v>45</v>
      </c>
      <c r="H714" s="2">
        <v>0.91666666666666663</v>
      </c>
      <c r="I714" s="2">
        <v>0.35416666666666669</v>
      </c>
      <c r="J714" t="s">
        <v>269</v>
      </c>
      <c r="K714" t="s">
        <v>608</v>
      </c>
      <c r="L714" t="s">
        <v>609</v>
      </c>
      <c r="M714" t="s">
        <v>610</v>
      </c>
      <c r="N714" t="s">
        <v>611</v>
      </c>
      <c r="O714">
        <v>5952121</v>
      </c>
      <c r="P714" t="s">
        <v>249</v>
      </c>
      <c r="Q714" t="s">
        <v>612</v>
      </c>
      <c r="R714" t="s">
        <v>613</v>
      </c>
      <c r="S714" t="s">
        <v>52</v>
      </c>
      <c r="T714" t="s">
        <v>252</v>
      </c>
      <c r="U714">
        <v>889743</v>
      </c>
      <c r="V714" s="3">
        <v>46062.01666666667</v>
      </c>
      <c r="W714" t="s">
        <v>613</v>
      </c>
      <c r="X714" t="s">
        <v>614</v>
      </c>
      <c r="Y714" t="str">
        <f>"0412297150"</f>
        <v>0412297150</v>
      </c>
      <c r="Z714" t="s">
        <v>254</v>
      </c>
      <c r="AA714" s="1">
        <v>46077</v>
      </c>
      <c r="AB714" t="s">
        <v>615</v>
      </c>
      <c r="AC714" t="s">
        <v>616</v>
      </c>
      <c r="AD714" t="s">
        <v>168</v>
      </c>
      <c r="AE714" t="s">
        <v>617</v>
      </c>
      <c r="AF714">
        <v>5290</v>
      </c>
      <c r="AG714" t="s">
        <v>618</v>
      </c>
      <c r="AI714" t="s">
        <v>59</v>
      </c>
      <c r="AJ714" t="str">
        <f>"0020171780"</f>
        <v>0020171780</v>
      </c>
      <c r="AM714" t="s">
        <v>2025</v>
      </c>
      <c r="AN714" s="3">
        <v>46062.01666666667</v>
      </c>
      <c r="AO714" t="s">
        <v>613</v>
      </c>
    </row>
    <row r="715" spans="1:41" x14ac:dyDescent="0.3">
      <c r="A715" t="s">
        <v>168</v>
      </c>
      <c r="B715" t="s">
        <v>376</v>
      </c>
      <c r="C715" t="s">
        <v>1345</v>
      </c>
      <c r="D715" t="s">
        <v>127</v>
      </c>
      <c r="E715" s="1">
        <v>46056</v>
      </c>
      <c r="F715" t="s">
        <v>1376</v>
      </c>
      <c r="G715" t="s">
        <v>485</v>
      </c>
      <c r="H715" s="2">
        <v>0.91666666666666663</v>
      </c>
      <c r="I715" s="2">
        <v>0.29166666666666669</v>
      </c>
      <c r="J715" t="s">
        <v>296</v>
      </c>
      <c r="L715" t="s">
        <v>1453</v>
      </c>
      <c r="M715" t="s">
        <v>2792</v>
      </c>
      <c r="N715" t="s">
        <v>2793</v>
      </c>
      <c r="O715">
        <v>21869</v>
      </c>
      <c r="Q715" t="s">
        <v>2794</v>
      </c>
      <c r="R715" t="s">
        <v>231</v>
      </c>
      <c r="S715" t="s">
        <v>52</v>
      </c>
      <c r="U715">
        <v>889284</v>
      </c>
      <c r="V715" s="3">
        <v>46051.361111111109</v>
      </c>
      <c r="W715" t="s">
        <v>2795</v>
      </c>
      <c r="X715" t="s">
        <v>2796</v>
      </c>
      <c r="Y715" t="str">
        <f>"0403824388"</f>
        <v>0403824388</v>
      </c>
      <c r="Z715" t="s">
        <v>1324</v>
      </c>
      <c r="AB715" t="s">
        <v>383</v>
      </c>
      <c r="AD715" t="s">
        <v>168</v>
      </c>
      <c r="AE715" t="s">
        <v>384</v>
      </c>
      <c r="AF715">
        <v>5000</v>
      </c>
      <c r="AG715" t="s">
        <v>2797</v>
      </c>
      <c r="AI715" t="s">
        <v>59</v>
      </c>
      <c r="AL715" t="s">
        <v>2798</v>
      </c>
      <c r="AN715" s="3">
        <v>46057.171527777777</v>
      </c>
      <c r="AO715" t="s">
        <v>2795</v>
      </c>
    </row>
    <row r="716" spans="1:41" x14ac:dyDescent="0.3">
      <c r="A716" t="s">
        <v>41</v>
      </c>
      <c r="B716" t="s">
        <v>632</v>
      </c>
      <c r="D716" t="s">
        <v>246</v>
      </c>
      <c r="E716" s="1">
        <v>46056</v>
      </c>
      <c r="F716" t="s">
        <v>1376</v>
      </c>
      <c r="G716" t="s">
        <v>485</v>
      </c>
      <c r="H716" s="2">
        <v>0.9375</v>
      </c>
      <c r="I716" s="2">
        <v>0.29166666666666669</v>
      </c>
      <c r="J716" t="s">
        <v>296</v>
      </c>
      <c r="K716" t="s">
        <v>427</v>
      </c>
      <c r="L716" t="s">
        <v>633</v>
      </c>
      <c r="M716" t="s">
        <v>2090</v>
      </c>
      <c r="N716" t="s">
        <v>1396</v>
      </c>
      <c r="O716">
        <v>402502</v>
      </c>
      <c r="Q716" t="s">
        <v>2091</v>
      </c>
      <c r="R716" t="s">
        <v>145</v>
      </c>
      <c r="S716" t="s">
        <v>52</v>
      </c>
      <c r="U716">
        <v>889297</v>
      </c>
      <c r="V716" s="3">
        <v>46025.955555555556</v>
      </c>
      <c r="W716" t="s">
        <v>2092</v>
      </c>
      <c r="X716" t="s">
        <v>2093</v>
      </c>
      <c r="Y716" t="str">
        <f>"0413242523"</f>
        <v>0413242523</v>
      </c>
      <c r="Z716" t="s">
        <v>2799</v>
      </c>
      <c r="AB716" t="s">
        <v>640</v>
      </c>
      <c r="AD716" t="s">
        <v>41</v>
      </c>
      <c r="AE716" t="s">
        <v>641</v>
      </c>
      <c r="AF716">
        <v>4305</v>
      </c>
      <c r="AG716" t="s">
        <v>642</v>
      </c>
      <c r="AI716" t="s">
        <v>59</v>
      </c>
      <c r="AL716" t="s">
        <v>370</v>
      </c>
      <c r="AM716" t="s">
        <v>644</v>
      </c>
      <c r="AN716" s="3">
        <v>46057.338888888888</v>
      </c>
      <c r="AO716" t="s">
        <v>2092</v>
      </c>
    </row>
    <row r="717" spans="1:41" x14ac:dyDescent="0.3">
      <c r="A717" t="s">
        <v>41</v>
      </c>
      <c r="B717" t="s">
        <v>632</v>
      </c>
      <c r="C717" t="s">
        <v>296</v>
      </c>
      <c r="D717" t="s">
        <v>246</v>
      </c>
      <c r="E717" s="1">
        <v>46056</v>
      </c>
      <c r="F717" t="s">
        <v>1376</v>
      </c>
      <c r="G717" t="s">
        <v>485</v>
      </c>
      <c r="H717" s="2">
        <v>0.9375</v>
      </c>
      <c r="I717" s="2">
        <v>0.29166666666666669</v>
      </c>
      <c r="J717" t="s">
        <v>296</v>
      </c>
      <c r="K717" t="s">
        <v>2096</v>
      </c>
      <c r="L717" t="s">
        <v>428</v>
      </c>
      <c r="M717" t="s">
        <v>554</v>
      </c>
      <c r="N717" t="s">
        <v>555</v>
      </c>
      <c r="O717">
        <v>5950685</v>
      </c>
      <c r="Q717" t="s">
        <v>2800</v>
      </c>
      <c r="R717" t="s">
        <v>51</v>
      </c>
      <c r="S717" t="s">
        <v>52</v>
      </c>
      <c r="U717">
        <v>889295</v>
      </c>
      <c r="V717" s="3">
        <v>46049.637499999997</v>
      </c>
      <c r="W717" t="s">
        <v>557</v>
      </c>
      <c r="X717" t="s">
        <v>558</v>
      </c>
      <c r="Y717" t="str">
        <f>"0431966228"</f>
        <v>0431966228</v>
      </c>
      <c r="Z717" t="s">
        <v>2801</v>
      </c>
      <c r="AB717" t="s">
        <v>640</v>
      </c>
      <c r="AD717" t="s">
        <v>41</v>
      </c>
      <c r="AE717" t="s">
        <v>641</v>
      </c>
      <c r="AF717">
        <v>4305</v>
      </c>
      <c r="AG717" t="s">
        <v>2098</v>
      </c>
      <c r="AI717" t="s">
        <v>59</v>
      </c>
      <c r="AL717" t="s">
        <v>2802</v>
      </c>
      <c r="AN717" s="3">
        <v>46057.32916666667</v>
      </c>
      <c r="AO717" t="s">
        <v>557</v>
      </c>
    </row>
    <row r="718" spans="1:41" x14ac:dyDescent="0.3">
      <c r="A718" t="s">
        <v>41</v>
      </c>
      <c r="B718" t="s">
        <v>1697</v>
      </c>
      <c r="C718" t="s">
        <v>296</v>
      </c>
      <c r="D718" t="s">
        <v>246</v>
      </c>
      <c r="E718" s="1">
        <v>46056</v>
      </c>
      <c r="F718" t="s">
        <v>1376</v>
      </c>
      <c r="G718" t="s">
        <v>485</v>
      </c>
      <c r="H718" s="2">
        <v>0.94791666666666663</v>
      </c>
      <c r="I718" s="2">
        <v>0.30208333333333331</v>
      </c>
      <c r="J718" t="s">
        <v>296</v>
      </c>
      <c r="L718" t="s">
        <v>1453</v>
      </c>
      <c r="M718" t="s">
        <v>2803</v>
      </c>
      <c r="N718" t="s">
        <v>2804</v>
      </c>
      <c r="O718">
        <v>5952445</v>
      </c>
      <c r="Q718" t="s">
        <v>2805</v>
      </c>
      <c r="R718" t="s">
        <v>723</v>
      </c>
      <c r="S718" t="s">
        <v>52</v>
      </c>
      <c r="U718">
        <v>889296</v>
      </c>
      <c r="V718" s="3">
        <v>46056.420138888891</v>
      </c>
      <c r="W718" t="s">
        <v>2806</v>
      </c>
      <c r="X718" t="s">
        <v>2807</v>
      </c>
      <c r="Y718" t="str">
        <f>"0461578162"</f>
        <v>0461578162</v>
      </c>
      <c r="Z718" t="s">
        <v>55</v>
      </c>
      <c r="AA718" s="1">
        <v>46056</v>
      </c>
      <c r="AB718" t="s">
        <v>1702</v>
      </c>
      <c r="AD718" t="s">
        <v>41</v>
      </c>
      <c r="AE718" t="s">
        <v>1703</v>
      </c>
      <c r="AF718">
        <v>4032</v>
      </c>
      <c r="AG718" t="s">
        <v>2009</v>
      </c>
      <c r="AI718" t="s">
        <v>59</v>
      </c>
      <c r="AL718" t="s">
        <v>87</v>
      </c>
      <c r="AN718" s="3">
        <v>46057.334722222222</v>
      </c>
      <c r="AO718" t="s">
        <v>2806</v>
      </c>
    </row>
    <row r="719" spans="1:41" x14ac:dyDescent="0.3">
      <c r="A719" t="s">
        <v>61</v>
      </c>
      <c r="B719" t="s">
        <v>182</v>
      </c>
      <c r="C719" t="s">
        <v>183</v>
      </c>
      <c r="D719" t="s">
        <v>184</v>
      </c>
      <c r="E719" s="1">
        <v>46057</v>
      </c>
      <c r="F719" t="s">
        <v>44</v>
      </c>
      <c r="G719" t="s">
        <v>45</v>
      </c>
      <c r="H719" s="2">
        <v>0.25</v>
      </c>
      <c r="I719" s="2">
        <v>0.52083333333333337</v>
      </c>
      <c r="J719" t="s">
        <v>185</v>
      </c>
      <c r="L719" t="s">
        <v>186</v>
      </c>
      <c r="M719" t="s">
        <v>1395</v>
      </c>
      <c r="N719" t="s">
        <v>1396</v>
      </c>
      <c r="O719">
        <v>758</v>
      </c>
      <c r="Q719" t="s">
        <v>189</v>
      </c>
      <c r="R719" t="s">
        <v>132</v>
      </c>
      <c r="S719" t="s">
        <v>52</v>
      </c>
      <c r="U719">
        <v>889311</v>
      </c>
      <c r="V719" s="3">
        <v>46051.450694444444</v>
      </c>
      <c r="W719" t="s">
        <v>1397</v>
      </c>
      <c r="X719" t="s">
        <v>1398</v>
      </c>
      <c r="Y719" t="str">
        <f>"0402403886"</f>
        <v>0402403886</v>
      </c>
      <c r="Z719" t="s">
        <v>2486</v>
      </c>
      <c r="AB719" t="s">
        <v>193</v>
      </c>
      <c r="AD719" t="s">
        <v>61</v>
      </c>
      <c r="AE719" t="s">
        <v>194</v>
      </c>
      <c r="AF719">
        <v>2229</v>
      </c>
      <c r="AG719" t="s">
        <v>189</v>
      </c>
      <c r="AI719" t="s">
        <v>59</v>
      </c>
      <c r="AL719" t="s">
        <v>2808</v>
      </c>
      <c r="AN719" s="3">
        <v>46057.534722222219</v>
      </c>
      <c r="AO719" t="s">
        <v>1397</v>
      </c>
    </row>
    <row r="720" spans="1:41" x14ac:dyDescent="0.3">
      <c r="A720" t="s">
        <v>61</v>
      </c>
      <c r="B720" t="s">
        <v>182</v>
      </c>
      <c r="C720" t="s">
        <v>183</v>
      </c>
      <c r="D720" t="s">
        <v>184</v>
      </c>
      <c r="E720" s="1">
        <v>46057</v>
      </c>
      <c r="F720" t="s">
        <v>44</v>
      </c>
      <c r="G720" t="s">
        <v>45</v>
      </c>
      <c r="H720" s="2">
        <v>0.27083333333333331</v>
      </c>
      <c r="I720" s="2">
        <v>0.99861111111111112</v>
      </c>
      <c r="J720" t="s">
        <v>185</v>
      </c>
      <c r="L720" t="s">
        <v>186</v>
      </c>
      <c r="M720" t="s">
        <v>1645</v>
      </c>
      <c r="N720" t="s">
        <v>564</v>
      </c>
      <c r="O720">
        <v>5950929</v>
      </c>
      <c r="Q720" t="s">
        <v>189</v>
      </c>
      <c r="R720" t="s">
        <v>132</v>
      </c>
      <c r="S720" t="s">
        <v>52</v>
      </c>
      <c r="U720">
        <v>889358</v>
      </c>
      <c r="V720" s="3">
        <v>46051.488194444442</v>
      </c>
      <c r="W720" t="s">
        <v>1845</v>
      </c>
      <c r="X720" t="s">
        <v>1846</v>
      </c>
      <c r="Y720" t="str">
        <f>"0426199544"</f>
        <v>0426199544</v>
      </c>
      <c r="Z720" t="s">
        <v>70</v>
      </c>
      <c r="AB720" t="s">
        <v>193</v>
      </c>
      <c r="AD720" t="s">
        <v>61</v>
      </c>
      <c r="AE720" t="s">
        <v>194</v>
      </c>
      <c r="AF720">
        <v>2229</v>
      </c>
      <c r="AG720" t="s">
        <v>189</v>
      </c>
      <c r="AI720" t="s">
        <v>59</v>
      </c>
      <c r="AL720" t="s">
        <v>2809</v>
      </c>
      <c r="AN720" s="3">
        <v>46057.829861111109</v>
      </c>
      <c r="AO720" t="s">
        <v>1845</v>
      </c>
    </row>
    <row r="721" spans="1:41" x14ac:dyDescent="0.3">
      <c r="A721" t="s">
        <v>41</v>
      </c>
      <c r="B721" t="s">
        <v>1705</v>
      </c>
      <c r="C721" t="s">
        <v>43</v>
      </c>
      <c r="D721" t="s">
        <v>1706</v>
      </c>
      <c r="E721" s="1">
        <v>46057</v>
      </c>
      <c r="F721" t="s">
        <v>44</v>
      </c>
      <c r="G721" t="s">
        <v>45</v>
      </c>
      <c r="H721" s="2">
        <v>0.27083333333333331</v>
      </c>
      <c r="I721" s="2">
        <v>0.52083333333333337</v>
      </c>
      <c r="J721" t="s">
        <v>46</v>
      </c>
      <c r="L721" t="s">
        <v>298</v>
      </c>
      <c r="M721" t="s">
        <v>1578</v>
      </c>
      <c r="N721" t="s">
        <v>1579</v>
      </c>
      <c r="O721">
        <v>5952061</v>
      </c>
      <c r="Q721" t="s">
        <v>1707</v>
      </c>
      <c r="R721" t="s">
        <v>51</v>
      </c>
      <c r="S721" t="s">
        <v>52</v>
      </c>
      <c r="U721">
        <v>889312</v>
      </c>
      <c r="V721" s="3">
        <v>46052.540972222225</v>
      </c>
      <c r="W721" t="s">
        <v>1581</v>
      </c>
      <c r="X721" t="s">
        <v>1582</v>
      </c>
      <c r="Y721" t="str">
        <f>"0401803081"</f>
        <v>0401803081</v>
      </c>
      <c r="Z721" t="s">
        <v>55</v>
      </c>
      <c r="AA721" s="1">
        <v>46057</v>
      </c>
      <c r="AB721" t="s">
        <v>1708</v>
      </c>
      <c r="AC721" t="s">
        <v>1562</v>
      </c>
      <c r="AD721" t="s">
        <v>41</v>
      </c>
      <c r="AE721" t="s">
        <v>1563</v>
      </c>
      <c r="AF721">
        <v>4109</v>
      </c>
      <c r="AG721" t="s">
        <v>1707</v>
      </c>
      <c r="AI721" t="s">
        <v>59</v>
      </c>
      <c r="AL721" t="s">
        <v>87</v>
      </c>
      <c r="AN721" s="3">
        <v>46057.54583333333</v>
      </c>
      <c r="AO721" t="s">
        <v>1581</v>
      </c>
    </row>
    <row r="722" spans="1:41" x14ac:dyDescent="0.3">
      <c r="A722" t="s">
        <v>61</v>
      </c>
      <c r="B722" t="s">
        <v>753</v>
      </c>
      <c r="C722" t="s">
        <v>216</v>
      </c>
      <c r="D722" t="s">
        <v>754</v>
      </c>
      <c r="E722" s="1">
        <v>46057</v>
      </c>
      <c r="F722" t="s">
        <v>44</v>
      </c>
      <c r="G722" t="s">
        <v>45</v>
      </c>
      <c r="H722" s="2">
        <v>0.27083333333333331</v>
      </c>
      <c r="I722" s="2">
        <v>0.98958333333333337</v>
      </c>
      <c r="J722" t="s">
        <v>101</v>
      </c>
      <c r="L722" t="s">
        <v>159</v>
      </c>
      <c r="M722" t="s">
        <v>2730</v>
      </c>
      <c r="N722" t="s">
        <v>2731</v>
      </c>
      <c r="O722">
        <v>20844</v>
      </c>
      <c r="Q722" t="s">
        <v>1710</v>
      </c>
      <c r="R722" t="s">
        <v>67</v>
      </c>
      <c r="S722" t="s">
        <v>52</v>
      </c>
      <c r="U722">
        <v>889310</v>
      </c>
      <c r="V722" s="3">
        <v>46051.604166666664</v>
      </c>
      <c r="W722" t="s">
        <v>2732</v>
      </c>
      <c r="X722" t="s">
        <v>2733</v>
      </c>
      <c r="Y722" t="str">
        <f>"0415077168"</f>
        <v>0415077168</v>
      </c>
      <c r="Z722" t="s">
        <v>2810</v>
      </c>
      <c r="AB722" t="s">
        <v>764</v>
      </c>
      <c r="AD722" t="s">
        <v>61</v>
      </c>
      <c r="AE722" t="s">
        <v>765</v>
      </c>
      <c r="AF722">
        <v>2220</v>
      </c>
      <c r="AG722" t="s">
        <v>2811</v>
      </c>
      <c r="AI722" t="s">
        <v>59</v>
      </c>
      <c r="AL722" t="s">
        <v>2812</v>
      </c>
      <c r="AN722" s="3">
        <v>46057.534722222219</v>
      </c>
      <c r="AO722" t="s">
        <v>2732</v>
      </c>
    </row>
    <row r="723" spans="1:41" x14ac:dyDescent="0.3">
      <c r="A723" t="s">
        <v>61</v>
      </c>
      <c r="B723" t="s">
        <v>753</v>
      </c>
      <c r="C723" t="s">
        <v>216</v>
      </c>
      <c r="D723" t="s">
        <v>754</v>
      </c>
      <c r="E723" s="1">
        <v>46057</v>
      </c>
      <c r="F723" t="s">
        <v>44</v>
      </c>
      <c r="G723" t="s">
        <v>45</v>
      </c>
      <c r="H723" s="2">
        <v>0.27083333333333331</v>
      </c>
      <c r="I723" s="2">
        <v>0.625</v>
      </c>
      <c r="J723" t="s">
        <v>101</v>
      </c>
      <c r="L723" t="s">
        <v>735</v>
      </c>
      <c r="M723" t="s">
        <v>2762</v>
      </c>
      <c r="N723" t="s">
        <v>2763</v>
      </c>
      <c r="O723">
        <v>22330</v>
      </c>
      <c r="Q723" t="s">
        <v>1710</v>
      </c>
      <c r="R723" t="s">
        <v>67</v>
      </c>
      <c r="S723" t="s">
        <v>52</v>
      </c>
      <c r="U723">
        <v>889318</v>
      </c>
      <c r="V723" s="3">
        <v>46051.604166666664</v>
      </c>
      <c r="W723" t="s">
        <v>2764</v>
      </c>
      <c r="X723" t="s">
        <v>2765</v>
      </c>
      <c r="Y723" t="str">
        <f>"0420483284"</f>
        <v>0420483284</v>
      </c>
      <c r="Z723" t="s">
        <v>2813</v>
      </c>
      <c r="AB723" t="s">
        <v>764</v>
      </c>
      <c r="AD723" t="s">
        <v>61</v>
      </c>
      <c r="AE723" t="s">
        <v>765</v>
      </c>
      <c r="AF723">
        <v>2220</v>
      </c>
      <c r="AG723" t="s">
        <v>2811</v>
      </c>
      <c r="AI723" t="s">
        <v>59</v>
      </c>
      <c r="AL723" t="s">
        <v>2812</v>
      </c>
      <c r="AN723" s="3">
        <v>46057.59097222222</v>
      </c>
      <c r="AO723" t="s">
        <v>2764</v>
      </c>
    </row>
    <row r="724" spans="1:41" x14ac:dyDescent="0.3">
      <c r="A724" t="s">
        <v>61</v>
      </c>
      <c r="B724" t="s">
        <v>158</v>
      </c>
      <c r="C724" t="s">
        <v>43</v>
      </c>
      <c r="D724" t="s">
        <v>127</v>
      </c>
      <c r="E724" s="1">
        <v>46057</v>
      </c>
      <c r="F724" t="s">
        <v>44</v>
      </c>
      <c r="G724" t="s">
        <v>45</v>
      </c>
      <c r="H724" s="2">
        <v>0.27083333333333331</v>
      </c>
      <c r="I724" s="2">
        <v>0.64583333333333337</v>
      </c>
      <c r="J724" t="s">
        <v>101</v>
      </c>
      <c r="L724" t="s">
        <v>159</v>
      </c>
      <c r="M724" t="s">
        <v>1765</v>
      </c>
      <c r="N724" t="s">
        <v>1766</v>
      </c>
      <c r="O724">
        <v>339</v>
      </c>
      <c r="Q724" t="s">
        <v>162</v>
      </c>
      <c r="R724" t="s">
        <v>67</v>
      </c>
      <c r="S724" t="s">
        <v>52</v>
      </c>
      <c r="U724">
        <v>889314</v>
      </c>
      <c r="V724" s="3">
        <v>46050.629861111112</v>
      </c>
      <c r="W724" t="s">
        <v>1768</v>
      </c>
      <c r="X724" t="s">
        <v>1769</v>
      </c>
      <c r="Y724" t="str">
        <f>"0419654987"</f>
        <v>0419654987</v>
      </c>
      <c r="Z724" t="s">
        <v>1874</v>
      </c>
      <c r="AA724" s="1">
        <v>46057</v>
      </c>
      <c r="AB724" t="s">
        <v>166</v>
      </c>
      <c r="AD724" t="s">
        <v>61</v>
      </c>
      <c r="AE724" t="s">
        <v>167</v>
      </c>
      <c r="AF724">
        <v>2011</v>
      </c>
      <c r="AG724" t="s">
        <v>162</v>
      </c>
      <c r="AI724" t="s">
        <v>59</v>
      </c>
      <c r="AL724" t="s">
        <v>2814</v>
      </c>
      <c r="AN724" s="3">
        <v>46057.552777777775</v>
      </c>
      <c r="AO724" t="s">
        <v>1768</v>
      </c>
    </row>
    <row r="725" spans="1:41" x14ac:dyDescent="0.3">
      <c r="A725" t="s">
        <v>41</v>
      </c>
      <c r="B725" t="s">
        <v>1557</v>
      </c>
      <c r="C725" t="s">
        <v>183</v>
      </c>
      <c r="D725" t="s">
        <v>63</v>
      </c>
      <c r="E725" s="1">
        <v>46057</v>
      </c>
      <c r="F725" t="s">
        <v>44</v>
      </c>
      <c r="G725" t="s">
        <v>45</v>
      </c>
      <c r="H725" s="2">
        <v>0.27083333333333331</v>
      </c>
      <c r="I725" s="2">
        <v>0.58333333333333337</v>
      </c>
      <c r="J725" t="s">
        <v>185</v>
      </c>
      <c r="L725" t="s">
        <v>186</v>
      </c>
      <c r="M725" t="s">
        <v>2815</v>
      </c>
      <c r="N725" t="s">
        <v>2816</v>
      </c>
      <c r="O725">
        <v>22933</v>
      </c>
      <c r="Q725" t="s">
        <v>2817</v>
      </c>
      <c r="R725" t="s">
        <v>1248</v>
      </c>
      <c r="S725" t="s">
        <v>52</v>
      </c>
      <c r="U725">
        <v>889306</v>
      </c>
      <c r="V725" s="3">
        <v>46055.861805555556</v>
      </c>
      <c r="W725" t="s">
        <v>2818</v>
      </c>
      <c r="X725" t="s">
        <v>2819</v>
      </c>
      <c r="Y725" t="str">
        <f>"0433824417"</f>
        <v>0433824417</v>
      </c>
      <c r="Z725" t="s">
        <v>70</v>
      </c>
      <c r="AA725" s="1">
        <v>46057</v>
      </c>
      <c r="AB725" t="s">
        <v>1562</v>
      </c>
      <c r="AD725" t="s">
        <v>41</v>
      </c>
      <c r="AE725" t="s">
        <v>1563</v>
      </c>
      <c r="AF725">
        <v>4109</v>
      </c>
      <c r="AG725" t="s">
        <v>2817</v>
      </c>
      <c r="AI725" t="s">
        <v>59</v>
      </c>
      <c r="AL725" t="s">
        <v>2820</v>
      </c>
      <c r="AN725" s="3">
        <v>46057.502083333333</v>
      </c>
      <c r="AO725" t="s">
        <v>2818</v>
      </c>
    </row>
    <row r="726" spans="1:41" x14ac:dyDescent="0.3">
      <c r="A726" t="s">
        <v>168</v>
      </c>
      <c r="B726" t="s">
        <v>441</v>
      </c>
      <c r="C726" t="s">
        <v>101</v>
      </c>
      <c r="E726" s="1">
        <v>46057</v>
      </c>
      <c r="F726" t="s">
        <v>44</v>
      </c>
      <c r="G726" t="s">
        <v>45</v>
      </c>
      <c r="H726" s="2">
        <v>0.29166666666666669</v>
      </c>
      <c r="I726" s="2">
        <v>0.54166666666666663</v>
      </c>
      <c r="J726" t="s">
        <v>101</v>
      </c>
      <c r="L726" t="s">
        <v>159</v>
      </c>
      <c r="M726" t="s">
        <v>1377</v>
      </c>
      <c r="N726" t="s">
        <v>1378</v>
      </c>
      <c r="O726">
        <v>22414</v>
      </c>
      <c r="Q726" t="s">
        <v>944</v>
      </c>
      <c r="R726" t="s">
        <v>556</v>
      </c>
      <c r="S726" t="s">
        <v>52</v>
      </c>
      <c r="U726">
        <v>889313</v>
      </c>
      <c r="V726" s="3">
        <v>46050.934027777781</v>
      </c>
      <c r="W726" t="s">
        <v>1379</v>
      </c>
      <c r="X726" t="s">
        <v>1380</v>
      </c>
      <c r="Y726" t="str">
        <f>"0425653004"</f>
        <v>0425653004</v>
      </c>
      <c r="Z726" t="s">
        <v>70</v>
      </c>
      <c r="AA726" s="1">
        <v>46057</v>
      </c>
      <c r="AB726" t="s">
        <v>448</v>
      </c>
      <c r="AD726" t="s">
        <v>168</v>
      </c>
      <c r="AE726" t="s">
        <v>180</v>
      </c>
      <c r="AF726">
        <v>5063</v>
      </c>
      <c r="AG726" t="s">
        <v>944</v>
      </c>
      <c r="AI726" t="s">
        <v>59</v>
      </c>
      <c r="AL726" t="s">
        <v>1720</v>
      </c>
      <c r="AN726" s="3">
        <v>46057.55</v>
      </c>
      <c r="AO726" t="s">
        <v>1379</v>
      </c>
    </row>
    <row r="727" spans="1:41" x14ac:dyDescent="0.3">
      <c r="A727" t="s">
        <v>168</v>
      </c>
      <c r="B727" t="s">
        <v>326</v>
      </c>
      <c r="C727" t="s">
        <v>1150</v>
      </c>
      <c r="D727" t="s">
        <v>127</v>
      </c>
      <c r="E727" s="1">
        <v>46057</v>
      </c>
      <c r="F727" t="s">
        <v>44</v>
      </c>
      <c r="G727" t="s">
        <v>45</v>
      </c>
      <c r="H727" s="2">
        <v>0.29166666666666669</v>
      </c>
      <c r="I727" s="2">
        <v>0.79166666666666663</v>
      </c>
      <c r="J727" t="s">
        <v>101</v>
      </c>
      <c r="L727" t="s">
        <v>159</v>
      </c>
      <c r="M727" t="s">
        <v>1151</v>
      </c>
      <c r="N727" t="s">
        <v>1152</v>
      </c>
      <c r="O727">
        <v>13</v>
      </c>
      <c r="Q727" t="s">
        <v>676</v>
      </c>
      <c r="R727" t="s">
        <v>176</v>
      </c>
      <c r="S727" t="s">
        <v>52</v>
      </c>
      <c r="U727">
        <v>889326</v>
      </c>
      <c r="V727" s="3">
        <v>46043.692361111112</v>
      </c>
      <c r="W727" t="s">
        <v>1153</v>
      </c>
      <c r="X727" t="s">
        <v>1154</v>
      </c>
      <c r="Y727" t="str">
        <f>"0424485060"</f>
        <v>0424485060</v>
      </c>
      <c r="Z727" t="s">
        <v>585</v>
      </c>
      <c r="AB727" t="s">
        <v>333</v>
      </c>
      <c r="AD727" t="s">
        <v>168</v>
      </c>
      <c r="AE727" t="s">
        <v>334</v>
      </c>
      <c r="AF727">
        <v>5034</v>
      </c>
      <c r="AG727" t="s">
        <v>676</v>
      </c>
      <c r="AI727" t="s">
        <v>59</v>
      </c>
      <c r="AL727" t="s">
        <v>87</v>
      </c>
      <c r="AN727" s="3">
        <v>46057.666666666664</v>
      </c>
      <c r="AO727" t="s">
        <v>1153</v>
      </c>
    </row>
    <row r="728" spans="1:41" x14ac:dyDescent="0.3">
      <c r="A728" t="s">
        <v>61</v>
      </c>
      <c r="B728" t="s">
        <v>126</v>
      </c>
      <c r="C728" t="s">
        <v>43</v>
      </c>
      <c r="D728" t="s">
        <v>127</v>
      </c>
      <c r="E728" s="1">
        <v>46057</v>
      </c>
      <c r="F728" t="s">
        <v>44</v>
      </c>
      <c r="G728" t="s">
        <v>45</v>
      </c>
      <c r="H728" s="2">
        <v>0.29166666666666669</v>
      </c>
      <c r="I728" s="2">
        <v>0.99861111111111112</v>
      </c>
      <c r="J728" t="s">
        <v>46</v>
      </c>
      <c r="L728" t="s">
        <v>47</v>
      </c>
      <c r="M728" t="s">
        <v>129</v>
      </c>
      <c r="N728" t="s">
        <v>130</v>
      </c>
      <c r="O728">
        <v>21231</v>
      </c>
      <c r="Q728" t="s">
        <v>131</v>
      </c>
      <c r="R728" t="s">
        <v>132</v>
      </c>
      <c r="S728" t="s">
        <v>52</v>
      </c>
      <c r="U728">
        <v>889331</v>
      </c>
      <c r="V728" s="3">
        <v>46042.632638888892</v>
      </c>
      <c r="W728" t="s">
        <v>133</v>
      </c>
      <c r="X728" t="s">
        <v>134</v>
      </c>
      <c r="Y728" t="str">
        <f>"0425328222"</f>
        <v>0425328222</v>
      </c>
      <c r="Z728" t="s">
        <v>2821</v>
      </c>
      <c r="AB728" t="s">
        <v>136</v>
      </c>
      <c r="AD728" t="s">
        <v>61</v>
      </c>
      <c r="AE728" t="s">
        <v>137</v>
      </c>
      <c r="AF728">
        <v>2032</v>
      </c>
      <c r="AG728" t="s">
        <v>131</v>
      </c>
      <c r="AI728" t="s">
        <v>59</v>
      </c>
      <c r="AL728" t="s">
        <v>2812</v>
      </c>
      <c r="AN728" s="3">
        <v>46057.689583333333</v>
      </c>
      <c r="AO728" t="s">
        <v>133</v>
      </c>
    </row>
    <row r="729" spans="1:41" x14ac:dyDescent="0.3">
      <c r="A729" t="s">
        <v>41</v>
      </c>
      <c r="B729" t="s">
        <v>568</v>
      </c>
      <c r="D729" t="s">
        <v>246</v>
      </c>
      <c r="E729" s="1">
        <v>46057</v>
      </c>
      <c r="F729" t="s">
        <v>44</v>
      </c>
      <c r="G729" t="s">
        <v>45</v>
      </c>
      <c r="H729" s="2">
        <v>0.29166666666666669</v>
      </c>
      <c r="I729" s="2">
        <v>0.64583333333333337</v>
      </c>
      <c r="J729" t="s">
        <v>269</v>
      </c>
      <c r="L729" t="s">
        <v>172</v>
      </c>
      <c r="M729" t="s">
        <v>311</v>
      </c>
      <c r="N729" t="s">
        <v>570</v>
      </c>
      <c r="O729">
        <v>5951685</v>
      </c>
      <c r="P729" t="s">
        <v>571</v>
      </c>
      <c r="Q729" t="s">
        <v>572</v>
      </c>
      <c r="R729" t="s">
        <v>573</v>
      </c>
      <c r="S729" t="s">
        <v>52</v>
      </c>
      <c r="T729" t="s">
        <v>252</v>
      </c>
      <c r="U729">
        <v>889791</v>
      </c>
      <c r="V729" s="3">
        <v>46062.522222222222</v>
      </c>
      <c r="W729" t="s">
        <v>574</v>
      </c>
      <c r="X729" t="s">
        <v>575</v>
      </c>
      <c r="Y729" t="str">
        <f>"0407007024"</f>
        <v>0407007024</v>
      </c>
      <c r="Z729" t="s">
        <v>345</v>
      </c>
      <c r="AA729" s="1">
        <v>46075</v>
      </c>
      <c r="AB729" t="s">
        <v>576</v>
      </c>
      <c r="AD729" t="s">
        <v>41</v>
      </c>
      <c r="AE729" t="s">
        <v>577</v>
      </c>
      <c r="AF729">
        <v>4700</v>
      </c>
      <c r="AG729" t="s">
        <v>572</v>
      </c>
      <c r="AI729" t="s">
        <v>59</v>
      </c>
      <c r="AJ729" t="str">
        <f>"0050076113"</f>
        <v>0050076113</v>
      </c>
      <c r="AN729" s="3">
        <v>46062.522222222222</v>
      </c>
      <c r="AO729" t="s">
        <v>573</v>
      </c>
    </row>
    <row r="730" spans="1:41" x14ac:dyDescent="0.3">
      <c r="A730" t="s">
        <v>75</v>
      </c>
      <c r="B730" t="s">
        <v>2822</v>
      </c>
      <c r="C730" t="s">
        <v>43</v>
      </c>
      <c r="D730" t="s">
        <v>719</v>
      </c>
      <c r="E730" s="1">
        <v>46057</v>
      </c>
      <c r="F730" t="s">
        <v>44</v>
      </c>
      <c r="G730" t="s">
        <v>45</v>
      </c>
      <c r="H730" s="2">
        <v>0.29166666666666669</v>
      </c>
      <c r="I730" s="2">
        <v>0.75</v>
      </c>
      <c r="J730" t="s">
        <v>101</v>
      </c>
      <c r="L730" t="s">
        <v>159</v>
      </c>
      <c r="M730" t="s">
        <v>187</v>
      </c>
      <c r="N730" t="s">
        <v>1105</v>
      </c>
      <c r="O730">
        <v>21727</v>
      </c>
      <c r="Q730" t="s">
        <v>2823</v>
      </c>
      <c r="R730" t="s">
        <v>145</v>
      </c>
      <c r="S730" t="s">
        <v>52</v>
      </c>
      <c r="U730">
        <v>889363</v>
      </c>
      <c r="V730" s="3">
        <v>46037.95416666667</v>
      </c>
      <c r="W730" t="s">
        <v>1107</v>
      </c>
      <c r="X730" t="s">
        <v>1108</v>
      </c>
      <c r="Y730" t="str">
        <f>"0407897784"</f>
        <v>0407897784</v>
      </c>
      <c r="Z730" t="s">
        <v>2824</v>
      </c>
      <c r="AB730" t="s">
        <v>2825</v>
      </c>
      <c r="AD730" t="s">
        <v>75</v>
      </c>
      <c r="AE730" t="s">
        <v>2826</v>
      </c>
      <c r="AF730">
        <v>6005</v>
      </c>
      <c r="AG730" t="s">
        <v>2827</v>
      </c>
      <c r="AI730" t="s">
        <v>59</v>
      </c>
      <c r="AL730" t="s">
        <v>2828</v>
      </c>
      <c r="AN730" s="3">
        <v>46057.849305555559</v>
      </c>
      <c r="AO730" t="s">
        <v>1107</v>
      </c>
    </row>
    <row r="731" spans="1:41" x14ac:dyDescent="0.3">
      <c r="A731" t="s">
        <v>306</v>
      </c>
      <c r="B731" t="s">
        <v>386</v>
      </c>
      <c r="C731" t="s">
        <v>387</v>
      </c>
      <c r="D731" t="s">
        <v>388</v>
      </c>
      <c r="E731" s="1">
        <v>46057</v>
      </c>
      <c r="F731" t="s">
        <v>44</v>
      </c>
      <c r="G731" t="s">
        <v>45</v>
      </c>
      <c r="H731" s="2">
        <v>0.29166666666666669</v>
      </c>
      <c r="I731" s="2">
        <v>0.625</v>
      </c>
      <c r="J731" t="s">
        <v>389</v>
      </c>
      <c r="L731" t="s">
        <v>298</v>
      </c>
      <c r="M731" t="s">
        <v>195</v>
      </c>
      <c r="N731" t="s">
        <v>390</v>
      </c>
      <c r="O731">
        <v>5951661</v>
      </c>
      <c r="P731" t="s">
        <v>249</v>
      </c>
      <c r="Q731" t="s">
        <v>391</v>
      </c>
      <c r="R731" t="s">
        <v>392</v>
      </c>
      <c r="S731" t="s">
        <v>52</v>
      </c>
      <c r="T731" t="s">
        <v>252</v>
      </c>
      <c r="U731">
        <v>889997</v>
      </c>
      <c r="V731" s="3">
        <v>46063.614583333336</v>
      </c>
      <c r="W731" t="s">
        <v>393</v>
      </c>
      <c r="X731" t="s">
        <v>394</v>
      </c>
      <c r="Y731" t="str">
        <f>"0427371732"</f>
        <v>0427371732</v>
      </c>
      <c r="Z731" t="s">
        <v>345</v>
      </c>
      <c r="AA731" s="1">
        <v>46141</v>
      </c>
      <c r="AB731" t="s">
        <v>396</v>
      </c>
      <c r="AD731" t="s">
        <v>397</v>
      </c>
      <c r="AE731" t="s">
        <v>398</v>
      </c>
      <c r="AF731">
        <v>7919</v>
      </c>
      <c r="AG731" t="s">
        <v>399</v>
      </c>
      <c r="AI731" t="s">
        <v>59</v>
      </c>
      <c r="AJ731" t="str">
        <f>"0090000067"</f>
        <v>0090000067</v>
      </c>
      <c r="AN731" s="3">
        <v>46063.614583333336</v>
      </c>
      <c r="AO731" t="s">
        <v>392</v>
      </c>
    </row>
    <row r="732" spans="1:41" x14ac:dyDescent="0.3">
      <c r="A732" t="s">
        <v>61</v>
      </c>
      <c r="B732" t="s">
        <v>126</v>
      </c>
      <c r="C732" t="s">
        <v>43</v>
      </c>
      <c r="D732" t="s">
        <v>127</v>
      </c>
      <c r="E732" s="1">
        <v>46057</v>
      </c>
      <c r="F732" t="s">
        <v>44</v>
      </c>
      <c r="G732" t="s">
        <v>45</v>
      </c>
      <c r="H732" s="2">
        <v>0.29166666666666669</v>
      </c>
      <c r="I732" s="2">
        <v>0.99861111111111112</v>
      </c>
      <c r="J732" t="s">
        <v>185</v>
      </c>
      <c r="L732" t="s">
        <v>186</v>
      </c>
      <c r="M732" t="s">
        <v>1206</v>
      </c>
      <c r="N732" t="s">
        <v>1882</v>
      </c>
      <c r="O732">
        <v>21051</v>
      </c>
      <c r="Q732" t="s">
        <v>131</v>
      </c>
      <c r="R732" t="s">
        <v>132</v>
      </c>
      <c r="S732" t="s">
        <v>52</v>
      </c>
      <c r="U732">
        <v>889332</v>
      </c>
      <c r="V732" s="3">
        <v>46042.64166666667</v>
      </c>
      <c r="W732" t="s">
        <v>1883</v>
      </c>
      <c r="X732" t="s">
        <v>1884</v>
      </c>
      <c r="Y732" t="str">
        <f>"0403904564"</f>
        <v>0403904564</v>
      </c>
      <c r="Z732" t="s">
        <v>70</v>
      </c>
      <c r="AA732" s="1">
        <v>46057</v>
      </c>
      <c r="AB732" t="s">
        <v>136</v>
      </c>
      <c r="AD732" t="s">
        <v>61</v>
      </c>
      <c r="AE732" t="s">
        <v>137</v>
      </c>
      <c r="AF732">
        <v>2032</v>
      </c>
      <c r="AG732" t="s">
        <v>131</v>
      </c>
      <c r="AI732" t="s">
        <v>59</v>
      </c>
      <c r="AL732" t="s">
        <v>2812</v>
      </c>
      <c r="AN732" s="3">
        <v>46057.690972222219</v>
      </c>
      <c r="AO732" t="s">
        <v>1883</v>
      </c>
    </row>
    <row r="733" spans="1:41" x14ac:dyDescent="0.3">
      <c r="A733" t="s">
        <v>168</v>
      </c>
      <c r="B733" t="s">
        <v>376</v>
      </c>
      <c r="C733" t="s">
        <v>1496</v>
      </c>
      <c r="D733" t="s">
        <v>1386</v>
      </c>
      <c r="E733" s="1">
        <v>46057</v>
      </c>
      <c r="F733" t="s">
        <v>44</v>
      </c>
      <c r="G733" t="s">
        <v>45</v>
      </c>
      <c r="H733" s="2">
        <v>0.29166666666666669</v>
      </c>
      <c r="I733" s="2">
        <v>0.625</v>
      </c>
      <c r="J733" t="s">
        <v>170</v>
      </c>
      <c r="L733" t="s">
        <v>47</v>
      </c>
      <c r="M733" t="s">
        <v>2829</v>
      </c>
      <c r="N733" t="s">
        <v>2830</v>
      </c>
      <c r="O733">
        <v>445</v>
      </c>
      <c r="Q733" t="s">
        <v>2831</v>
      </c>
      <c r="R733" t="s">
        <v>2237</v>
      </c>
      <c r="S733" t="s">
        <v>52</v>
      </c>
      <c r="U733">
        <v>889323</v>
      </c>
      <c r="V733" s="3">
        <v>46056.618055555555</v>
      </c>
      <c r="W733" t="s">
        <v>2832</v>
      </c>
      <c r="X733" t="s">
        <v>2833</v>
      </c>
      <c r="Y733" t="str">
        <f>"0409705735"</f>
        <v>0409705735</v>
      </c>
      <c r="Z733" t="s">
        <v>70</v>
      </c>
      <c r="AA733" s="1">
        <v>46057</v>
      </c>
      <c r="AB733" t="s">
        <v>383</v>
      </c>
      <c r="AD733" t="s">
        <v>168</v>
      </c>
      <c r="AE733" t="s">
        <v>384</v>
      </c>
      <c r="AF733">
        <v>5000</v>
      </c>
      <c r="AI733" t="s">
        <v>59</v>
      </c>
      <c r="AL733" t="s">
        <v>2834</v>
      </c>
      <c r="AM733" t="s">
        <v>2835</v>
      </c>
      <c r="AN733" s="3">
        <v>46057.644444444442</v>
      </c>
      <c r="AO733" t="s">
        <v>2832</v>
      </c>
    </row>
    <row r="734" spans="1:41" x14ac:dyDescent="0.3">
      <c r="A734" t="s">
        <v>61</v>
      </c>
      <c r="B734" t="s">
        <v>62</v>
      </c>
      <c r="C734" t="s">
        <v>43</v>
      </c>
      <c r="D734" t="s">
        <v>63</v>
      </c>
      <c r="E734" s="1">
        <v>46057</v>
      </c>
      <c r="F734" t="s">
        <v>44</v>
      </c>
      <c r="G734" t="s">
        <v>45</v>
      </c>
      <c r="H734" s="2">
        <v>0.29166666666666669</v>
      </c>
      <c r="I734" s="2">
        <v>0.99861111111111112</v>
      </c>
      <c r="J734" t="s">
        <v>101</v>
      </c>
      <c r="L734" t="s">
        <v>159</v>
      </c>
      <c r="M734" t="s">
        <v>1746</v>
      </c>
      <c r="N734" t="s">
        <v>1747</v>
      </c>
      <c r="O734">
        <v>20760</v>
      </c>
      <c r="Q734" t="s">
        <v>66</v>
      </c>
      <c r="R734" t="s">
        <v>67</v>
      </c>
      <c r="S734" t="s">
        <v>52</v>
      </c>
      <c r="U734">
        <v>889324</v>
      </c>
      <c r="V734" s="3">
        <v>46049.379166666666</v>
      </c>
      <c r="W734" t="s">
        <v>1748</v>
      </c>
      <c r="X734" t="s">
        <v>1749</v>
      </c>
      <c r="Y734" t="str">
        <f>"0433858379"</f>
        <v>0433858379</v>
      </c>
      <c r="Z734" t="s">
        <v>324</v>
      </c>
      <c r="AB734" t="s">
        <v>71</v>
      </c>
      <c r="AD734" t="s">
        <v>61</v>
      </c>
      <c r="AE734" t="s">
        <v>72</v>
      </c>
      <c r="AF734">
        <v>2747</v>
      </c>
      <c r="AG734" t="s">
        <v>73</v>
      </c>
      <c r="AI734" t="s">
        <v>59</v>
      </c>
      <c r="AL734" t="s">
        <v>2812</v>
      </c>
      <c r="AN734" s="3">
        <v>46057.65</v>
      </c>
      <c r="AO734" t="s">
        <v>1748</v>
      </c>
    </row>
    <row r="735" spans="1:41" x14ac:dyDescent="0.3">
      <c r="A735" t="s">
        <v>168</v>
      </c>
      <c r="B735" t="s">
        <v>1178</v>
      </c>
      <c r="C735" t="s">
        <v>43</v>
      </c>
      <c r="D735" t="s">
        <v>127</v>
      </c>
      <c r="E735" s="1">
        <v>46057</v>
      </c>
      <c r="F735" t="s">
        <v>44</v>
      </c>
      <c r="G735" t="s">
        <v>45</v>
      </c>
      <c r="H735" s="2">
        <v>0.29166666666666669</v>
      </c>
      <c r="I735" s="2">
        <v>0.54166666666666663</v>
      </c>
      <c r="J735" t="s">
        <v>185</v>
      </c>
      <c r="K735" t="s">
        <v>1290</v>
      </c>
      <c r="L735" t="s">
        <v>186</v>
      </c>
      <c r="M735" t="s">
        <v>369</v>
      </c>
      <c r="N735" t="s">
        <v>412</v>
      </c>
      <c r="O735">
        <v>21476</v>
      </c>
      <c r="Q735" t="s">
        <v>2044</v>
      </c>
      <c r="R735" t="s">
        <v>176</v>
      </c>
      <c r="S735" t="s">
        <v>52</v>
      </c>
      <c r="U735">
        <v>889319</v>
      </c>
      <c r="V735" s="3">
        <v>46050.643750000003</v>
      </c>
      <c r="W735" t="s">
        <v>2836</v>
      </c>
      <c r="X735" t="s">
        <v>2837</v>
      </c>
      <c r="Y735" t="str">
        <f>"0423201645"</f>
        <v>0423201645</v>
      </c>
      <c r="Z735" t="s">
        <v>70</v>
      </c>
      <c r="AA735" s="1">
        <v>46057</v>
      </c>
      <c r="AB735" t="s">
        <v>1184</v>
      </c>
      <c r="AD735" t="s">
        <v>168</v>
      </c>
      <c r="AE735" t="s">
        <v>1185</v>
      </c>
      <c r="AF735">
        <v>5066</v>
      </c>
      <c r="AG735" t="s">
        <v>2838</v>
      </c>
      <c r="AI735" t="s">
        <v>59</v>
      </c>
      <c r="AL735" t="s">
        <v>2839</v>
      </c>
      <c r="AN735" s="3">
        <v>46057.600694444445</v>
      </c>
      <c r="AO735" t="s">
        <v>2836</v>
      </c>
    </row>
    <row r="736" spans="1:41" x14ac:dyDescent="0.3">
      <c r="A736" t="s">
        <v>306</v>
      </c>
      <c r="B736" t="s">
        <v>1751</v>
      </c>
      <c r="C736" t="s">
        <v>2840</v>
      </c>
      <c r="D736" t="s">
        <v>184</v>
      </c>
      <c r="E736" s="1">
        <v>46057</v>
      </c>
      <c r="F736" t="s">
        <v>44</v>
      </c>
      <c r="G736" t="s">
        <v>45</v>
      </c>
      <c r="H736" s="2">
        <v>0.29166666666666669</v>
      </c>
      <c r="I736" s="2">
        <v>0.625</v>
      </c>
      <c r="J736" t="s">
        <v>296</v>
      </c>
      <c r="L736" t="s">
        <v>1753</v>
      </c>
      <c r="M736" t="s">
        <v>1754</v>
      </c>
      <c r="N736" t="s">
        <v>1755</v>
      </c>
      <c r="O736">
        <v>20486</v>
      </c>
      <c r="Q736" t="s">
        <v>705</v>
      </c>
      <c r="R736" t="s">
        <v>500</v>
      </c>
      <c r="S736" t="s">
        <v>119</v>
      </c>
      <c r="T736" t="s">
        <v>1932</v>
      </c>
      <c r="U736">
        <v>889960</v>
      </c>
      <c r="V736" s="3">
        <v>46056.969444444447</v>
      </c>
      <c r="W736" t="s">
        <v>1757</v>
      </c>
      <c r="X736" t="s">
        <v>1758</v>
      </c>
      <c r="Y736" t="str">
        <f>"0432381966"</f>
        <v>0432381966</v>
      </c>
      <c r="Z736" t="s">
        <v>70</v>
      </c>
      <c r="AA736" s="1">
        <v>46057</v>
      </c>
      <c r="AB736" t="s">
        <v>1759</v>
      </c>
      <c r="AD736" t="s">
        <v>306</v>
      </c>
      <c r="AE736" t="s">
        <v>1760</v>
      </c>
      <c r="AF736">
        <v>3199</v>
      </c>
      <c r="AI736" t="s">
        <v>59</v>
      </c>
      <c r="AL736" t="s">
        <v>2841</v>
      </c>
      <c r="AM736" t="s">
        <v>2842</v>
      </c>
      <c r="AN736" s="3">
        <v>46057.20208333333</v>
      </c>
      <c r="AO736" t="s">
        <v>314</v>
      </c>
    </row>
    <row r="737" spans="1:41" x14ac:dyDescent="0.3">
      <c r="A737" t="s">
        <v>306</v>
      </c>
      <c r="B737" t="s">
        <v>1751</v>
      </c>
      <c r="C737" t="s">
        <v>2840</v>
      </c>
      <c r="D737" t="s">
        <v>184</v>
      </c>
      <c r="E737" s="1">
        <v>46057</v>
      </c>
      <c r="F737" t="s">
        <v>44</v>
      </c>
      <c r="G737" t="s">
        <v>45</v>
      </c>
      <c r="H737" s="2">
        <v>0.29166666666666669</v>
      </c>
      <c r="I737" s="2">
        <v>0.625</v>
      </c>
      <c r="J737" t="s">
        <v>296</v>
      </c>
      <c r="L737" t="s">
        <v>1753</v>
      </c>
      <c r="M737" t="s">
        <v>1754</v>
      </c>
      <c r="N737" t="s">
        <v>1755</v>
      </c>
      <c r="O737">
        <v>20486</v>
      </c>
      <c r="Q737" t="s">
        <v>413</v>
      </c>
      <c r="R737" t="s">
        <v>759</v>
      </c>
      <c r="S737" t="s">
        <v>119</v>
      </c>
      <c r="T737" t="s">
        <v>760</v>
      </c>
      <c r="U737" t="s">
        <v>2843</v>
      </c>
      <c r="V737" s="3">
        <v>46084.525694444441</v>
      </c>
      <c r="W737" t="s">
        <v>1757</v>
      </c>
      <c r="X737" t="s">
        <v>1758</v>
      </c>
      <c r="Y737" t="str">
        <f>"0432381966"</f>
        <v>0432381966</v>
      </c>
      <c r="Z737" t="s">
        <v>70</v>
      </c>
      <c r="AB737" t="s">
        <v>1759</v>
      </c>
      <c r="AD737" t="s">
        <v>306</v>
      </c>
      <c r="AE737" t="s">
        <v>1760</v>
      </c>
      <c r="AF737">
        <v>3199</v>
      </c>
      <c r="AG737" t="s">
        <v>413</v>
      </c>
      <c r="AI737" t="s">
        <v>59</v>
      </c>
      <c r="AM737" t="s">
        <v>2844</v>
      </c>
      <c r="AN737" s="3">
        <v>46084.525694444441</v>
      </c>
      <c r="AO737" t="s">
        <v>759</v>
      </c>
    </row>
    <row r="738" spans="1:41" x14ac:dyDescent="0.3">
      <c r="A738" t="s">
        <v>306</v>
      </c>
      <c r="B738" t="s">
        <v>1751</v>
      </c>
      <c r="C738" t="s">
        <v>2840</v>
      </c>
      <c r="D738" t="s">
        <v>184</v>
      </c>
      <c r="E738" s="1">
        <v>46057</v>
      </c>
      <c r="F738" t="s">
        <v>44</v>
      </c>
      <c r="G738" t="s">
        <v>45</v>
      </c>
      <c r="H738" s="2">
        <v>0.29166666666666669</v>
      </c>
      <c r="I738" s="2">
        <v>0.625</v>
      </c>
      <c r="J738" t="s">
        <v>496</v>
      </c>
      <c r="L738" t="s">
        <v>1753</v>
      </c>
      <c r="M738" t="s">
        <v>1754</v>
      </c>
      <c r="N738" t="s">
        <v>1755</v>
      </c>
      <c r="O738">
        <v>20486</v>
      </c>
      <c r="Q738" t="s">
        <v>413</v>
      </c>
      <c r="R738" t="s">
        <v>759</v>
      </c>
      <c r="S738" t="s">
        <v>119</v>
      </c>
      <c r="T738" t="s">
        <v>760</v>
      </c>
      <c r="U738" t="s">
        <v>2845</v>
      </c>
      <c r="V738" s="3">
        <v>46084.526388888888</v>
      </c>
      <c r="W738" t="s">
        <v>1757</v>
      </c>
      <c r="X738" t="s">
        <v>1758</v>
      </c>
      <c r="Y738" t="str">
        <f>"0432381966"</f>
        <v>0432381966</v>
      </c>
      <c r="Z738" t="s">
        <v>70</v>
      </c>
      <c r="AB738" t="s">
        <v>1759</v>
      </c>
      <c r="AD738" t="s">
        <v>306</v>
      </c>
      <c r="AE738" t="s">
        <v>1760</v>
      </c>
      <c r="AF738">
        <v>3199</v>
      </c>
      <c r="AG738" t="s">
        <v>413</v>
      </c>
      <c r="AI738" t="s">
        <v>59</v>
      </c>
      <c r="AM738" t="s">
        <v>2844</v>
      </c>
      <c r="AN738" s="3">
        <v>46084.526388888888</v>
      </c>
      <c r="AO738" t="s">
        <v>759</v>
      </c>
    </row>
    <row r="739" spans="1:41" x14ac:dyDescent="0.3">
      <c r="A739" t="s">
        <v>168</v>
      </c>
      <c r="B739" t="s">
        <v>2846</v>
      </c>
      <c r="C739" t="s">
        <v>43</v>
      </c>
      <c r="D739" t="s">
        <v>719</v>
      </c>
      <c r="E739" s="1">
        <v>46057</v>
      </c>
      <c r="F739" t="s">
        <v>44</v>
      </c>
      <c r="G739" t="s">
        <v>45</v>
      </c>
      <c r="H739" s="2">
        <v>0.29166666666666669</v>
      </c>
      <c r="I739" s="2">
        <v>0.54166666666666663</v>
      </c>
      <c r="J739" t="s">
        <v>1011</v>
      </c>
      <c r="K739" t="s">
        <v>2847</v>
      </c>
      <c r="L739" t="s">
        <v>186</v>
      </c>
      <c r="M739" t="s">
        <v>729</v>
      </c>
      <c r="N739" t="s">
        <v>1939</v>
      </c>
      <c r="O739">
        <v>5950817</v>
      </c>
      <c r="Q739" t="s">
        <v>2848</v>
      </c>
      <c r="R739" t="s">
        <v>500</v>
      </c>
      <c r="S739" t="s">
        <v>52</v>
      </c>
      <c r="U739">
        <v>889305</v>
      </c>
      <c r="V739" s="3">
        <v>46028.79583333333</v>
      </c>
      <c r="W739" t="s">
        <v>2849</v>
      </c>
      <c r="X739" t="s">
        <v>2850</v>
      </c>
      <c r="Y739" t="str">
        <f>"0426051216"</f>
        <v>0426051216</v>
      </c>
      <c r="Z739" t="s">
        <v>84</v>
      </c>
      <c r="AB739" t="s">
        <v>2851</v>
      </c>
      <c r="AD739" t="s">
        <v>168</v>
      </c>
      <c r="AE739" t="s">
        <v>384</v>
      </c>
      <c r="AF739">
        <v>5000</v>
      </c>
      <c r="AG739" t="s">
        <v>2852</v>
      </c>
      <c r="AI739" t="s">
        <v>59</v>
      </c>
      <c r="AL739" t="s">
        <v>2853</v>
      </c>
      <c r="AN739" s="3">
        <v>46057.495138888888</v>
      </c>
      <c r="AO739" t="s">
        <v>2849</v>
      </c>
    </row>
    <row r="740" spans="1:41" x14ac:dyDescent="0.3">
      <c r="A740" t="s">
        <v>306</v>
      </c>
      <c r="B740" t="s">
        <v>528</v>
      </c>
      <c r="C740" t="s">
        <v>529</v>
      </c>
      <c r="D740" t="s">
        <v>63</v>
      </c>
      <c r="E740" s="1">
        <v>46066</v>
      </c>
      <c r="F740" t="s">
        <v>2113</v>
      </c>
      <c r="G740" t="s">
        <v>485</v>
      </c>
      <c r="H740" s="2">
        <v>0.89583333333333337</v>
      </c>
      <c r="I740" s="2">
        <v>0.3125</v>
      </c>
      <c r="J740" t="s">
        <v>529</v>
      </c>
      <c r="K740" t="s">
        <v>530</v>
      </c>
      <c r="L740" t="s">
        <v>531</v>
      </c>
      <c r="M740" t="s">
        <v>532</v>
      </c>
      <c r="N740" t="s">
        <v>533</v>
      </c>
      <c r="O740">
        <v>20495</v>
      </c>
      <c r="Q740" t="s">
        <v>534</v>
      </c>
      <c r="R740" t="s">
        <v>476</v>
      </c>
      <c r="S740" t="s">
        <v>52</v>
      </c>
      <c r="U740">
        <v>890406</v>
      </c>
      <c r="V740" s="3">
        <v>46059.382638888892</v>
      </c>
      <c r="W740" t="s">
        <v>535</v>
      </c>
      <c r="X740" t="s">
        <v>536</v>
      </c>
      <c r="Y740" t="str">
        <f>"0447625522"</f>
        <v>0447625522</v>
      </c>
      <c r="Z740" t="s">
        <v>70</v>
      </c>
      <c r="AA740" s="1">
        <v>46066</v>
      </c>
      <c r="AB740" t="s">
        <v>537</v>
      </c>
      <c r="AD740" t="s">
        <v>306</v>
      </c>
      <c r="AE740" t="s">
        <v>538</v>
      </c>
      <c r="AF740">
        <v>3152</v>
      </c>
      <c r="AG740" t="s">
        <v>539</v>
      </c>
      <c r="AI740" t="s">
        <v>59</v>
      </c>
      <c r="AL740" t="s">
        <v>87</v>
      </c>
      <c r="AN740" s="3">
        <v>46067.274305555555</v>
      </c>
      <c r="AO740" t="s">
        <v>535</v>
      </c>
    </row>
    <row r="741" spans="1:41" x14ac:dyDescent="0.3">
      <c r="A741" t="s">
        <v>306</v>
      </c>
      <c r="B741" t="s">
        <v>1353</v>
      </c>
      <c r="C741" t="s">
        <v>1354</v>
      </c>
      <c r="D741" t="s">
        <v>184</v>
      </c>
      <c r="E741" s="1">
        <v>46066</v>
      </c>
      <c r="F741" t="s">
        <v>2113</v>
      </c>
      <c r="G741" t="s">
        <v>485</v>
      </c>
      <c r="H741" s="2">
        <v>0.91666666666666663</v>
      </c>
      <c r="I741" s="2">
        <v>0.3125</v>
      </c>
      <c r="J741" t="s">
        <v>1354</v>
      </c>
      <c r="K741" t="s">
        <v>624</v>
      </c>
      <c r="L741" t="s">
        <v>531</v>
      </c>
      <c r="M741" t="s">
        <v>1239</v>
      </c>
      <c r="N741" t="s">
        <v>1240</v>
      </c>
      <c r="O741">
        <v>5952284</v>
      </c>
      <c r="Q741" t="s">
        <v>705</v>
      </c>
      <c r="R741" t="s">
        <v>500</v>
      </c>
      <c r="S741" t="s">
        <v>52</v>
      </c>
      <c r="U741">
        <v>890410</v>
      </c>
      <c r="V741" s="3">
        <v>46060.718055555553</v>
      </c>
      <c r="W741" t="s">
        <v>1241</v>
      </c>
      <c r="X741" t="s">
        <v>1242</v>
      </c>
      <c r="Y741" t="str">
        <f>"0402086188"</f>
        <v>0402086188</v>
      </c>
      <c r="Z741" t="s">
        <v>70</v>
      </c>
      <c r="AA741" s="1">
        <v>46066</v>
      </c>
      <c r="AB741" t="s">
        <v>1357</v>
      </c>
      <c r="AD741" t="s">
        <v>306</v>
      </c>
      <c r="AE741" t="s">
        <v>1358</v>
      </c>
      <c r="AF741">
        <v>3181</v>
      </c>
      <c r="AI741" t="s">
        <v>59</v>
      </c>
      <c r="AL741" t="s">
        <v>2854</v>
      </c>
      <c r="AM741" t="s">
        <v>2855</v>
      </c>
      <c r="AN741" s="3">
        <v>46067.309027777781</v>
      </c>
      <c r="AO741" t="s">
        <v>1241</v>
      </c>
    </row>
    <row r="742" spans="1:41" x14ac:dyDescent="0.3">
      <c r="A742" t="s">
        <v>168</v>
      </c>
      <c r="B742" t="s">
        <v>1963</v>
      </c>
      <c r="C742" t="s">
        <v>484</v>
      </c>
      <c r="D742" t="s">
        <v>401</v>
      </c>
      <c r="E742" s="1">
        <v>46066</v>
      </c>
      <c r="F742" t="s">
        <v>2113</v>
      </c>
      <c r="G742" t="s">
        <v>485</v>
      </c>
      <c r="H742" s="2">
        <v>0.92708333333333337</v>
      </c>
      <c r="I742" s="2">
        <v>0.30208333333333331</v>
      </c>
      <c r="J742" t="s">
        <v>486</v>
      </c>
      <c r="K742" t="s">
        <v>2083</v>
      </c>
      <c r="L742" t="s">
        <v>487</v>
      </c>
      <c r="M742" t="s">
        <v>2084</v>
      </c>
      <c r="N742" t="s">
        <v>2085</v>
      </c>
      <c r="O742">
        <v>5951992</v>
      </c>
      <c r="Q742" t="s">
        <v>2086</v>
      </c>
      <c r="R742" t="s">
        <v>231</v>
      </c>
      <c r="S742" t="s">
        <v>52</v>
      </c>
      <c r="U742">
        <v>890405</v>
      </c>
      <c r="V742" s="3">
        <v>46065.459027777775</v>
      </c>
      <c r="W742" t="s">
        <v>2087</v>
      </c>
      <c r="X742" t="s">
        <v>2088</v>
      </c>
      <c r="Y742" t="str">
        <f>"0433995501"</f>
        <v>0433995501</v>
      </c>
      <c r="Z742" t="s">
        <v>70</v>
      </c>
      <c r="AA742" s="1">
        <v>46066</v>
      </c>
      <c r="AB742" t="s">
        <v>1967</v>
      </c>
      <c r="AD742" t="s">
        <v>168</v>
      </c>
      <c r="AE742" t="s">
        <v>1968</v>
      </c>
      <c r="AF742">
        <v>5000</v>
      </c>
      <c r="AG742" t="s">
        <v>2086</v>
      </c>
      <c r="AI742" t="s">
        <v>59</v>
      </c>
      <c r="AL742" t="s">
        <v>2856</v>
      </c>
      <c r="AN742" s="3">
        <v>46067.26458333333</v>
      </c>
      <c r="AO742" t="s">
        <v>2087</v>
      </c>
    </row>
    <row r="743" spans="1:41" x14ac:dyDescent="0.3">
      <c r="A743" t="s">
        <v>61</v>
      </c>
      <c r="B743" t="s">
        <v>2857</v>
      </c>
      <c r="C743" t="s">
        <v>745</v>
      </c>
      <c r="D743" t="s">
        <v>184</v>
      </c>
      <c r="E743" s="1">
        <v>46066</v>
      </c>
      <c r="F743" t="s">
        <v>2113</v>
      </c>
      <c r="G743" t="s">
        <v>485</v>
      </c>
      <c r="H743" s="2">
        <v>0.94791666666666663</v>
      </c>
      <c r="I743" s="2">
        <v>0.3125</v>
      </c>
      <c r="J743" t="s">
        <v>464</v>
      </c>
      <c r="L743" t="s">
        <v>464</v>
      </c>
      <c r="M743" t="s">
        <v>2431</v>
      </c>
      <c r="N743" t="s">
        <v>2432</v>
      </c>
      <c r="O743">
        <v>21966</v>
      </c>
      <c r="Q743" t="s">
        <v>624</v>
      </c>
      <c r="R743" t="s">
        <v>314</v>
      </c>
      <c r="S743" t="s">
        <v>52</v>
      </c>
      <c r="U743">
        <v>890407</v>
      </c>
      <c r="V743" s="3">
        <v>46066.220138888886</v>
      </c>
      <c r="W743" t="s">
        <v>2433</v>
      </c>
      <c r="X743" t="s">
        <v>2434</v>
      </c>
      <c r="Y743" t="str">
        <f>"0498795565"</f>
        <v>0498795565</v>
      </c>
      <c r="Z743" t="s">
        <v>234</v>
      </c>
      <c r="AB743" t="s">
        <v>2858</v>
      </c>
      <c r="AD743" t="s">
        <v>61</v>
      </c>
      <c r="AE743" t="s">
        <v>2859</v>
      </c>
      <c r="AF743">
        <v>2500</v>
      </c>
      <c r="AG743" t="s">
        <v>2860</v>
      </c>
      <c r="AI743" t="s">
        <v>59</v>
      </c>
      <c r="AL743" t="s">
        <v>2152</v>
      </c>
      <c r="AN743" s="3">
        <v>46067.282638888886</v>
      </c>
      <c r="AO743" t="s">
        <v>2433</v>
      </c>
    </row>
    <row r="744" spans="1:41" x14ac:dyDescent="0.3">
      <c r="A744" t="s">
        <v>61</v>
      </c>
      <c r="B744" t="s">
        <v>753</v>
      </c>
      <c r="C744" t="s">
        <v>484</v>
      </c>
      <c r="D744" t="s">
        <v>754</v>
      </c>
      <c r="E744" s="1">
        <v>46066</v>
      </c>
      <c r="F744" t="s">
        <v>2113</v>
      </c>
      <c r="G744" t="s">
        <v>485</v>
      </c>
      <c r="H744" s="2">
        <v>0.94791666666666663</v>
      </c>
      <c r="I744" s="2">
        <v>0.30208333333333331</v>
      </c>
      <c r="J744" t="s">
        <v>486</v>
      </c>
      <c r="L744" t="s">
        <v>487</v>
      </c>
      <c r="M744" t="s">
        <v>2861</v>
      </c>
      <c r="N744" t="s">
        <v>2862</v>
      </c>
      <c r="O744">
        <v>5951099</v>
      </c>
      <c r="Q744" t="s">
        <v>758</v>
      </c>
      <c r="R744" t="s">
        <v>132</v>
      </c>
      <c r="S744" t="s">
        <v>52</v>
      </c>
      <c r="U744">
        <v>890413</v>
      </c>
      <c r="V744" s="3">
        <v>46066.612500000003</v>
      </c>
      <c r="W744" t="s">
        <v>2863</v>
      </c>
      <c r="X744" t="s">
        <v>2864</v>
      </c>
      <c r="Y744" t="str">
        <f>"0422890025"</f>
        <v>0422890025</v>
      </c>
      <c r="Z744" t="s">
        <v>70</v>
      </c>
      <c r="AA744" s="1">
        <v>46066</v>
      </c>
      <c r="AB744" t="s">
        <v>764</v>
      </c>
      <c r="AD744" t="s">
        <v>61</v>
      </c>
      <c r="AE744" t="s">
        <v>765</v>
      </c>
      <c r="AF744">
        <v>2220</v>
      </c>
      <c r="AG744" t="s">
        <v>758</v>
      </c>
      <c r="AI744" t="s">
        <v>59</v>
      </c>
      <c r="AL744" t="s">
        <v>87</v>
      </c>
      <c r="AN744" s="3">
        <v>46067.373611111114</v>
      </c>
      <c r="AO744" t="s">
        <v>2863</v>
      </c>
    </row>
    <row r="745" spans="1:41" x14ac:dyDescent="0.3">
      <c r="A745" t="s">
        <v>61</v>
      </c>
      <c r="B745" t="s">
        <v>1271</v>
      </c>
      <c r="C745" t="s">
        <v>1272</v>
      </c>
      <c r="D745" t="s">
        <v>184</v>
      </c>
      <c r="E745" s="1">
        <v>46066</v>
      </c>
      <c r="F745" t="s">
        <v>2113</v>
      </c>
      <c r="G745" t="s">
        <v>485</v>
      </c>
      <c r="H745" s="2">
        <v>0.95833333333333337</v>
      </c>
      <c r="I745" s="2">
        <v>0.3125</v>
      </c>
      <c r="J745" t="s">
        <v>590</v>
      </c>
      <c r="L745" t="s">
        <v>487</v>
      </c>
      <c r="M745" t="s">
        <v>2461</v>
      </c>
      <c r="N745" t="s">
        <v>2462</v>
      </c>
      <c r="O745">
        <v>22373</v>
      </c>
      <c r="Q745" t="s">
        <v>2463</v>
      </c>
      <c r="R745" t="s">
        <v>132</v>
      </c>
      <c r="S745" t="s">
        <v>52</v>
      </c>
      <c r="U745">
        <v>890421</v>
      </c>
      <c r="V745" s="3">
        <v>46051.370138888888</v>
      </c>
      <c r="W745" t="s">
        <v>2464</v>
      </c>
      <c r="X745" t="s">
        <v>2465</v>
      </c>
      <c r="Y745" t="str">
        <f>"0410812981"</f>
        <v>0410812981</v>
      </c>
      <c r="Z745" t="s">
        <v>1155</v>
      </c>
      <c r="AB745" t="s">
        <v>1278</v>
      </c>
      <c r="AD745" t="s">
        <v>61</v>
      </c>
      <c r="AE745" t="s">
        <v>1279</v>
      </c>
      <c r="AF745">
        <v>2145</v>
      </c>
      <c r="AG745" t="s">
        <v>2463</v>
      </c>
      <c r="AI745" t="s">
        <v>59</v>
      </c>
      <c r="AL745" t="s">
        <v>2127</v>
      </c>
      <c r="AN745" s="3">
        <v>46067.705555555556</v>
      </c>
      <c r="AO745" t="s">
        <v>2464</v>
      </c>
    </row>
    <row r="746" spans="1:41" x14ac:dyDescent="0.3">
      <c r="A746" t="s">
        <v>41</v>
      </c>
      <c r="B746" t="s">
        <v>568</v>
      </c>
      <c r="D746" t="s">
        <v>246</v>
      </c>
      <c r="E746" s="1">
        <v>46036</v>
      </c>
      <c r="F746" t="s">
        <v>44</v>
      </c>
      <c r="G746" t="s">
        <v>45</v>
      </c>
      <c r="H746" s="2">
        <v>0.29166666666666669</v>
      </c>
      <c r="I746" s="2">
        <v>0.64583333333333337</v>
      </c>
      <c r="J746" t="s">
        <v>269</v>
      </c>
      <c r="L746" t="s">
        <v>172</v>
      </c>
      <c r="M746" t="s">
        <v>311</v>
      </c>
      <c r="N746" t="s">
        <v>570</v>
      </c>
      <c r="O746">
        <v>5951685</v>
      </c>
      <c r="P746" t="s">
        <v>571</v>
      </c>
      <c r="Q746" t="s">
        <v>572</v>
      </c>
      <c r="R746" t="s">
        <v>573</v>
      </c>
      <c r="S746" t="s">
        <v>52</v>
      </c>
      <c r="T746" t="s">
        <v>252</v>
      </c>
      <c r="U746">
        <v>887543</v>
      </c>
      <c r="V746" s="3">
        <v>46041.582638888889</v>
      </c>
      <c r="W746" t="s">
        <v>574</v>
      </c>
      <c r="X746" t="s">
        <v>575</v>
      </c>
      <c r="Y746" t="str">
        <f>"0407007024"</f>
        <v>0407007024</v>
      </c>
      <c r="Z746" t="s">
        <v>1862</v>
      </c>
      <c r="AA746" s="1">
        <v>46075</v>
      </c>
      <c r="AB746" t="s">
        <v>576</v>
      </c>
      <c r="AD746" t="s">
        <v>41</v>
      </c>
      <c r="AE746" t="s">
        <v>577</v>
      </c>
      <c r="AF746">
        <v>4700</v>
      </c>
      <c r="AG746" t="s">
        <v>572</v>
      </c>
      <c r="AI746" t="s">
        <v>59</v>
      </c>
      <c r="AJ746" t="str">
        <f>"0050076113"</f>
        <v>0050076113</v>
      </c>
      <c r="AN746" s="3">
        <v>46041.582638888889</v>
      </c>
      <c r="AO746" t="s">
        <v>573</v>
      </c>
    </row>
    <row r="747" spans="1:41" x14ac:dyDescent="0.3">
      <c r="A747" t="s">
        <v>168</v>
      </c>
      <c r="B747" t="s">
        <v>689</v>
      </c>
      <c r="C747" t="s">
        <v>43</v>
      </c>
      <c r="D747" t="s">
        <v>268</v>
      </c>
      <c r="E747" s="1">
        <v>46036</v>
      </c>
      <c r="F747" t="s">
        <v>44</v>
      </c>
      <c r="G747" t="s">
        <v>45</v>
      </c>
      <c r="H747" s="2">
        <v>0.35416666666666669</v>
      </c>
      <c r="I747" s="2">
        <v>0.70833333333333337</v>
      </c>
      <c r="J747" t="s">
        <v>100</v>
      </c>
      <c r="L747" t="s">
        <v>100</v>
      </c>
      <c r="M747" t="s">
        <v>402</v>
      </c>
      <c r="N747" t="s">
        <v>403</v>
      </c>
      <c r="O747">
        <v>21398</v>
      </c>
      <c r="P747" t="s">
        <v>249</v>
      </c>
      <c r="Q747" t="s">
        <v>2110</v>
      </c>
      <c r="R747" t="s">
        <v>405</v>
      </c>
      <c r="S747" t="s">
        <v>52</v>
      </c>
      <c r="T747" t="s">
        <v>252</v>
      </c>
      <c r="U747">
        <v>887487</v>
      </c>
      <c r="V747" s="3">
        <v>46041.392361111109</v>
      </c>
      <c r="W747" t="s">
        <v>405</v>
      </c>
      <c r="X747" t="s">
        <v>406</v>
      </c>
      <c r="Y747" t="str">
        <f>"0423877972"</f>
        <v>0423877972</v>
      </c>
      <c r="Z747" t="s">
        <v>395</v>
      </c>
      <c r="AA747" s="1">
        <v>46075</v>
      </c>
      <c r="AB747" t="s">
        <v>695</v>
      </c>
      <c r="AD747" t="s">
        <v>168</v>
      </c>
      <c r="AE747" t="s">
        <v>696</v>
      </c>
      <c r="AF747">
        <v>5606</v>
      </c>
      <c r="AG747" t="s">
        <v>2111</v>
      </c>
      <c r="AI747" t="s">
        <v>59</v>
      </c>
      <c r="AJ747" t="str">
        <f>"0020185674"</f>
        <v>0020185674</v>
      </c>
      <c r="AN747" s="3">
        <v>46041.392361111109</v>
      </c>
      <c r="AO747" t="s">
        <v>405</v>
      </c>
    </row>
    <row r="748" spans="1:41" x14ac:dyDescent="0.3">
      <c r="A748" t="s">
        <v>61</v>
      </c>
      <c r="B748" t="s">
        <v>578</v>
      </c>
      <c r="D748" t="s">
        <v>579</v>
      </c>
      <c r="E748" s="1">
        <v>46036</v>
      </c>
      <c r="F748" t="s">
        <v>44</v>
      </c>
      <c r="G748" t="s">
        <v>485</v>
      </c>
      <c r="H748" s="2">
        <v>0.875</v>
      </c>
      <c r="I748" s="2">
        <v>0.3125</v>
      </c>
      <c r="J748" t="s">
        <v>269</v>
      </c>
      <c r="L748" t="s">
        <v>172</v>
      </c>
      <c r="M748" t="s">
        <v>580</v>
      </c>
      <c r="N748" t="s">
        <v>581</v>
      </c>
      <c r="O748">
        <v>5951721</v>
      </c>
      <c r="P748" t="s">
        <v>571</v>
      </c>
      <c r="Q748" t="s">
        <v>582</v>
      </c>
      <c r="R748" t="s">
        <v>573</v>
      </c>
      <c r="S748" t="s">
        <v>52</v>
      </c>
      <c r="T748" t="s">
        <v>252</v>
      </c>
      <c r="U748">
        <v>887534</v>
      </c>
      <c r="V748" s="3">
        <v>46041.567361111112</v>
      </c>
      <c r="W748" t="s">
        <v>583</v>
      </c>
      <c r="X748" t="s">
        <v>584</v>
      </c>
      <c r="Y748" t="str">
        <f>"0456677559"</f>
        <v>0456677559</v>
      </c>
      <c r="Z748" t="s">
        <v>345</v>
      </c>
      <c r="AA748" s="1">
        <v>46061</v>
      </c>
      <c r="AB748" t="s">
        <v>586</v>
      </c>
      <c r="AD748" t="s">
        <v>61</v>
      </c>
      <c r="AE748" t="s">
        <v>587</v>
      </c>
      <c r="AF748">
        <v>2320</v>
      </c>
      <c r="AG748" t="s">
        <v>588</v>
      </c>
      <c r="AI748" t="s">
        <v>59</v>
      </c>
      <c r="AJ748" t="str">
        <f>"0010193654"</f>
        <v>0010193654</v>
      </c>
      <c r="AN748" s="3">
        <v>46041.567361111112</v>
      </c>
      <c r="AO748" t="s">
        <v>573</v>
      </c>
    </row>
    <row r="749" spans="1:41" x14ac:dyDescent="0.3">
      <c r="A749" t="s">
        <v>168</v>
      </c>
      <c r="B749" t="s">
        <v>607</v>
      </c>
      <c r="C749" t="s">
        <v>267</v>
      </c>
      <c r="D749" t="s">
        <v>268</v>
      </c>
      <c r="E749" s="1">
        <v>46036</v>
      </c>
      <c r="F749" t="s">
        <v>44</v>
      </c>
      <c r="G749" t="s">
        <v>45</v>
      </c>
      <c r="H749" s="2">
        <v>0.91666666666666663</v>
      </c>
      <c r="I749" s="2">
        <v>0.35416666666666669</v>
      </c>
      <c r="J749" t="s">
        <v>269</v>
      </c>
      <c r="K749" t="s">
        <v>608</v>
      </c>
      <c r="L749" t="s">
        <v>609</v>
      </c>
      <c r="M749" t="s">
        <v>610</v>
      </c>
      <c r="N749" t="s">
        <v>611</v>
      </c>
      <c r="O749">
        <v>5952121</v>
      </c>
      <c r="P749" t="s">
        <v>249</v>
      </c>
      <c r="Q749" t="s">
        <v>612</v>
      </c>
      <c r="R749" t="s">
        <v>613</v>
      </c>
      <c r="S749" t="s">
        <v>52</v>
      </c>
      <c r="T749" t="s">
        <v>252</v>
      </c>
      <c r="U749">
        <v>887483</v>
      </c>
      <c r="V749" s="3">
        <v>46041.373611111114</v>
      </c>
      <c r="W749" t="s">
        <v>613</v>
      </c>
      <c r="X749" t="s">
        <v>614</v>
      </c>
      <c r="Y749" t="str">
        <f>"0412297150"</f>
        <v>0412297150</v>
      </c>
      <c r="Z749" t="s">
        <v>366</v>
      </c>
      <c r="AA749" s="1">
        <v>46077</v>
      </c>
      <c r="AB749" t="s">
        <v>615</v>
      </c>
      <c r="AC749" t="s">
        <v>616</v>
      </c>
      <c r="AD749" t="s">
        <v>168</v>
      </c>
      <c r="AE749" t="s">
        <v>617</v>
      </c>
      <c r="AF749">
        <v>5290</v>
      </c>
      <c r="AG749" t="s">
        <v>618</v>
      </c>
      <c r="AI749" t="s">
        <v>59</v>
      </c>
      <c r="AJ749" t="str">
        <f>"0020171780"</f>
        <v>0020171780</v>
      </c>
      <c r="AM749" t="s">
        <v>619</v>
      </c>
      <c r="AN749" s="3">
        <v>46041.373611111114</v>
      </c>
      <c r="AO749" t="s">
        <v>613</v>
      </c>
    </row>
    <row r="750" spans="1:41" x14ac:dyDescent="0.3">
      <c r="A750" t="s">
        <v>168</v>
      </c>
      <c r="B750" t="s">
        <v>689</v>
      </c>
      <c r="C750" t="s">
        <v>43</v>
      </c>
      <c r="D750" t="s">
        <v>268</v>
      </c>
      <c r="E750" s="1">
        <v>46067</v>
      </c>
      <c r="F750" t="s">
        <v>1374</v>
      </c>
      <c r="G750" t="s">
        <v>45</v>
      </c>
      <c r="H750" s="2">
        <v>0.25</v>
      </c>
      <c r="I750" s="2">
        <v>0.25347222222222221</v>
      </c>
      <c r="J750" t="s">
        <v>101</v>
      </c>
      <c r="L750" t="s">
        <v>159</v>
      </c>
      <c r="M750" t="s">
        <v>690</v>
      </c>
      <c r="N750" t="s">
        <v>691</v>
      </c>
      <c r="O750">
        <v>5950774</v>
      </c>
      <c r="P750" t="s">
        <v>249</v>
      </c>
      <c r="Q750" t="s">
        <v>692</v>
      </c>
      <c r="R750" t="s">
        <v>693</v>
      </c>
      <c r="S750" t="s">
        <v>52</v>
      </c>
      <c r="T750" t="s">
        <v>252</v>
      </c>
      <c r="U750">
        <v>890735</v>
      </c>
      <c r="V750" s="3">
        <v>46070.350694444445</v>
      </c>
      <c r="W750" t="s">
        <v>693</v>
      </c>
      <c r="X750" t="s">
        <v>694</v>
      </c>
      <c r="Y750" t="str">
        <f>"0404019300"</f>
        <v>0404019300</v>
      </c>
      <c r="Z750" t="s">
        <v>70</v>
      </c>
      <c r="AA750" s="1">
        <v>46117</v>
      </c>
      <c r="AB750" t="s">
        <v>695</v>
      </c>
      <c r="AD750" t="s">
        <v>168</v>
      </c>
      <c r="AE750" t="s">
        <v>696</v>
      </c>
      <c r="AF750">
        <v>5606</v>
      </c>
      <c r="AG750" t="s">
        <v>866</v>
      </c>
      <c r="AI750" t="s">
        <v>59</v>
      </c>
      <c r="AJ750" t="str">
        <f>"0020188040"</f>
        <v>0020188040</v>
      </c>
      <c r="AN750" s="3">
        <v>46070.350694444445</v>
      </c>
      <c r="AO750" t="s">
        <v>693</v>
      </c>
    </row>
    <row r="751" spans="1:41" x14ac:dyDescent="0.3">
      <c r="A751" t="s">
        <v>168</v>
      </c>
      <c r="B751" t="s">
        <v>689</v>
      </c>
      <c r="C751" t="s">
        <v>43</v>
      </c>
      <c r="D751" t="s">
        <v>268</v>
      </c>
      <c r="E751" s="1">
        <v>46067</v>
      </c>
      <c r="F751" t="s">
        <v>1374</v>
      </c>
      <c r="G751" t="s">
        <v>45</v>
      </c>
      <c r="H751" s="2">
        <v>0.25</v>
      </c>
      <c r="I751" s="2">
        <v>0.25347222222222221</v>
      </c>
      <c r="J751" t="s">
        <v>101</v>
      </c>
      <c r="L751" t="s">
        <v>159</v>
      </c>
      <c r="M751" t="s">
        <v>690</v>
      </c>
      <c r="N751" t="s">
        <v>691</v>
      </c>
      <c r="O751">
        <v>5950774</v>
      </c>
      <c r="P751" t="s">
        <v>249</v>
      </c>
      <c r="Q751" t="s">
        <v>692</v>
      </c>
      <c r="R751" t="s">
        <v>693</v>
      </c>
      <c r="S751" t="s">
        <v>52</v>
      </c>
      <c r="T751" t="s">
        <v>252</v>
      </c>
      <c r="U751">
        <v>890736</v>
      </c>
      <c r="V751" s="3">
        <v>46070.352777777778</v>
      </c>
      <c r="W751" t="s">
        <v>693</v>
      </c>
      <c r="X751" t="s">
        <v>694</v>
      </c>
      <c r="Y751" t="str">
        <f>"0404019300"</f>
        <v>0404019300</v>
      </c>
      <c r="Z751" t="s">
        <v>70</v>
      </c>
      <c r="AA751" s="1">
        <v>46117</v>
      </c>
      <c r="AB751" t="s">
        <v>695</v>
      </c>
      <c r="AD751" t="s">
        <v>168</v>
      </c>
      <c r="AE751" t="s">
        <v>696</v>
      </c>
      <c r="AF751">
        <v>5606</v>
      </c>
      <c r="AG751" t="s">
        <v>866</v>
      </c>
      <c r="AI751" t="s">
        <v>59</v>
      </c>
      <c r="AJ751" t="str">
        <f>"0020188040"</f>
        <v>0020188040</v>
      </c>
      <c r="AN751" s="3">
        <v>46070.352777777778</v>
      </c>
      <c r="AO751" t="s">
        <v>693</v>
      </c>
    </row>
    <row r="752" spans="1:41" x14ac:dyDescent="0.3">
      <c r="A752" t="s">
        <v>41</v>
      </c>
      <c r="B752" t="s">
        <v>589</v>
      </c>
      <c r="C752" t="s">
        <v>590</v>
      </c>
      <c r="D752" t="s">
        <v>246</v>
      </c>
      <c r="E752" s="1">
        <v>46067</v>
      </c>
      <c r="F752" t="s">
        <v>1374</v>
      </c>
      <c r="G752" t="s">
        <v>45</v>
      </c>
      <c r="H752" s="2">
        <v>0.29166666666666669</v>
      </c>
      <c r="I752" s="2">
        <v>0.64583333333333337</v>
      </c>
      <c r="J752" t="s">
        <v>591</v>
      </c>
      <c r="L752" t="s">
        <v>592</v>
      </c>
      <c r="M752" t="s">
        <v>593</v>
      </c>
      <c r="N752" t="s">
        <v>594</v>
      </c>
      <c r="O752">
        <v>5952427</v>
      </c>
      <c r="P752" t="s">
        <v>249</v>
      </c>
      <c r="Q752" t="s">
        <v>596</v>
      </c>
      <c r="R752" t="s">
        <v>392</v>
      </c>
      <c r="S752" t="s">
        <v>52</v>
      </c>
      <c r="T752" t="s">
        <v>252</v>
      </c>
      <c r="U752">
        <v>890775</v>
      </c>
      <c r="V752" s="3">
        <v>46070.618055555555</v>
      </c>
      <c r="W752" t="s">
        <v>597</v>
      </c>
      <c r="X752" t="s">
        <v>598</v>
      </c>
      <c r="Y752" t="str">
        <f>"0432677728"</f>
        <v>0432677728</v>
      </c>
      <c r="Z752" t="s">
        <v>290</v>
      </c>
      <c r="AA752" s="1">
        <v>46082</v>
      </c>
      <c r="AB752" t="s">
        <v>599</v>
      </c>
      <c r="AC752" t="s">
        <v>600</v>
      </c>
      <c r="AD752" t="s">
        <v>41</v>
      </c>
      <c r="AE752" t="s">
        <v>600</v>
      </c>
      <c r="AF752">
        <v>4610</v>
      </c>
      <c r="AG752" t="s">
        <v>601</v>
      </c>
      <c r="AI752" t="s">
        <v>59</v>
      </c>
      <c r="AJ752" t="str">
        <f>"0050075752"</f>
        <v>0050075752</v>
      </c>
      <c r="AN752" s="3">
        <v>46070.618055555555</v>
      </c>
      <c r="AO752" t="s">
        <v>392</v>
      </c>
    </row>
    <row r="753" spans="1:41" x14ac:dyDescent="0.3">
      <c r="A753" t="s">
        <v>306</v>
      </c>
      <c r="B753" t="s">
        <v>386</v>
      </c>
      <c r="C753" t="s">
        <v>387</v>
      </c>
      <c r="D753" t="s">
        <v>388</v>
      </c>
      <c r="E753" s="1">
        <v>46067</v>
      </c>
      <c r="F753" t="s">
        <v>1374</v>
      </c>
      <c r="G753" t="s">
        <v>45</v>
      </c>
      <c r="H753" s="2">
        <v>0.29166666666666669</v>
      </c>
      <c r="I753" s="2">
        <v>0.91666666666666663</v>
      </c>
      <c r="J753" t="s">
        <v>389</v>
      </c>
      <c r="L753" t="s">
        <v>298</v>
      </c>
      <c r="M753" t="s">
        <v>195</v>
      </c>
      <c r="N753" t="s">
        <v>390</v>
      </c>
      <c r="O753">
        <v>5951661</v>
      </c>
      <c r="P753" t="s">
        <v>249</v>
      </c>
      <c r="R753" t="s">
        <v>759</v>
      </c>
      <c r="S753" t="s">
        <v>119</v>
      </c>
      <c r="T753" t="s">
        <v>760</v>
      </c>
      <c r="U753" t="s">
        <v>2865</v>
      </c>
      <c r="V753" s="3">
        <v>46100.644444444442</v>
      </c>
      <c r="W753" t="s">
        <v>393</v>
      </c>
      <c r="X753" t="s">
        <v>394</v>
      </c>
      <c r="Y753" t="str">
        <f>"0427371732"</f>
        <v>0427371732</v>
      </c>
      <c r="Z753" t="s">
        <v>70</v>
      </c>
      <c r="AB753" t="s">
        <v>396</v>
      </c>
      <c r="AD753" t="s">
        <v>397</v>
      </c>
      <c r="AE753" t="s">
        <v>398</v>
      </c>
      <c r="AF753">
        <v>7919</v>
      </c>
      <c r="AI753" t="s">
        <v>59</v>
      </c>
      <c r="AM753" t="s">
        <v>2866</v>
      </c>
      <c r="AN753" s="3">
        <v>46100.644444444442</v>
      </c>
      <c r="AO753" t="s">
        <v>759</v>
      </c>
    </row>
    <row r="754" spans="1:41" x14ac:dyDescent="0.3">
      <c r="A754" t="s">
        <v>306</v>
      </c>
      <c r="B754" t="s">
        <v>386</v>
      </c>
      <c r="C754" t="s">
        <v>387</v>
      </c>
      <c r="D754" t="s">
        <v>388</v>
      </c>
      <c r="E754" s="1">
        <v>46067</v>
      </c>
      <c r="F754" t="s">
        <v>1374</v>
      </c>
      <c r="G754" t="s">
        <v>45</v>
      </c>
      <c r="H754" s="2">
        <v>0.29166666666666669</v>
      </c>
      <c r="I754" s="2">
        <v>0.91666666666666663</v>
      </c>
      <c r="J754" t="s">
        <v>389</v>
      </c>
      <c r="L754" t="s">
        <v>298</v>
      </c>
      <c r="M754" t="s">
        <v>195</v>
      </c>
      <c r="N754" t="s">
        <v>390</v>
      </c>
      <c r="O754">
        <v>5951661</v>
      </c>
      <c r="P754" t="s">
        <v>249</v>
      </c>
      <c r="R754" t="s">
        <v>759</v>
      </c>
      <c r="S754" t="s">
        <v>119</v>
      </c>
      <c r="T754" t="s">
        <v>760</v>
      </c>
      <c r="U754" t="s">
        <v>2867</v>
      </c>
      <c r="V754" s="3">
        <v>46100.645138888889</v>
      </c>
      <c r="W754" t="s">
        <v>393</v>
      </c>
      <c r="X754" t="s">
        <v>394</v>
      </c>
      <c r="Y754" t="str">
        <f>"0427371732"</f>
        <v>0427371732</v>
      </c>
      <c r="Z754" t="s">
        <v>70</v>
      </c>
      <c r="AB754" t="s">
        <v>396</v>
      </c>
      <c r="AD754" t="s">
        <v>397</v>
      </c>
      <c r="AE754" t="s">
        <v>398</v>
      </c>
      <c r="AF754">
        <v>7919</v>
      </c>
      <c r="AI754" t="s">
        <v>59</v>
      </c>
      <c r="AM754" t="s">
        <v>2866</v>
      </c>
      <c r="AN754" s="3">
        <v>46100.645138888889</v>
      </c>
      <c r="AO754" t="s">
        <v>759</v>
      </c>
    </row>
    <row r="755" spans="1:41" x14ac:dyDescent="0.3">
      <c r="A755" t="s">
        <v>306</v>
      </c>
      <c r="B755" t="s">
        <v>386</v>
      </c>
      <c r="C755" t="s">
        <v>387</v>
      </c>
      <c r="D755" t="s">
        <v>388</v>
      </c>
      <c r="E755" s="1">
        <v>46067</v>
      </c>
      <c r="F755" t="s">
        <v>1374</v>
      </c>
      <c r="G755" t="s">
        <v>45</v>
      </c>
      <c r="H755" s="2">
        <v>0.29166666666666669</v>
      </c>
      <c r="I755" s="2">
        <v>0.91666666666666663</v>
      </c>
      <c r="J755" t="s">
        <v>389</v>
      </c>
      <c r="L755" t="s">
        <v>298</v>
      </c>
      <c r="M755" t="s">
        <v>195</v>
      </c>
      <c r="N755" t="s">
        <v>390</v>
      </c>
      <c r="O755">
        <v>5951661</v>
      </c>
      <c r="P755" t="s">
        <v>249</v>
      </c>
      <c r="Q755" t="s">
        <v>391</v>
      </c>
      <c r="R755" t="s">
        <v>392</v>
      </c>
      <c r="S755" t="s">
        <v>52</v>
      </c>
      <c r="T755" t="s">
        <v>252</v>
      </c>
      <c r="U755">
        <v>890615</v>
      </c>
      <c r="V755" s="3">
        <v>46069.458333333336</v>
      </c>
      <c r="W755" t="s">
        <v>393</v>
      </c>
      <c r="X755" t="s">
        <v>394</v>
      </c>
      <c r="Y755" t="str">
        <f>"0427371732"</f>
        <v>0427371732</v>
      </c>
      <c r="Z755" t="s">
        <v>366</v>
      </c>
      <c r="AA755" s="1">
        <v>46141</v>
      </c>
      <c r="AB755" t="s">
        <v>396</v>
      </c>
      <c r="AD755" t="s">
        <v>397</v>
      </c>
      <c r="AE755" t="s">
        <v>398</v>
      </c>
      <c r="AF755">
        <v>7919</v>
      </c>
      <c r="AG755" t="s">
        <v>399</v>
      </c>
      <c r="AI755" t="s">
        <v>59</v>
      </c>
      <c r="AJ755" t="str">
        <f>"0090000067"</f>
        <v>0090000067</v>
      </c>
      <c r="AN755" s="3">
        <v>46069.458333333336</v>
      </c>
      <c r="AO755" t="s">
        <v>392</v>
      </c>
    </row>
    <row r="756" spans="1:41" x14ac:dyDescent="0.3">
      <c r="A756" t="s">
        <v>61</v>
      </c>
      <c r="B756" t="s">
        <v>1271</v>
      </c>
      <c r="C756" t="s">
        <v>1272</v>
      </c>
      <c r="D756" t="s">
        <v>184</v>
      </c>
      <c r="E756" s="1">
        <v>46067</v>
      </c>
      <c r="F756" t="s">
        <v>1374</v>
      </c>
      <c r="G756" t="s">
        <v>45</v>
      </c>
      <c r="H756" s="2">
        <v>0.29166666666666669</v>
      </c>
      <c r="I756" s="2">
        <v>0.64583333333333337</v>
      </c>
      <c r="J756" t="s">
        <v>486</v>
      </c>
      <c r="L756" t="s">
        <v>487</v>
      </c>
      <c r="M756" t="s">
        <v>1295</v>
      </c>
      <c r="N756" t="s">
        <v>2176</v>
      </c>
      <c r="O756">
        <v>5951197</v>
      </c>
      <c r="Q756" t="s">
        <v>1190</v>
      </c>
      <c r="R756" t="s">
        <v>132</v>
      </c>
      <c r="S756" t="s">
        <v>52</v>
      </c>
      <c r="U756">
        <v>890414</v>
      </c>
      <c r="V756" s="3">
        <v>46057.565972222219</v>
      </c>
      <c r="W756" t="s">
        <v>2177</v>
      </c>
      <c r="X756" t="s">
        <v>2178</v>
      </c>
      <c r="Y756" t="str">
        <f>"0414644229"</f>
        <v>0414644229</v>
      </c>
      <c r="Z756" t="s">
        <v>2868</v>
      </c>
      <c r="AB756" t="s">
        <v>1278</v>
      </c>
      <c r="AD756" t="s">
        <v>61</v>
      </c>
      <c r="AE756" t="s">
        <v>1279</v>
      </c>
      <c r="AF756">
        <v>2145</v>
      </c>
      <c r="AG756" t="s">
        <v>1045</v>
      </c>
      <c r="AI756" t="s">
        <v>59</v>
      </c>
      <c r="AL756" t="s">
        <v>2869</v>
      </c>
      <c r="AN756" s="3">
        <v>46067.598611111112</v>
      </c>
      <c r="AO756" t="s">
        <v>2177</v>
      </c>
    </row>
    <row r="757" spans="1:41" x14ac:dyDescent="0.3">
      <c r="A757" t="s">
        <v>61</v>
      </c>
      <c r="B757" t="s">
        <v>1462</v>
      </c>
      <c r="C757" t="s">
        <v>296</v>
      </c>
      <c r="D757" t="s">
        <v>90</v>
      </c>
      <c r="E757" s="1">
        <v>46067</v>
      </c>
      <c r="F757" t="s">
        <v>1374</v>
      </c>
      <c r="G757" t="s">
        <v>45</v>
      </c>
      <c r="H757" s="2">
        <v>0.29166666666666669</v>
      </c>
      <c r="I757" s="2">
        <v>0.8125</v>
      </c>
      <c r="J757" t="s">
        <v>296</v>
      </c>
      <c r="L757" t="s">
        <v>298</v>
      </c>
      <c r="M757" t="s">
        <v>729</v>
      </c>
      <c r="N757" t="s">
        <v>2870</v>
      </c>
      <c r="O757">
        <v>5952286</v>
      </c>
      <c r="Q757" t="s">
        <v>2871</v>
      </c>
      <c r="R757" t="s">
        <v>132</v>
      </c>
      <c r="S757" t="s">
        <v>52</v>
      </c>
      <c r="U757">
        <v>890422</v>
      </c>
      <c r="V757" s="3">
        <v>46066.431944444441</v>
      </c>
      <c r="W757" t="s">
        <v>2872</v>
      </c>
      <c r="X757" t="s">
        <v>2873</v>
      </c>
      <c r="Y757" t="str">
        <f>"0411260975"</f>
        <v>0411260975</v>
      </c>
      <c r="Z757" t="s">
        <v>2874</v>
      </c>
      <c r="AB757" t="s">
        <v>1468</v>
      </c>
      <c r="AD757" t="s">
        <v>61</v>
      </c>
      <c r="AE757" t="s">
        <v>1469</v>
      </c>
      <c r="AF757">
        <v>2060</v>
      </c>
      <c r="AG757" t="s">
        <v>2875</v>
      </c>
      <c r="AI757" t="s">
        <v>59</v>
      </c>
      <c r="AL757" t="s">
        <v>2869</v>
      </c>
      <c r="AN757" s="3">
        <v>46067.799305555556</v>
      </c>
      <c r="AO757" t="s">
        <v>2872</v>
      </c>
    </row>
    <row r="758" spans="1:41" x14ac:dyDescent="0.3">
      <c r="A758" t="s">
        <v>61</v>
      </c>
      <c r="B758" t="s">
        <v>507</v>
      </c>
      <c r="D758" t="s">
        <v>63</v>
      </c>
      <c r="E758" s="1">
        <v>46067</v>
      </c>
      <c r="F758" t="s">
        <v>1374</v>
      </c>
      <c r="G758" t="s">
        <v>45</v>
      </c>
      <c r="H758" s="2">
        <v>0.29166666666666669</v>
      </c>
      <c r="I758" s="2">
        <v>0.8125</v>
      </c>
      <c r="J758" t="s">
        <v>296</v>
      </c>
      <c r="L758" t="s">
        <v>728</v>
      </c>
      <c r="M758" t="s">
        <v>729</v>
      </c>
      <c r="N758" t="s">
        <v>730</v>
      </c>
      <c r="O758">
        <v>5952035</v>
      </c>
      <c r="Q758" t="s">
        <v>731</v>
      </c>
      <c r="R758" t="s">
        <v>67</v>
      </c>
      <c r="S758" t="s">
        <v>52</v>
      </c>
      <c r="U758">
        <v>890424</v>
      </c>
      <c r="V758" s="3">
        <v>46056.451388888891</v>
      </c>
      <c r="W758" t="s">
        <v>732</v>
      </c>
      <c r="X758" t="s">
        <v>733</v>
      </c>
      <c r="Y758" t="str">
        <f>"0498946862"</f>
        <v>0498946862</v>
      </c>
      <c r="Z758" t="s">
        <v>2876</v>
      </c>
      <c r="AB758" t="s">
        <v>514</v>
      </c>
      <c r="AD758" t="s">
        <v>61</v>
      </c>
      <c r="AE758" t="s">
        <v>515</v>
      </c>
      <c r="AF758">
        <v>2086</v>
      </c>
      <c r="AG758" t="s">
        <v>516</v>
      </c>
      <c r="AI758" t="s">
        <v>59</v>
      </c>
      <c r="AL758" t="s">
        <v>2869</v>
      </c>
      <c r="AN758" s="3">
        <v>46067.852083333331</v>
      </c>
      <c r="AO758" t="s">
        <v>732</v>
      </c>
    </row>
    <row r="759" spans="1:41" x14ac:dyDescent="0.3">
      <c r="A759" t="s">
        <v>306</v>
      </c>
      <c r="B759" t="s">
        <v>1334</v>
      </c>
      <c r="C759" t="s">
        <v>2877</v>
      </c>
      <c r="D759" t="s">
        <v>1336</v>
      </c>
      <c r="E759" s="1">
        <v>46067</v>
      </c>
      <c r="F759" t="s">
        <v>1374</v>
      </c>
      <c r="G759" t="s">
        <v>45</v>
      </c>
      <c r="H759" s="2">
        <v>0.29166666666666669</v>
      </c>
      <c r="I759" s="2">
        <v>0.60416666666666663</v>
      </c>
      <c r="J759" t="s">
        <v>296</v>
      </c>
      <c r="L759" t="s">
        <v>1260</v>
      </c>
      <c r="M759" t="s">
        <v>239</v>
      </c>
      <c r="N759" t="s">
        <v>1261</v>
      </c>
      <c r="O759">
        <v>5952100</v>
      </c>
      <c r="Q759" t="s">
        <v>2878</v>
      </c>
      <c r="R759" t="s">
        <v>556</v>
      </c>
      <c r="S759" t="s">
        <v>52</v>
      </c>
      <c r="U759">
        <v>890416</v>
      </c>
      <c r="V759" s="3">
        <v>46066.877083333333</v>
      </c>
      <c r="W759" t="s">
        <v>1262</v>
      </c>
      <c r="X759" t="s">
        <v>1263</v>
      </c>
      <c r="Y759" t="str">
        <f>"0420517034"</f>
        <v>0420517034</v>
      </c>
      <c r="Z759" t="s">
        <v>70</v>
      </c>
      <c r="AA759" s="1">
        <v>46067</v>
      </c>
      <c r="AB759" t="s">
        <v>1342</v>
      </c>
      <c r="AD759" t="s">
        <v>306</v>
      </c>
      <c r="AE759" t="s">
        <v>1343</v>
      </c>
      <c r="AF759">
        <v>3144</v>
      </c>
      <c r="AG759" t="s">
        <v>413</v>
      </c>
      <c r="AI759" t="s">
        <v>59</v>
      </c>
      <c r="AL759" t="s">
        <v>2879</v>
      </c>
      <c r="AN759" s="3">
        <v>46067.618750000001</v>
      </c>
      <c r="AO759" t="s">
        <v>1262</v>
      </c>
    </row>
    <row r="760" spans="1:41" x14ac:dyDescent="0.3">
      <c r="A760" t="s">
        <v>61</v>
      </c>
      <c r="B760" t="s">
        <v>768</v>
      </c>
      <c r="C760" t="s">
        <v>296</v>
      </c>
      <c r="D760" t="s">
        <v>769</v>
      </c>
      <c r="E760" s="1">
        <v>46067</v>
      </c>
      <c r="F760" t="s">
        <v>1374</v>
      </c>
      <c r="G760" t="s">
        <v>45</v>
      </c>
      <c r="H760" s="2">
        <v>0.3125</v>
      </c>
      <c r="I760" s="2">
        <v>0.625</v>
      </c>
      <c r="J760" t="s">
        <v>296</v>
      </c>
      <c r="L760" t="s">
        <v>298</v>
      </c>
      <c r="M760" t="s">
        <v>770</v>
      </c>
      <c r="N760" t="s">
        <v>771</v>
      </c>
      <c r="O760">
        <v>5952291</v>
      </c>
      <c r="Q760" t="s">
        <v>772</v>
      </c>
      <c r="R760" t="s">
        <v>132</v>
      </c>
      <c r="S760" t="s">
        <v>52</v>
      </c>
      <c r="U760">
        <v>890417</v>
      </c>
      <c r="V760" s="3">
        <v>46056.670138888891</v>
      </c>
      <c r="W760" t="s">
        <v>773</v>
      </c>
      <c r="X760" t="s">
        <v>774</v>
      </c>
      <c r="Y760" t="str">
        <f>"0432174467"</f>
        <v>0432174467</v>
      </c>
      <c r="Z760" t="s">
        <v>234</v>
      </c>
      <c r="AA760" s="1">
        <v>46067</v>
      </c>
      <c r="AB760" t="s">
        <v>775</v>
      </c>
      <c r="AD760" t="s">
        <v>61</v>
      </c>
      <c r="AE760" t="s">
        <v>776</v>
      </c>
      <c r="AF760">
        <v>2076</v>
      </c>
      <c r="AG760" t="s">
        <v>772</v>
      </c>
      <c r="AI760" t="s">
        <v>59</v>
      </c>
      <c r="AL760" t="s">
        <v>2869</v>
      </c>
      <c r="AN760" s="3">
        <v>46067.659722222219</v>
      </c>
      <c r="AO760" t="s">
        <v>773</v>
      </c>
    </row>
    <row r="761" spans="1:41" x14ac:dyDescent="0.3">
      <c r="A761" t="s">
        <v>75</v>
      </c>
      <c r="B761" t="s">
        <v>1971</v>
      </c>
      <c r="C761" t="s">
        <v>1972</v>
      </c>
      <c r="D761" t="s">
        <v>1971</v>
      </c>
      <c r="E761" s="1">
        <v>46067</v>
      </c>
      <c r="F761" t="s">
        <v>1374</v>
      </c>
      <c r="G761" t="s">
        <v>45</v>
      </c>
      <c r="H761" s="2">
        <v>0.41666666666666669</v>
      </c>
      <c r="I761" s="2">
        <v>0.70833333333333337</v>
      </c>
      <c r="J761" t="s">
        <v>112</v>
      </c>
      <c r="K761" t="s">
        <v>1973</v>
      </c>
      <c r="L761" t="s">
        <v>114</v>
      </c>
      <c r="M761" t="s">
        <v>1974</v>
      </c>
      <c r="N761" t="s">
        <v>1975</v>
      </c>
      <c r="O761">
        <v>22383</v>
      </c>
      <c r="Q761" t="s">
        <v>1976</v>
      </c>
      <c r="R761" t="s">
        <v>118</v>
      </c>
      <c r="S761" t="s">
        <v>52</v>
      </c>
      <c r="U761">
        <v>890486</v>
      </c>
      <c r="V761" s="3">
        <v>46066.822222222225</v>
      </c>
      <c r="W761" t="s">
        <v>1977</v>
      </c>
      <c r="X761" t="s">
        <v>1978</v>
      </c>
      <c r="Y761" t="str">
        <f>"0405795510"</f>
        <v>0405795510</v>
      </c>
      <c r="Z761" t="s">
        <v>550</v>
      </c>
      <c r="AB761" t="s">
        <v>1979</v>
      </c>
      <c r="AD761" t="s">
        <v>75</v>
      </c>
      <c r="AE761" t="s">
        <v>125</v>
      </c>
      <c r="AF761">
        <v>6017</v>
      </c>
      <c r="AG761" t="s">
        <v>1976</v>
      </c>
      <c r="AI761" t="s">
        <v>59</v>
      </c>
      <c r="AN761" s="3">
        <v>46068.649305555555</v>
      </c>
      <c r="AO761" t="s">
        <v>1977</v>
      </c>
    </row>
    <row r="762" spans="1:41" x14ac:dyDescent="0.3">
      <c r="A762" t="s">
        <v>41</v>
      </c>
      <c r="B762" t="s">
        <v>244</v>
      </c>
      <c r="C762" t="s">
        <v>245</v>
      </c>
      <c r="D762" t="s">
        <v>246</v>
      </c>
      <c r="E762" s="1">
        <v>46067</v>
      </c>
      <c r="F762" t="s">
        <v>1374</v>
      </c>
      <c r="G762" t="s">
        <v>45</v>
      </c>
      <c r="H762" s="2">
        <v>0.41666666666666669</v>
      </c>
      <c r="I762" s="2">
        <v>0.77083333333333337</v>
      </c>
      <c r="J762" t="s">
        <v>100</v>
      </c>
      <c r="L762" t="s">
        <v>100</v>
      </c>
      <c r="M762" t="s">
        <v>247</v>
      </c>
      <c r="N762" t="s">
        <v>248</v>
      </c>
      <c r="O762">
        <v>20770</v>
      </c>
      <c r="P762" t="s">
        <v>249</v>
      </c>
      <c r="Q762" t="s">
        <v>250</v>
      </c>
      <c r="R762" t="s">
        <v>251</v>
      </c>
      <c r="S762" t="s">
        <v>52</v>
      </c>
      <c r="T762" t="s">
        <v>252</v>
      </c>
      <c r="U762">
        <v>890626</v>
      </c>
      <c r="V762" s="3">
        <v>46069.495138888888</v>
      </c>
      <c r="W762" t="s">
        <v>251</v>
      </c>
      <c r="X762" t="s">
        <v>253</v>
      </c>
      <c r="Y762" t="str">
        <f>"0429586658"</f>
        <v>0429586658</v>
      </c>
      <c r="Z762" t="s">
        <v>375</v>
      </c>
      <c r="AA762" s="1">
        <v>46068</v>
      </c>
      <c r="AB762" t="s">
        <v>255</v>
      </c>
      <c r="AD762" t="s">
        <v>41</v>
      </c>
      <c r="AE762" t="s">
        <v>256</v>
      </c>
      <c r="AF762">
        <v>4655</v>
      </c>
      <c r="AG762" t="s">
        <v>257</v>
      </c>
      <c r="AI762" t="s">
        <v>59</v>
      </c>
      <c r="AJ762" t="str">
        <f>"0050076900"</f>
        <v>0050076900</v>
      </c>
      <c r="AN762" s="3">
        <v>46069.495138888888</v>
      </c>
      <c r="AO762" t="s">
        <v>251</v>
      </c>
    </row>
    <row r="763" spans="1:41" x14ac:dyDescent="0.3">
      <c r="A763" t="s">
        <v>41</v>
      </c>
      <c r="B763" t="s">
        <v>244</v>
      </c>
      <c r="C763" t="s">
        <v>245</v>
      </c>
      <c r="D763" t="s">
        <v>246</v>
      </c>
      <c r="E763" s="1">
        <v>46067</v>
      </c>
      <c r="F763" t="s">
        <v>1374</v>
      </c>
      <c r="G763" t="s">
        <v>45</v>
      </c>
      <c r="H763" s="2">
        <v>0.41666666666666669</v>
      </c>
      <c r="I763" s="2">
        <v>0.77083333333333337</v>
      </c>
      <c r="J763" t="s">
        <v>100</v>
      </c>
      <c r="L763" t="s">
        <v>100</v>
      </c>
      <c r="M763" t="s">
        <v>247</v>
      </c>
      <c r="N763" t="s">
        <v>248</v>
      </c>
      <c r="O763">
        <v>20770</v>
      </c>
      <c r="P763" t="s">
        <v>249</v>
      </c>
      <c r="Q763" t="s">
        <v>250</v>
      </c>
      <c r="R763" t="s">
        <v>759</v>
      </c>
      <c r="S763" t="s">
        <v>119</v>
      </c>
      <c r="T763" t="s">
        <v>760</v>
      </c>
      <c r="U763" t="s">
        <v>2880</v>
      </c>
      <c r="V763" s="3">
        <v>46077.624305555553</v>
      </c>
      <c r="W763" t="s">
        <v>251</v>
      </c>
      <c r="X763" t="s">
        <v>253</v>
      </c>
      <c r="Y763" t="str">
        <f>"0429586658"</f>
        <v>0429586658</v>
      </c>
      <c r="Z763" t="s">
        <v>70</v>
      </c>
      <c r="AB763" t="s">
        <v>255</v>
      </c>
      <c r="AD763" t="s">
        <v>41</v>
      </c>
      <c r="AE763" t="s">
        <v>256</v>
      </c>
      <c r="AF763">
        <v>4655</v>
      </c>
      <c r="AG763" t="s">
        <v>250</v>
      </c>
      <c r="AI763" t="s">
        <v>59</v>
      </c>
      <c r="AM763" t="s">
        <v>2881</v>
      </c>
      <c r="AN763" s="3">
        <v>46077.624305555553</v>
      </c>
      <c r="AO763" t="s">
        <v>759</v>
      </c>
    </row>
    <row r="764" spans="1:41" x14ac:dyDescent="0.3">
      <c r="A764" t="s">
        <v>41</v>
      </c>
      <c r="B764" t="s">
        <v>244</v>
      </c>
      <c r="C764" t="s">
        <v>245</v>
      </c>
      <c r="D764" t="s">
        <v>246</v>
      </c>
      <c r="E764" s="1">
        <v>46067</v>
      </c>
      <c r="F764" t="s">
        <v>1374</v>
      </c>
      <c r="G764" t="s">
        <v>45</v>
      </c>
      <c r="H764" s="2">
        <v>0.41666666666666669</v>
      </c>
      <c r="I764" s="2">
        <v>0.77083333333333337</v>
      </c>
      <c r="J764" t="s">
        <v>100</v>
      </c>
      <c r="L764" t="s">
        <v>100</v>
      </c>
      <c r="M764" t="s">
        <v>247</v>
      </c>
      <c r="N764" t="s">
        <v>248</v>
      </c>
      <c r="O764">
        <v>20770</v>
      </c>
      <c r="P764" t="s">
        <v>249</v>
      </c>
      <c r="Q764" t="s">
        <v>250</v>
      </c>
      <c r="R764" t="s">
        <v>759</v>
      </c>
      <c r="S764" t="s">
        <v>119</v>
      </c>
      <c r="T764" t="s">
        <v>760</v>
      </c>
      <c r="U764" t="s">
        <v>2882</v>
      </c>
      <c r="V764" s="3">
        <v>46077.625694444447</v>
      </c>
      <c r="W764" t="s">
        <v>251</v>
      </c>
      <c r="X764" t="s">
        <v>253</v>
      </c>
      <c r="Y764" t="str">
        <f>"0429586658"</f>
        <v>0429586658</v>
      </c>
      <c r="Z764" t="s">
        <v>70</v>
      </c>
      <c r="AB764" t="s">
        <v>255</v>
      </c>
      <c r="AD764" t="s">
        <v>41</v>
      </c>
      <c r="AE764" t="s">
        <v>256</v>
      </c>
      <c r="AF764">
        <v>4655</v>
      </c>
      <c r="AG764" t="s">
        <v>250</v>
      </c>
      <c r="AI764" t="s">
        <v>59</v>
      </c>
      <c r="AM764" t="s">
        <v>2881</v>
      </c>
      <c r="AN764" s="3">
        <v>46077.625694444447</v>
      </c>
      <c r="AO764" t="s">
        <v>759</v>
      </c>
    </row>
    <row r="765" spans="1:41" x14ac:dyDescent="0.3">
      <c r="A765" t="s">
        <v>61</v>
      </c>
      <c r="B765" t="s">
        <v>1937</v>
      </c>
      <c r="C765" t="s">
        <v>1627</v>
      </c>
      <c r="D765" t="s">
        <v>184</v>
      </c>
      <c r="E765" s="1">
        <v>46067</v>
      </c>
      <c r="F765" t="s">
        <v>1374</v>
      </c>
      <c r="G765" t="s">
        <v>128</v>
      </c>
      <c r="H765" s="2">
        <v>0.58333333333333337</v>
      </c>
      <c r="I765" s="2">
        <v>0.91666666666666663</v>
      </c>
      <c r="J765" t="s">
        <v>486</v>
      </c>
      <c r="L765" t="s">
        <v>2436</v>
      </c>
      <c r="M765" t="s">
        <v>2075</v>
      </c>
      <c r="N765" t="s">
        <v>2883</v>
      </c>
      <c r="O765">
        <v>22004</v>
      </c>
      <c r="Q765" t="s">
        <v>2884</v>
      </c>
      <c r="R765" t="s">
        <v>67</v>
      </c>
      <c r="S765" t="s">
        <v>52</v>
      </c>
      <c r="U765">
        <v>890425</v>
      </c>
      <c r="V765" s="3">
        <v>46064.376388888886</v>
      </c>
      <c r="W765" t="s">
        <v>2885</v>
      </c>
      <c r="X765" t="s">
        <v>2886</v>
      </c>
      <c r="Y765" t="str">
        <f>"0450422953"</f>
        <v>0450422953</v>
      </c>
      <c r="Z765" t="s">
        <v>123</v>
      </c>
      <c r="AB765" t="s">
        <v>1942</v>
      </c>
      <c r="AD765" t="s">
        <v>61</v>
      </c>
      <c r="AE765" t="s">
        <v>1943</v>
      </c>
      <c r="AF765">
        <v>2065</v>
      </c>
      <c r="AG765" t="s">
        <v>2884</v>
      </c>
      <c r="AI765" t="s">
        <v>59</v>
      </c>
      <c r="AL765" t="s">
        <v>2869</v>
      </c>
      <c r="AN765" s="3">
        <v>46067.920138888891</v>
      </c>
      <c r="AO765" t="s">
        <v>2885</v>
      </c>
    </row>
    <row r="766" spans="1:41" x14ac:dyDescent="0.3">
      <c r="A766" t="s">
        <v>61</v>
      </c>
      <c r="B766" t="s">
        <v>1271</v>
      </c>
      <c r="C766" t="s">
        <v>1272</v>
      </c>
      <c r="D766" t="s">
        <v>184</v>
      </c>
      <c r="E766" s="1">
        <v>46067</v>
      </c>
      <c r="F766" t="s">
        <v>1374</v>
      </c>
      <c r="G766" t="s">
        <v>128</v>
      </c>
      <c r="H766" s="2">
        <v>0.625</v>
      </c>
      <c r="I766" s="2">
        <v>0.97916666666666663</v>
      </c>
      <c r="J766" t="s">
        <v>486</v>
      </c>
      <c r="L766" t="s">
        <v>487</v>
      </c>
      <c r="M766" t="s">
        <v>392</v>
      </c>
      <c r="N766" t="s">
        <v>1280</v>
      </c>
      <c r="O766">
        <v>5952420</v>
      </c>
      <c r="Q766" t="s">
        <v>1190</v>
      </c>
      <c r="R766" t="s">
        <v>132</v>
      </c>
      <c r="S766" t="s">
        <v>52</v>
      </c>
      <c r="U766">
        <v>890423</v>
      </c>
      <c r="V766" s="3">
        <v>46057.565972222219</v>
      </c>
      <c r="W766" t="s">
        <v>1781</v>
      </c>
      <c r="X766" t="s">
        <v>1782</v>
      </c>
      <c r="Y766" t="str">
        <f>"0435135581"</f>
        <v>0435135581</v>
      </c>
      <c r="Z766" t="s">
        <v>2887</v>
      </c>
      <c r="AB766" t="s">
        <v>1278</v>
      </c>
      <c r="AD766" t="s">
        <v>61</v>
      </c>
      <c r="AE766" t="s">
        <v>1279</v>
      </c>
      <c r="AF766">
        <v>2145</v>
      </c>
      <c r="AG766" t="s">
        <v>1190</v>
      </c>
      <c r="AI766" t="s">
        <v>59</v>
      </c>
      <c r="AL766" t="s">
        <v>2888</v>
      </c>
      <c r="AN766" s="3">
        <v>46067.803472222222</v>
      </c>
      <c r="AO766" t="s">
        <v>1781</v>
      </c>
    </row>
    <row r="767" spans="1:41" x14ac:dyDescent="0.3">
      <c r="A767" t="s">
        <v>61</v>
      </c>
      <c r="B767" t="s">
        <v>182</v>
      </c>
      <c r="C767" t="s">
        <v>484</v>
      </c>
      <c r="D767" t="s">
        <v>184</v>
      </c>
      <c r="E767" s="1">
        <v>46067</v>
      </c>
      <c r="F767" t="s">
        <v>1374</v>
      </c>
      <c r="G767" t="s">
        <v>485</v>
      </c>
      <c r="H767" s="2">
        <v>0.77083333333333337</v>
      </c>
      <c r="I767" s="2">
        <v>0.29166666666666669</v>
      </c>
      <c r="J767" t="s">
        <v>590</v>
      </c>
      <c r="L767" t="s">
        <v>487</v>
      </c>
      <c r="M767" t="s">
        <v>488</v>
      </c>
      <c r="N767" t="s">
        <v>489</v>
      </c>
      <c r="O767">
        <v>5951809</v>
      </c>
      <c r="Q767" t="s">
        <v>490</v>
      </c>
      <c r="R767" t="s">
        <v>67</v>
      </c>
      <c r="S767" t="s">
        <v>52</v>
      </c>
      <c r="U767">
        <v>890428</v>
      </c>
      <c r="V767" s="3">
        <v>46051.534722222219</v>
      </c>
      <c r="W767" t="s">
        <v>491</v>
      </c>
      <c r="X767" t="s">
        <v>492</v>
      </c>
      <c r="Y767" t="str">
        <f>"0431000508"</f>
        <v>0431000508</v>
      </c>
      <c r="Z767" t="s">
        <v>1382</v>
      </c>
      <c r="AB767" t="s">
        <v>193</v>
      </c>
      <c r="AD767" t="s">
        <v>61</v>
      </c>
      <c r="AE767" t="s">
        <v>194</v>
      </c>
      <c r="AF767">
        <v>2229</v>
      </c>
      <c r="AG767" t="s">
        <v>129</v>
      </c>
      <c r="AI767" t="s">
        <v>59</v>
      </c>
      <c r="AL767" t="s">
        <v>2869</v>
      </c>
      <c r="AN767" s="3">
        <v>46068.265277777777</v>
      </c>
      <c r="AO767" t="s">
        <v>491</v>
      </c>
    </row>
    <row r="768" spans="1:41" x14ac:dyDescent="0.3">
      <c r="A768" t="s">
        <v>61</v>
      </c>
      <c r="B768" t="s">
        <v>507</v>
      </c>
      <c r="C768" t="s">
        <v>2889</v>
      </c>
      <c r="D768" t="s">
        <v>63</v>
      </c>
      <c r="E768" s="1">
        <v>46067</v>
      </c>
      <c r="F768" t="s">
        <v>1374</v>
      </c>
      <c r="G768" t="s">
        <v>485</v>
      </c>
      <c r="H768" s="2">
        <v>0.79166666666666663</v>
      </c>
      <c r="I768" s="2">
        <v>0.3125</v>
      </c>
      <c r="J768" t="s">
        <v>269</v>
      </c>
      <c r="L768" t="s">
        <v>2890</v>
      </c>
      <c r="M768" t="s">
        <v>2891</v>
      </c>
      <c r="N768" t="s">
        <v>2892</v>
      </c>
      <c r="O768">
        <v>22668</v>
      </c>
      <c r="Q768" t="s">
        <v>1780</v>
      </c>
      <c r="R768" t="s">
        <v>132</v>
      </c>
      <c r="S768" t="s">
        <v>52</v>
      </c>
      <c r="U768">
        <v>890427</v>
      </c>
      <c r="V768" s="3">
        <v>46058.374305555553</v>
      </c>
      <c r="W768" t="s">
        <v>2893</v>
      </c>
      <c r="X768" t="s">
        <v>2894</v>
      </c>
      <c r="Y768" t="str">
        <f>"0420932618"</f>
        <v>0420932618</v>
      </c>
      <c r="Z768" t="s">
        <v>832</v>
      </c>
      <c r="AB768" t="s">
        <v>514</v>
      </c>
      <c r="AD768" t="s">
        <v>61</v>
      </c>
      <c r="AE768" t="s">
        <v>515</v>
      </c>
      <c r="AF768">
        <v>2086</v>
      </c>
      <c r="AG768" t="s">
        <v>2895</v>
      </c>
      <c r="AI768" t="s">
        <v>59</v>
      </c>
      <c r="AL768" t="s">
        <v>2869</v>
      </c>
      <c r="AN768" s="3">
        <v>46068.197222222225</v>
      </c>
      <c r="AO768" t="s">
        <v>2893</v>
      </c>
    </row>
    <row r="769" spans="1:41" x14ac:dyDescent="0.3">
      <c r="A769" t="s">
        <v>61</v>
      </c>
      <c r="B769" t="s">
        <v>507</v>
      </c>
      <c r="C769" t="s">
        <v>2889</v>
      </c>
      <c r="D769" t="s">
        <v>63</v>
      </c>
      <c r="E769" s="1">
        <v>46067</v>
      </c>
      <c r="F769" t="s">
        <v>1374</v>
      </c>
      <c r="G769" t="s">
        <v>485</v>
      </c>
      <c r="H769" s="2">
        <v>0.79166666666666663</v>
      </c>
      <c r="I769" s="2">
        <v>0.3125</v>
      </c>
      <c r="J769" t="s">
        <v>269</v>
      </c>
      <c r="L769" t="s">
        <v>172</v>
      </c>
      <c r="M769" t="s">
        <v>580</v>
      </c>
      <c r="N769" t="s">
        <v>581</v>
      </c>
      <c r="O769">
        <v>5951721</v>
      </c>
      <c r="Q769" t="s">
        <v>2895</v>
      </c>
      <c r="R769" t="s">
        <v>132</v>
      </c>
      <c r="S769" t="s">
        <v>52</v>
      </c>
      <c r="U769">
        <v>890429</v>
      </c>
      <c r="V769" s="3">
        <v>46058.374305555553</v>
      </c>
      <c r="W769" t="s">
        <v>583</v>
      </c>
      <c r="X769" t="s">
        <v>584</v>
      </c>
      <c r="Y769" t="str">
        <f>"0456677559"</f>
        <v>0456677559</v>
      </c>
      <c r="Z769" t="s">
        <v>687</v>
      </c>
      <c r="AB769" t="s">
        <v>514</v>
      </c>
      <c r="AD769" t="s">
        <v>61</v>
      </c>
      <c r="AE769" t="s">
        <v>515</v>
      </c>
      <c r="AF769">
        <v>2086</v>
      </c>
      <c r="AG769" t="s">
        <v>2895</v>
      </c>
      <c r="AI769" t="s">
        <v>59</v>
      </c>
      <c r="AL769" t="s">
        <v>2869</v>
      </c>
      <c r="AN769" s="3">
        <v>46068.287499999999</v>
      </c>
      <c r="AO769" t="s">
        <v>583</v>
      </c>
    </row>
    <row r="770" spans="1:41" x14ac:dyDescent="0.3">
      <c r="A770" t="s">
        <v>61</v>
      </c>
      <c r="B770" t="s">
        <v>1079</v>
      </c>
      <c r="C770" t="s">
        <v>529</v>
      </c>
      <c r="D770" t="s">
        <v>63</v>
      </c>
      <c r="E770" s="1">
        <v>46067</v>
      </c>
      <c r="F770" t="s">
        <v>1374</v>
      </c>
      <c r="G770" t="s">
        <v>485</v>
      </c>
      <c r="H770" s="2">
        <v>0.79166666666666663</v>
      </c>
      <c r="I770" s="2">
        <v>0.3125</v>
      </c>
      <c r="J770" t="s">
        <v>529</v>
      </c>
      <c r="L770" t="s">
        <v>735</v>
      </c>
      <c r="M770" t="s">
        <v>2896</v>
      </c>
      <c r="N770" t="s">
        <v>2897</v>
      </c>
      <c r="O770">
        <v>5951538</v>
      </c>
      <c r="Q770" t="s">
        <v>2898</v>
      </c>
      <c r="R770" t="s">
        <v>1248</v>
      </c>
      <c r="S770" t="s">
        <v>52</v>
      </c>
      <c r="U770">
        <v>890426</v>
      </c>
      <c r="V770" s="3">
        <v>46067.368055555555</v>
      </c>
      <c r="W770" t="s">
        <v>2899</v>
      </c>
      <c r="X770" t="s">
        <v>2900</v>
      </c>
      <c r="Y770" t="str">
        <f>"0416173051"</f>
        <v>0416173051</v>
      </c>
      <c r="Z770" t="s">
        <v>70</v>
      </c>
      <c r="AB770" t="s">
        <v>1085</v>
      </c>
      <c r="AD770" t="s">
        <v>61</v>
      </c>
      <c r="AE770" t="s">
        <v>1086</v>
      </c>
      <c r="AF770">
        <v>2031</v>
      </c>
      <c r="AG770" t="s">
        <v>2898</v>
      </c>
      <c r="AI770" t="s">
        <v>59</v>
      </c>
      <c r="AL770" t="s">
        <v>2901</v>
      </c>
      <c r="AN770" s="3">
        <v>46068.14166666667</v>
      </c>
      <c r="AO770" t="s">
        <v>2899</v>
      </c>
    </row>
    <row r="771" spans="1:41" x14ac:dyDescent="0.3">
      <c r="A771" t="s">
        <v>306</v>
      </c>
      <c r="B771" t="s">
        <v>1238</v>
      </c>
      <c r="C771" t="s">
        <v>529</v>
      </c>
      <c r="D771" t="s">
        <v>90</v>
      </c>
      <c r="E771" s="1">
        <v>46067</v>
      </c>
      <c r="F771" t="s">
        <v>1374</v>
      </c>
      <c r="G771" t="s">
        <v>485</v>
      </c>
      <c r="H771" s="2">
        <v>0.79166666666666663</v>
      </c>
      <c r="I771" s="2">
        <v>0.3125</v>
      </c>
      <c r="J771" t="s">
        <v>529</v>
      </c>
      <c r="L771" t="s">
        <v>735</v>
      </c>
      <c r="M771" t="s">
        <v>1651</v>
      </c>
      <c r="N771" t="s">
        <v>1652</v>
      </c>
      <c r="O771">
        <v>20581</v>
      </c>
      <c r="Q771" t="s">
        <v>1245</v>
      </c>
      <c r="R771" t="s">
        <v>1248</v>
      </c>
      <c r="S771" t="s">
        <v>52</v>
      </c>
      <c r="U771">
        <v>890430</v>
      </c>
      <c r="V771" s="3">
        <v>46067.38958333333</v>
      </c>
      <c r="W771" t="s">
        <v>1654</v>
      </c>
      <c r="X771" t="s">
        <v>1655</v>
      </c>
      <c r="Y771" t="str">
        <f>"0420857417"</f>
        <v>0420857417</v>
      </c>
      <c r="Z771" t="s">
        <v>70</v>
      </c>
      <c r="AA771" s="1">
        <v>46067</v>
      </c>
      <c r="AB771" t="s">
        <v>1243</v>
      </c>
      <c r="AD771" t="s">
        <v>306</v>
      </c>
      <c r="AE771" t="s">
        <v>1244</v>
      </c>
      <c r="AF771">
        <v>3065</v>
      </c>
      <c r="AG771" t="s">
        <v>1245</v>
      </c>
      <c r="AI771" t="s">
        <v>59</v>
      </c>
      <c r="AL771" t="s">
        <v>2902</v>
      </c>
      <c r="AN771" s="3">
        <v>46068.288194444445</v>
      </c>
      <c r="AO771" t="s">
        <v>1654</v>
      </c>
    </row>
    <row r="772" spans="1:41" x14ac:dyDescent="0.3">
      <c r="A772" t="s">
        <v>61</v>
      </c>
      <c r="B772" t="s">
        <v>507</v>
      </c>
      <c r="D772" t="s">
        <v>63</v>
      </c>
      <c r="E772" s="1">
        <v>46067</v>
      </c>
      <c r="F772" t="s">
        <v>1374</v>
      </c>
      <c r="G772" t="s">
        <v>485</v>
      </c>
      <c r="H772" s="2">
        <v>0.79166666666666663</v>
      </c>
      <c r="I772" s="2">
        <v>0.3125</v>
      </c>
      <c r="J772" t="s">
        <v>296</v>
      </c>
      <c r="L772" t="s">
        <v>298</v>
      </c>
      <c r="M772" t="s">
        <v>508</v>
      </c>
      <c r="N772" t="s">
        <v>509</v>
      </c>
      <c r="O772">
        <v>22014</v>
      </c>
      <c r="Q772" t="s">
        <v>731</v>
      </c>
      <c r="R772" t="s">
        <v>67</v>
      </c>
      <c r="S772" t="s">
        <v>52</v>
      </c>
      <c r="U772">
        <v>890432</v>
      </c>
      <c r="V772" s="3">
        <v>46056.451388888891</v>
      </c>
      <c r="W772" t="s">
        <v>511</v>
      </c>
      <c r="X772" t="s">
        <v>512</v>
      </c>
      <c r="Y772" t="str">
        <f>"0430326260"</f>
        <v>0430326260</v>
      </c>
      <c r="Z772" t="s">
        <v>2903</v>
      </c>
      <c r="AB772" t="s">
        <v>514</v>
      </c>
      <c r="AD772" t="s">
        <v>61</v>
      </c>
      <c r="AE772" t="s">
        <v>515</v>
      </c>
      <c r="AF772">
        <v>2086</v>
      </c>
      <c r="AG772" t="s">
        <v>73</v>
      </c>
      <c r="AI772" t="s">
        <v>59</v>
      </c>
      <c r="AL772" t="s">
        <v>2869</v>
      </c>
      <c r="AN772" s="3">
        <v>46068.305555555555</v>
      </c>
      <c r="AO772" t="s">
        <v>511</v>
      </c>
    </row>
    <row r="773" spans="1:41" x14ac:dyDescent="0.3">
      <c r="A773" t="s">
        <v>168</v>
      </c>
      <c r="B773" t="s">
        <v>2904</v>
      </c>
      <c r="C773" t="s">
        <v>2905</v>
      </c>
      <c r="D773" t="s">
        <v>268</v>
      </c>
      <c r="E773" s="1">
        <v>46067</v>
      </c>
      <c r="F773" t="s">
        <v>1374</v>
      </c>
      <c r="G773" t="s">
        <v>485</v>
      </c>
      <c r="H773" s="2">
        <v>0.875</v>
      </c>
      <c r="I773" s="2">
        <v>0.3125</v>
      </c>
      <c r="J773" t="s">
        <v>1314</v>
      </c>
      <c r="L773" t="s">
        <v>47</v>
      </c>
      <c r="M773" t="s">
        <v>517</v>
      </c>
      <c r="N773" t="s">
        <v>518</v>
      </c>
      <c r="O773">
        <v>5951368</v>
      </c>
      <c r="Q773" t="s">
        <v>413</v>
      </c>
      <c r="R773" t="s">
        <v>556</v>
      </c>
      <c r="S773" t="s">
        <v>119</v>
      </c>
      <c r="T773" t="s">
        <v>414</v>
      </c>
      <c r="U773">
        <v>890746</v>
      </c>
      <c r="V773" s="3">
        <v>46066.906944444447</v>
      </c>
      <c r="W773" t="s">
        <v>519</v>
      </c>
      <c r="X773" t="s">
        <v>520</v>
      </c>
      <c r="Y773" t="str">
        <f>"0420208072"</f>
        <v>0420208072</v>
      </c>
      <c r="Z773" t="s">
        <v>70</v>
      </c>
      <c r="AB773" t="s">
        <v>2906</v>
      </c>
      <c r="AD773" t="s">
        <v>168</v>
      </c>
      <c r="AE773" t="s">
        <v>2907</v>
      </c>
      <c r="AF773">
        <v>5253</v>
      </c>
      <c r="AI773" t="s">
        <v>59</v>
      </c>
      <c r="AL773" t="s">
        <v>1729</v>
      </c>
      <c r="AM773" t="s">
        <v>2908</v>
      </c>
      <c r="AN773" s="3">
        <v>46066.980555555558</v>
      </c>
      <c r="AO773" t="s">
        <v>556</v>
      </c>
    </row>
    <row r="774" spans="1:41" x14ac:dyDescent="0.3">
      <c r="A774" t="s">
        <v>41</v>
      </c>
      <c r="B774" t="s">
        <v>1452</v>
      </c>
      <c r="D774" t="s">
        <v>246</v>
      </c>
      <c r="E774" s="1">
        <v>46067</v>
      </c>
      <c r="F774" t="s">
        <v>1374</v>
      </c>
      <c r="G774" t="s">
        <v>485</v>
      </c>
      <c r="H774" s="2">
        <v>0.875</v>
      </c>
      <c r="I774" s="2">
        <v>0.3125</v>
      </c>
      <c r="J774" t="s">
        <v>296</v>
      </c>
      <c r="L774" t="s">
        <v>1453</v>
      </c>
      <c r="M774" t="s">
        <v>1454</v>
      </c>
      <c r="N774" t="s">
        <v>1455</v>
      </c>
      <c r="O774">
        <v>5951941</v>
      </c>
      <c r="Q774" t="s">
        <v>1456</v>
      </c>
      <c r="R774" t="s">
        <v>573</v>
      </c>
      <c r="S774" t="s">
        <v>52</v>
      </c>
      <c r="T774" t="s">
        <v>252</v>
      </c>
      <c r="U774">
        <v>890653</v>
      </c>
      <c r="V774" s="3">
        <v>46069.638888888891</v>
      </c>
      <c r="W774" t="s">
        <v>1457</v>
      </c>
      <c r="X774" t="s">
        <v>1458</v>
      </c>
      <c r="Y774" t="str">
        <f>"0413847722"</f>
        <v>0413847722</v>
      </c>
      <c r="Z774" t="s">
        <v>290</v>
      </c>
      <c r="AA774" s="1">
        <v>46097</v>
      </c>
      <c r="AB774" t="s">
        <v>1459</v>
      </c>
      <c r="AD774" t="s">
        <v>41</v>
      </c>
      <c r="AE774" t="s">
        <v>1460</v>
      </c>
      <c r="AF774">
        <v>4740</v>
      </c>
      <c r="AG774" t="s">
        <v>1456</v>
      </c>
      <c r="AI774" t="s">
        <v>59</v>
      </c>
      <c r="AJ774" t="str">
        <f>"0050076628"</f>
        <v>0050076628</v>
      </c>
      <c r="AN774" s="3">
        <v>46069.638888888891</v>
      </c>
      <c r="AO774" t="s">
        <v>573</v>
      </c>
    </row>
    <row r="775" spans="1:41" x14ac:dyDescent="0.3">
      <c r="A775" t="s">
        <v>61</v>
      </c>
      <c r="B775" t="s">
        <v>350</v>
      </c>
      <c r="C775" t="s">
        <v>484</v>
      </c>
      <c r="D775" t="s">
        <v>63</v>
      </c>
      <c r="E775" s="1">
        <v>46067</v>
      </c>
      <c r="F775" t="s">
        <v>1374</v>
      </c>
      <c r="G775" t="s">
        <v>485</v>
      </c>
      <c r="H775" s="2">
        <v>0.89583333333333337</v>
      </c>
      <c r="I775" s="2">
        <v>0.29166666666666669</v>
      </c>
      <c r="J775" t="s">
        <v>486</v>
      </c>
      <c r="L775" t="s">
        <v>487</v>
      </c>
      <c r="M775" t="s">
        <v>1490</v>
      </c>
      <c r="N775" t="s">
        <v>1491</v>
      </c>
      <c r="O775">
        <v>21218</v>
      </c>
      <c r="Q775" t="s">
        <v>1126</v>
      </c>
      <c r="R775" t="s">
        <v>132</v>
      </c>
      <c r="S775" t="s">
        <v>52</v>
      </c>
      <c r="U775">
        <v>890431</v>
      </c>
      <c r="V775" s="3">
        <v>46065.45208333333</v>
      </c>
      <c r="W775" t="s">
        <v>1493</v>
      </c>
      <c r="X775" t="s">
        <v>1494</v>
      </c>
      <c r="Y775" t="str">
        <f>"0401746606"</f>
        <v>0401746606</v>
      </c>
      <c r="Z775" t="s">
        <v>846</v>
      </c>
      <c r="AB775" t="s">
        <v>356</v>
      </c>
      <c r="AD775" t="s">
        <v>61</v>
      </c>
      <c r="AE775" t="s">
        <v>357</v>
      </c>
      <c r="AF775">
        <v>2153</v>
      </c>
      <c r="AG775" t="s">
        <v>2909</v>
      </c>
      <c r="AI775" t="s">
        <v>59</v>
      </c>
      <c r="AL775" t="s">
        <v>2869</v>
      </c>
      <c r="AN775" s="3">
        <v>46068.304861111108</v>
      </c>
      <c r="AO775" t="s">
        <v>1493</v>
      </c>
    </row>
    <row r="776" spans="1:41" x14ac:dyDescent="0.3">
      <c r="A776" t="s">
        <v>168</v>
      </c>
      <c r="B776" t="s">
        <v>689</v>
      </c>
      <c r="C776" t="s">
        <v>43</v>
      </c>
      <c r="D776" t="s">
        <v>268</v>
      </c>
      <c r="E776" s="1">
        <v>46037</v>
      </c>
      <c r="F776" t="s">
        <v>621</v>
      </c>
      <c r="G776" t="s">
        <v>45</v>
      </c>
      <c r="H776" s="2">
        <v>0.35416666666666669</v>
      </c>
      <c r="I776" s="2">
        <v>0.70833333333333337</v>
      </c>
      <c r="J776" t="s">
        <v>100</v>
      </c>
      <c r="L776" t="s">
        <v>100</v>
      </c>
      <c r="M776" t="s">
        <v>402</v>
      </c>
      <c r="N776" t="s">
        <v>403</v>
      </c>
      <c r="O776">
        <v>21398</v>
      </c>
      <c r="P776" t="s">
        <v>249</v>
      </c>
      <c r="Q776" t="s">
        <v>2110</v>
      </c>
      <c r="R776" t="s">
        <v>405</v>
      </c>
      <c r="S776" t="s">
        <v>52</v>
      </c>
      <c r="T776" t="s">
        <v>252</v>
      </c>
      <c r="U776">
        <v>887488</v>
      </c>
      <c r="V776" s="3">
        <v>46041.392361111109</v>
      </c>
      <c r="W776" t="s">
        <v>405</v>
      </c>
      <c r="X776" t="s">
        <v>406</v>
      </c>
      <c r="Y776" t="str">
        <f>"0423877972"</f>
        <v>0423877972</v>
      </c>
      <c r="Z776" t="s">
        <v>366</v>
      </c>
      <c r="AA776" s="1">
        <v>46075</v>
      </c>
      <c r="AB776" t="s">
        <v>695</v>
      </c>
      <c r="AD776" t="s">
        <v>168</v>
      </c>
      <c r="AE776" t="s">
        <v>696</v>
      </c>
      <c r="AF776">
        <v>5606</v>
      </c>
      <c r="AG776" t="s">
        <v>2111</v>
      </c>
      <c r="AI776" t="s">
        <v>59</v>
      </c>
      <c r="AJ776" t="str">
        <f>"0020185674"</f>
        <v>0020185674</v>
      </c>
      <c r="AN776" s="3">
        <v>46041.392361111109</v>
      </c>
      <c r="AO776" t="s">
        <v>405</v>
      </c>
    </row>
    <row r="777" spans="1:41" x14ac:dyDescent="0.3">
      <c r="A777" t="s">
        <v>61</v>
      </c>
      <c r="B777" t="s">
        <v>578</v>
      </c>
      <c r="D777" t="s">
        <v>579</v>
      </c>
      <c r="E777" s="1">
        <v>46037</v>
      </c>
      <c r="F777" t="s">
        <v>621</v>
      </c>
      <c r="G777" t="s">
        <v>485</v>
      </c>
      <c r="H777" s="2">
        <v>0.875</v>
      </c>
      <c r="I777" s="2">
        <v>0.35416666666666669</v>
      </c>
      <c r="J777" t="s">
        <v>269</v>
      </c>
      <c r="L777" t="s">
        <v>172</v>
      </c>
      <c r="M777" t="s">
        <v>580</v>
      </c>
      <c r="N777" t="s">
        <v>581</v>
      </c>
      <c r="O777">
        <v>5951721</v>
      </c>
      <c r="P777" t="s">
        <v>571</v>
      </c>
      <c r="Q777" t="s">
        <v>582</v>
      </c>
      <c r="R777" t="s">
        <v>573</v>
      </c>
      <c r="S777" t="s">
        <v>52</v>
      </c>
      <c r="T777" t="s">
        <v>252</v>
      </c>
      <c r="U777">
        <v>887535</v>
      </c>
      <c r="V777" s="3">
        <v>46041.567361111112</v>
      </c>
      <c r="W777" t="s">
        <v>583</v>
      </c>
      <c r="X777" t="s">
        <v>584</v>
      </c>
      <c r="Y777" t="str">
        <f>"0456677559"</f>
        <v>0456677559</v>
      </c>
      <c r="Z777" t="s">
        <v>290</v>
      </c>
      <c r="AA777" s="1">
        <v>46061</v>
      </c>
      <c r="AB777" t="s">
        <v>586</v>
      </c>
      <c r="AD777" t="s">
        <v>61</v>
      </c>
      <c r="AE777" t="s">
        <v>587</v>
      </c>
      <c r="AF777">
        <v>2320</v>
      </c>
      <c r="AG777" t="s">
        <v>588</v>
      </c>
      <c r="AI777" t="s">
        <v>59</v>
      </c>
      <c r="AJ777" t="str">
        <f>"0010193654"</f>
        <v>0010193654</v>
      </c>
      <c r="AN777" s="3">
        <v>46041.567361111112</v>
      </c>
      <c r="AO777" t="s">
        <v>573</v>
      </c>
    </row>
    <row r="778" spans="1:41" x14ac:dyDescent="0.3">
      <c r="A778" t="s">
        <v>41</v>
      </c>
      <c r="B778" t="s">
        <v>568</v>
      </c>
      <c r="D778" t="s">
        <v>246</v>
      </c>
      <c r="E778" s="1">
        <v>46037</v>
      </c>
      <c r="F778" t="s">
        <v>621</v>
      </c>
      <c r="G778" t="s">
        <v>485</v>
      </c>
      <c r="H778" s="2">
        <v>0.94791666666666663</v>
      </c>
      <c r="I778" s="2">
        <v>0.30208333333333331</v>
      </c>
      <c r="J778" t="s">
        <v>269</v>
      </c>
      <c r="L778" t="s">
        <v>172</v>
      </c>
      <c r="M778" t="s">
        <v>311</v>
      </c>
      <c r="N778" t="s">
        <v>570</v>
      </c>
      <c r="O778">
        <v>5951685</v>
      </c>
      <c r="P778" t="s">
        <v>571</v>
      </c>
      <c r="Q778" t="s">
        <v>572</v>
      </c>
      <c r="R778" t="s">
        <v>573</v>
      </c>
      <c r="S778" t="s">
        <v>52</v>
      </c>
      <c r="T778" t="s">
        <v>252</v>
      </c>
      <c r="U778">
        <v>887544</v>
      </c>
      <c r="V778" s="3">
        <v>46041.582638888889</v>
      </c>
      <c r="W778" t="s">
        <v>574</v>
      </c>
      <c r="X778" t="s">
        <v>575</v>
      </c>
      <c r="Y778" t="str">
        <f>"0407007024"</f>
        <v>0407007024</v>
      </c>
      <c r="Z778" t="s">
        <v>2417</v>
      </c>
      <c r="AA778" s="1">
        <v>46075</v>
      </c>
      <c r="AB778" t="s">
        <v>576</v>
      </c>
      <c r="AD778" t="s">
        <v>41</v>
      </c>
      <c r="AE778" t="s">
        <v>577</v>
      </c>
      <c r="AF778">
        <v>4700</v>
      </c>
      <c r="AG778" t="s">
        <v>572</v>
      </c>
      <c r="AI778" t="s">
        <v>59</v>
      </c>
      <c r="AJ778" t="str">
        <f>"0050076113"</f>
        <v>0050076113</v>
      </c>
      <c r="AN778" s="3">
        <v>46041.582638888889</v>
      </c>
      <c r="AO778" t="s">
        <v>573</v>
      </c>
    </row>
    <row r="779" spans="1:41" x14ac:dyDescent="0.3">
      <c r="A779" t="s">
        <v>306</v>
      </c>
      <c r="B779" t="s">
        <v>386</v>
      </c>
      <c r="C779" t="s">
        <v>387</v>
      </c>
      <c r="D779" t="s">
        <v>388</v>
      </c>
      <c r="E779" s="1">
        <v>46068</v>
      </c>
      <c r="F779" t="s">
        <v>1617</v>
      </c>
      <c r="G779" t="s">
        <v>45</v>
      </c>
      <c r="H779" s="2">
        <v>0.25</v>
      </c>
      <c r="I779" s="2">
        <v>0.25069444444444444</v>
      </c>
      <c r="J779" t="s">
        <v>389</v>
      </c>
      <c r="L779" t="s">
        <v>298</v>
      </c>
      <c r="M779" t="s">
        <v>195</v>
      </c>
      <c r="N779" t="s">
        <v>390</v>
      </c>
      <c r="O779">
        <v>5951661</v>
      </c>
      <c r="P779" t="s">
        <v>249</v>
      </c>
      <c r="Q779" t="s">
        <v>391</v>
      </c>
      <c r="R779" t="s">
        <v>392</v>
      </c>
      <c r="S779" t="s">
        <v>52</v>
      </c>
      <c r="T779" t="s">
        <v>252</v>
      </c>
      <c r="U779">
        <v>890608</v>
      </c>
      <c r="V779" s="3">
        <v>46069.45416666667</v>
      </c>
      <c r="W779" t="s">
        <v>393</v>
      </c>
      <c r="X779" t="s">
        <v>394</v>
      </c>
      <c r="Y779" t="str">
        <f>"0427371732"</f>
        <v>0427371732</v>
      </c>
      <c r="Z779" t="s">
        <v>70</v>
      </c>
      <c r="AA779" s="1">
        <v>46141</v>
      </c>
      <c r="AB779" t="s">
        <v>396</v>
      </c>
      <c r="AD779" t="s">
        <v>397</v>
      </c>
      <c r="AE779" t="s">
        <v>398</v>
      </c>
      <c r="AF779">
        <v>7919</v>
      </c>
      <c r="AG779" t="s">
        <v>399</v>
      </c>
      <c r="AI779" t="s">
        <v>59</v>
      </c>
      <c r="AJ779" t="str">
        <f>"0090000067"</f>
        <v>0090000067</v>
      </c>
      <c r="AM779" t="s">
        <v>2910</v>
      </c>
      <c r="AN779" s="3">
        <v>46069.45416666667</v>
      </c>
      <c r="AO779" t="s">
        <v>392</v>
      </c>
    </row>
    <row r="780" spans="1:41" x14ac:dyDescent="0.3">
      <c r="A780" t="s">
        <v>874</v>
      </c>
      <c r="B780" t="s">
        <v>875</v>
      </c>
      <c r="D780" t="s">
        <v>388</v>
      </c>
      <c r="E780" s="1">
        <v>46068</v>
      </c>
      <c r="F780" t="s">
        <v>1617</v>
      </c>
      <c r="G780" t="s">
        <v>45</v>
      </c>
      <c r="H780" s="2">
        <v>0.25</v>
      </c>
      <c r="I780" s="2">
        <v>0.25069444444444444</v>
      </c>
      <c r="J780" t="s">
        <v>876</v>
      </c>
      <c r="L780" t="s">
        <v>877</v>
      </c>
      <c r="M780" t="s">
        <v>878</v>
      </c>
      <c r="N780" t="s">
        <v>879</v>
      </c>
      <c r="O780">
        <v>5951689</v>
      </c>
      <c r="P780" t="s">
        <v>249</v>
      </c>
      <c r="Q780" t="s">
        <v>880</v>
      </c>
      <c r="R780" t="s">
        <v>392</v>
      </c>
      <c r="S780" t="s">
        <v>52</v>
      </c>
      <c r="T780" t="s">
        <v>252</v>
      </c>
      <c r="U780">
        <v>890602</v>
      </c>
      <c r="V780" s="3">
        <v>46069.402777777781</v>
      </c>
      <c r="W780" t="s">
        <v>881</v>
      </c>
      <c r="X780" t="s">
        <v>882</v>
      </c>
      <c r="Y780" t="str">
        <f>"0474765680"</f>
        <v>0474765680</v>
      </c>
      <c r="Z780" t="s">
        <v>70</v>
      </c>
      <c r="AA780" s="1">
        <v>46110</v>
      </c>
      <c r="AB780" t="s">
        <v>883</v>
      </c>
      <c r="AD780" t="s">
        <v>397</v>
      </c>
      <c r="AE780" t="s">
        <v>884</v>
      </c>
      <c r="AG780" t="s">
        <v>880</v>
      </c>
      <c r="AI780" t="s">
        <v>59</v>
      </c>
      <c r="AJ780" t="str">
        <f>"0090000061"</f>
        <v>0090000061</v>
      </c>
      <c r="AM780" t="s">
        <v>2911</v>
      </c>
      <c r="AN780" s="3">
        <v>46069.402777777781</v>
      </c>
      <c r="AO780" t="s">
        <v>392</v>
      </c>
    </row>
    <row r="781" spans="1:41" x14ac:dyDescent="0.3">
      <c r="A781" t="s">
        <v>306</v>
      </c>
      <c r="B781" t="s">
        <v>386</v>
      </c>
      <c r="C781" t="s">
        <v>387</v>
      </c>
      <c r="D781" t="s">
        <v>388</v>
      </c>
      <c r="E781" s="1">
        <v>46068</v>
      </c>
      <c r="F781" t="s">
        <v>1617</v>
      </c>
      <c r="G781" t="s">
        <v>45</v>
      </c>
      <c r="H781" s="2">
        <v>0.29166666666666669</v>
      </c>
      <c r="I781" s="2">
        <v>0.625</v>
      </c>
      <c r="J781" t="s">
        <v>389</v>
      </c>
      <c r="L781" t="s">
        <v>298</v>
      </c>
      <c r="M781" t="s">
        <v>195</v>
      </c>
      <c r="N781" t="s">
        <v>390</v>
      </c>
      <c r="O781">
        <v>5951661</v>
      </c>
      <c r="P781" t="s">
        <v>249</v>
      </c>
      <c r="Q781" t="s">
        <v>391</v>
      </c>
      <c r="R781" t="s">
        <v>392</v>
      </c>
      <c r="S781" t="s">
        <v>52</v>
      </c>
      <c r="T781" t="s">
        <v>252</v>
      </c>
      <c r="U781">
        <v>890616</v>
      </c>
      <c r="V781" s="3">
        <v>46069.458333333336</v>
      </c>
      <c r="W781" t="s">
        <v>393</v>
      </c>
      <c r="X781" t="s">
        <v>394</v>
      </c>
      <c r="Y781" t="str">
        <f>"0427371732"</f>
        <v>0427371732</v>
      </c>
      <c r="Z781" t="s">
        <v>1635</v>
      </c>
      <c r="AA781" s="1">
        <v>46141</v>
      </c>
      <c r="AB781" t="s">
        <v>396</v>
      </c>
      <c r="AD781" t="s">
        <v>397</v>
      </c>
      <c r="AE781" t="s">
        <v>398</v>
      </c>
      <c r="AF781">
        <v>7919</v>
      </c>
      <c r="AG781" t="s">
        <v>399</v>
      </c>
      <c r="AI781" t="s">
        <v>59</v>
      </c>
      <c r="AJ781" t="str">
        <f>"0090000067"</f>
        <v>0090000067</v>
      </c>
      <c r="AN781" s="3">
        <v>46069.458333333336</v>
      </c>
      <c r="AO781" t="s">
        <v>392</v>
      </c>
    </row>
    <row r="782" spans="1:41" x14ac:dyDescent="0.3">
      <c r="A782" t="s">
        <v>61</v>
      </c>
      <c r="B782" t="s">
        <v>507</v>
      </c>
      <c r="C782" t="s">
        <v>2182</v>
      </c>
      <c r="D782" t="s">
        <v>63</v>
      </c>
      <c r="E782" s="1">
        <v>46068</v>
      </c>
      <c r="F782" t="s">
        <v>1617</v>
      </c>
      <c r="G782" t="s">
        <v>45</v>
      </c>
      <c r="H782" s="2">
        <v>0.29166666666666669</v>
      </c>
      <c r="I782" s="2">
        <v>0.8125</v>
      </c>
      <c r="J782" t="s">
        <v>590</v>
      </c>
      <c r="L782" t="s">
        <v>487</v>
      </c>
      <c r="M782" t="s">
        <v>1463</v>
      </c>
      <c r="N782" t="s">
        <v>1464</v>
      </c>
      <c r="O782">
        <v>22756</v>
      </c>
      <c r="Q782" t="s">
        <v>1310</v>
      </c>
      <c r="R782" t="s">
        <v>132</v>
      </c>
      <c r="S782" t="s">
        <v>52</v>
      </c>
      <c r="U782">
        <v>890487</v>
      </c>
      <c r="V782" s="3">
        <v>46029.584027777775</v>
      </c>
      <c r="W782" t="s">
        <v>1466</v>
      </c>
      <c r="X782" t="s">
        <v>1467</v>
      </c>
      <c r="Y782" t="str">
        <f>"0416856891"</f>
        <v>0416856891</v>
      </c>
      <c r="Z782" t="s">
        <v>192</v>
      </c>
      <c r="AB782" t="s">
        <v>514</v>
      </c>
      <c r="AD782" t="s">
        <v>61</v>
      </c>
      <c r="AE782" t="s">
        <v>515</v>
      </c>
      <c r="AF782">
        <v>2086</v>
      </c>
      <c r="AG782" t="s">
        <v>516</v>
      </c>
      <c r="AI782" t="s">
        <v>59</v>
      </c>
      <c r="AL782" t="s">
        <v>2869</v>
      </c>
      <c r="AN782" s="3">
        <v>46068.782638888886</v>
      </c>
      <c r="AO782" t="s">
        <v>1466</v>
      </c>
    </row>
    <row r="783" spans="1:41" x14ac:dyDescent="0.3">
      <c r="A783" t="s">
        <v>61</v>
      </c>
      <c r="B783" t="s">
        <v>507</v>
      </c>
      <c r="D783" t="s">
        <v>63</v>
      </c>
      <c r="E783" s="1">
        <v>46068</v>
      </c>
      <c r="F783" t="s">
        <v>1617</v>
      </c>
      <c r="G783" t="s">
        <v>45</v>
      </c>
      <c r="H783" s="2">
        <v>0.29166666666666669</v>
      </c>
      <c r="I783" s="2">
        <v>0.8125</v>
      </c>
      <c r="J783" t="s">
        <v>296</v>
      </c>
      <c r="L783" t="s">
        <v>728</v>
      </c>
      <c r="M783" t="s">
        <v>729</v>
      </c>
      <c r="N783" t="s">
        <v>730</v>
      </c>
      <c r="O783">
        <v>5952035</v>
      </c>
      <c r="Q783" t="s">
        <v>2912</v>
      </c>
      <c r="R783" t="s">
        <v>1248</v>
      </c>
      <c r="S783" t="s">
        <v>52</v>
      </c>
      <c r="U783">
        <v>890485</v>
      </c>
      <c r="V783" s="3">
        <v>46068.231249999997</v>
      </c>
      <c r="W783" t="s">
        <v>732</v>
      </c>
      <c r="X783" t="s">
        <v>733</v>
      </c>
      <c r="Y783" t="str">
        <f>"0498946862"</f>
        <v>0498946862</v>
      </c>
      <c r="Z783" t="s">
        <v>70</v>
      </c>
      <c r="AA783" s="1">
        <v>46068</v>
      </c>
      <c r="AB783" t="s">
        <v>514</v>
      </c>
      <c r="AD783" t="s">
        <v>61</v>
      </c>
      <c r="AE783" t="s">
        <v>515</v>
      </c>
      <c r="AF783">
        <v>2086</v>
      </c>
      <c r="AG783" t="s">
        <v>2912</v>
      </c>
      <c r="AI783" t="s">
        <v>59</v>
      </c>
      <c r="AN783" s="3">
        <v>46068.642361111109</v>
      </c>
      <c r="AO783" t="s">
        <v>732</v>
      </c>
    </row>
    <row r="784" spans="1:41" x14ac:dyDescent="0.3">
      <c r="A784" t="s">
        <v>61</v>
      </c>
      <c r="B784" t="s">
        <v>1079</v>
      </c>
      <c r="C784" t="s">
        <v>484</v>
      </c>
      <c r="D784" t="s">
        <v>63</v>
      </c>
      <c r="E784" s="1">
        <v>46068</v>
      </c>
      <c r="F784" t="s">
        <v>1617</v>
      </c>
      <c r="G784" t="s">
        <v>45</v>
      </c>
      <c r="H784" s="2">
        <v>0.29166666666666669</v>
      </c>
      <c r="I784" s="2">
        <v>0.8125</v>
      </c>
      <c r="J784" t="s">
        <v>486</v>
      </c>
      <c r="L784" t="s">
        <v>487</v>
      </c>
      <c r="M784" t="s">
        <v>2323</v>
      </c>
      <c r="N784" t="s">
        <v>2913</v>
      </c>
      <c r="O784">
        <v>5952343</v>
      </c>
      <c r="Q784" t="s">
        <v>2914</v>
      </c>
      <c r="R784" t="s">
        <v>132</v>
      </c>
      <c r="S784" t="s">
        <v>52</v>
      </c>
      <c r="U784">
        <v>890479</v>
      </c>
      <c r="V784" s="3">
        <v>46065.511111111111</v>
      </c>
      <c r="W784" t="s">
        <v>2915</v>
      </c>
      <c r="X784" t="s">
        <v>2916</v>
      </c>
      <c r="Y784" t="str">
        <f>"0416096368"</f>
        <v>0416096368</v>
      </c>
      <c r="Z784" t="s">
        <v>55</v>
      </c>
      <c r="AA784" s="1">
        <v>46068</v>
      </c>
      <c r="AB784" t="s">
        <v>1085</v>
      </c>
      <c r="AD784" t="s">
        <v>61</v>
      </c>
      <c r="AE784" t="s">
        <v>1086</v>
      </c>
      <c r="AF784">
        <v>2031</v>
      </c>
      <c r="AG784" t="s">
        <v>2914</v>
      </c>
      <c r="AI784" t="s">
        <v>59</v>
      </c>
      <c r="AL784" t="s">
        <v>2869</v>
      </c>
      <c r="AN784" s="3">
        <v>46068.606249999997</v>
      </c>
      <c r="AO784" t="s">
        <v>2915</v>
      </c>
    </row>
    <row r="785" spans="1:41" x14ac:dyDescent="0.3">
      <c r="A785" t="s">
        <v>306</v>
      </c>
      <c r="B785" t="s">
        <v>1334</v>
      </c>
      <c r="C785" t="s">
        <v>2877</v>
      </c>
      <c r="D785" t="s">
        <v>1336</v>
      </c>
      <c r="E785" s="1">
        <v>46068</v>
      </c>
      <c r="F785" t="s">
        <v>1617</v>
      </c>
      <c r="G785" t="s">
        <v>128</v>
      </c>
      <c r="H785" s="2">
        <v>0.58333333333333337</v>
      </c>
      <c r="I785" s="2">
        <v>0.91666666666666663</v>
      </c>
      <c r="J785" t="s">
        <v>296</v>
      </c>
      <c r="L785" t="s">
        <v>1260</v>
      </c>
      <c r="M785" t="s">
        <v>239</v>
      </c>
      <c r="N785" t="s">
        <v>1261</v>
      </c>
      <c r="O785">
        <v>5952100</v>
      </c>
      <c r="Q785" t="s">
        <v>413</v>
      </c>
      <c r="R785" t="s">
        <v>1248</v>
      </c>
      <c r="S785" t="s">
        <v>52</v>
      </c>
      <c r="U785">
        <v>890491</v>
      </c>
      <c r="V785" s="3">
        <v>46068.285416666666</v>
      </c>
      <c r="W785" t="s">
        <v>1262</v>
      </c>
      <c r="X785" t="s">
        <v>1263</v>
      </c>
      <c r="Y785" t="str">
        <f>"0420517034"</f>
        <v>0420517034</v>
      </c>
      <c r="Z785" t="s">
        <v>70</v>
      </c>
      <c r="AB785" t="s">
        <v>1342</v>
      </c>
      <c r="AD785" t="s">
        <v>306</v>
      </c>
      <c r="AE785" t="s">
        <v>1343</v>
      </c>
      <c r="AF785">
        <v>3144</v>
      </c>
      <c r="AG785" t="s">
        <v>413</v>
      </c>
      <c r="AI785" t="s">
        <v>59</v>
      </c>
      <c r="AL785" t="s">
        <v>2917</v>
      </c>
      <c r="AN785" s="3">
        <v>46068.918749999997</v>
      </c>
      <c r="AO785" t="s">
        <v>1262</v>
      </c>
    </row>
    <row r="786" spans="1:41" x14ac:dyDescent="0.3">
      <c r="A786" t="s">
        <v>306</v>
      </c>
      <c r="B786" t="s">
        <v>699</v>
      </c>
      <c r="C786" t="s">
        <v>2918</v>
      </c>
      <c r="D786" t="s">
        <v>700</v>
      </c>
      <c r="E786" s="1">
        <v>46068</v>
      </c>
      <c r="F786" t="s">
        <v>1617</v>
      </c>
      <c r="G786" t="s">
        <v>128</v>
      </c>
      <c r="H786" s="2">
        <v>0.60416666666666663</v>
      </c>
      <c r="I786" s="2">
        <v>0.9375</v>
      </c>
      <c r="J786" t="s">
        <v>2919</v>
      </c>
      <c r="L786" t="s">
        <v>1628</v>
      </c>
      <c r="M786" t="s">
        <v>1629</v>
      </c>
      <c r="N786" t="s">
        <v>1630</v>
      </c>
      <c r="O786">
        <v>22952</v>
      </c>
      <c r="Q786" t="s">
        <v>413</v>
      </c>
      <c r="R786" t="s">
        <v>1248</v>
      </c>
      <c r="S786" t="s">
        <v>119</v>
      </c>
      <c r="T786" t="s">
        <v>414</v>
      </c>
      <c r="U786">
        <v>890742</v>
      </c>
      <c r="V786" s="3">
        <v>46067.492361111108</v>
      </c>
      <c r="W786" t="s">
        <v>1631</v>
      </c>
      <c r="X786" t="s">
        <v>1632</v>
      </c>
      <c r="Y786" t="str">
        <f>"0452663217"</f>
        <v>0452663217</v>
      </c>
      <c r="Z786" t="s">
        <v>70</v>
      </c>
      <c r="AB786" t="s">
        <v>708</v>
      </c>
      <c r="AD786" t="s">
        <v>306</v>
      </c>
      <c r="AE786" t="s">
        <v>709</v>
      </c>
      <c r="AF786">
        <v>3806</v>
      </c>
      <c r="AI786" t="s">
        <v>59</v>
      </c>
      <c r="AL786" t="s">
        <v>1068</v>
      </c>
      <c r="AM786" t="s">
        <v>2920</v>
      </c>
      <c r="AN786" s="3">
        <v>46067.495138888888</v>
      </c>
      <c r="AO786" t="s">
        <v>1248</v>
      </c>
    </row>
    <row r="787" spans="1:41" x14ac:dyDescent="0.3">
      <c r="A787" t="s">
        <v>41</v>
      </c>
      <c r="B787" t="s">
        <v>589</v>
      </c>
      <c r="C787" t="s">
        <v>590</v>
      </c>
      <c r="D787" t="s">
        <v>246</v>
      </c>
      <c r="E787" s="1">
        <v>46068</v>
      </c>
      <c r="F787" t="s">
        <v>1617</v>
      </c>
      <c r="G787" t="s">
        <v>128</v>
      </c>
      <c r="H787" s="2">
        <v>0.60416666666666663</v>
      </c>
      <c r="I787" s="2">
        <v>0.95833333333333337</v>
      </c>
      <c r="J787" t="s">
        <v>591</v>
      </c>
      <c r="L787" t="s">
        <v>592</v>
      </c>
      <c r="M787" t="s">
        <v>593</v>
      </c>
      <c r="N787" t="s">
        <v>594</v>
      </c>
      <c r="O787">
        <v>5952427</v>
      </c>
      <c r="P787" t="s">
        <v>249</v>
      </c>
      <c r="Q787" t="s">
        <v>596</v>
      </c>
      <c r="R787" t="s">
        <v>392</v>
      </c>
      <c r="S787" t="s">
        <v>52</v>
      </c>
      <c r="T787" t="s">
        <v>252</v>
      </c>
      <c r="U787">
        <v>890776</v>
      </c>
      <c r="V787" s="3">
        <v>46070.618055555555</v>
      </c>
      <c r="W787" t="s">
        <v>597</v>
      </c>
      <c r="X787" t="s">
        <v>598</v>
      </c>
      <c r="Y787" t="str">
        <f>"0432677728"</f>
        <v>0432677728</v>
      </c>
      <c r="Z787" t="s">
        <v>375</v>
      </c>
      <c r="AA787" s="1">
        <v>46082</v>
      </c>
      <c r="AB787" t="s">
        <v>599</v>
      </c>
      <c r="AC787" t="s">
        <v>600</v>
      </c>
      <c r="AD787" t="s">
        <v>41</v>
      </c>
      <c r="AE787" t="s">
        <v>600</v>
      </c>
      <c r="AF787">
        <v>4610</v>
      </c>
      <c r="AG787" t="s">
        <v>601</v>
      </c>
      <c r="AI787" t="s">
        <v>59</v>
      </c>
      <c r="AJ787" t="str">
        <f>"0050075752"</f>
        <v>0050075752</v>
      </c>
      <c r="AN787" s="3">
        <v>46070.618055555555</v>
      </c>
      <c r="AO787" t="s">
        <v>392</v>
      </c>
    </row>
    <row r="788" spans="1:41" x14ac:dyDescent="0.3">
      <c r="A788" t="s">
        <v>61</v>
      </c>
      <c r="B788" t="s">
        <v>182</v>
      </c>
      <c r="C788" t="s">
        <v>484</v>
      </c>
      <c r="D788" t="s">
        <v>184</v>
      </c>
      <c r="E788" s="1">
        <v>46068</v>
      </c>
      <c r="F788" t="s">
        <v>1617</v>
      </c>
      <c r="G788" t="s">
        <v>485</v>
      </c>
      <c r="H788" s="2">
        <v>0.77083333333333337</v>
      </c>
      <c r="I788" s="2">
        <v>0.29166666666666669</v>
      </c>
      <c r="J788" t="s">
        <v>590</v>
      </c>
      <c r="L788" t="s">
        <v>487</v>
      </c>
      <c r="M788" t="s">
        <v>488</v>
      </c>
      <c r="N788" t="s">
        <v>489</v>
      </c>
      <c r="O788">
        <v>5951809</v>
      </c>
      <c r="Q788" t="s">
        <v>490</v>
      </c>
      <c r="R788" t="s">
        <v>67</v>
      </c>
      <c r="S788" t="s">
        <v>52</v>
      </c>
      <c r="U788">
        <v>890508</v>
      </c>
      <c r="V788" s="3">
        <v>46051.534722222219</v>
      </c>
      <c r="W788" t="s">
        <v>491</v>
      </c>
      <c r="X788" t="s">
        <v>492</v>
      </c>
      <c r="Y788" t="str">
        <f>"0431000508"</f>
        <v>0431000508</v>
      </c>
      <c r="Z788" t="s">
        <v>1609</v>
      </c>
      <c r="AB788" t="s">
        <v>193</v>
      </c>
      <c r="AD788" t="s">
        <v>61</v>
      </c>
      <c r="AE788" t="s">
        <v>194</v>
      </c>
      <c r="AF788">
        <v>2229</v>
      </c>
      <c r="AG788" t="s">
        <v>129</v>
      </c>
      <c r="AI788" t="s">
        <v>59</v>
      </c>
      <c r="AL788" t="s">
        <v>2869</v>
      </c>
      <c r="AN788" s="3">
        <v>46069.286805555559</v>
      </c>
      <c r="AO788" t="s">
        <v>491</v>
      </c>
    </row>
    <row r="789" spans="1:41" x14ac:dyDescent="0.3">
      <c r="A789" t="s">
        <v>61</v>
      </c>
      <c r="B789" t="s">
        <v>507</v>
      </c>
      <c r="C789" t="s">
        <v>2889</v>
      </c>
      <c r="D789" t="s">
        <v>63</v>
      </c>
      <c r="E789" s="1">
        <v>46068</v>
      </c>
      <c r="F789" t="s">
        <v>1617</v>
      </c>
      <c r="G789" t="s">
        <v>485</v>
      </c>
      <c r="H789" s="2">
        <v>0.79166666666666663</v>
      </c>
      <c r="I789" s="2">
        <v>0.3125</v>
      </c>
      <c r="J789" t="s">
        <v>269</v>
      </c>
      <c r="L789" t="s">
        <v>1169</v>
      </c>
      <c r="M789" t="s">
        <v>2921</v>
      </c>
      <c r="N789" t="s">
        <v>2922</v>
      </c>
      <c r="O789">
        <v>5952135</v>
      </c>
      <c r="Q789" t="s">
        <v>516</v>
      </c>
      <c r="R789" t="s">
        <v>132</v>
      </c>
      <c r="S789" t="s">
        <v>52</v>
      </c>
      <c r="U789">
        <v>890506</v>
      </c>
      <c r="V789" s="3">
        <v>46058.374305555553</v>
      </c>
      <c r="W789" t="s">
        <v>2923</v>
      </c>
      <c r="X789" t="s">
        <v>2924</v>
      </c>
      <c r="Y789" t="str">
        <f>"0413222098"</f>
        <v>0413222098</v>
      </c>
      <c r="Z789" t="s">
        <v>846</v>
      </c>
      <c r="AB789" t="s">
        <v>514</v>
      </c>
      <c r="AD789" t="s">
        <v>61</v>
      </c>
      <c r="AE789" t="s">
        <v>515</v>
      </c>
      <c r="AF789">
        <v>2086</v>
      </c>
      <c r="AG789" t="s">
        <v>2895</v>
      </c>
      <c r="AI789" t="s">
        <v>59</v>
      </c>
      <c r="AL789" t="s">
        <v>2869</v>
      </c>
      <c r="AN789" s="3">
        <v>46069.262499999997</v>
      </c>
      <c r="AO789" t="s">
        <v>2923</v>
      </c>
    </row>
    <row r="790" spans="1:41" x14ac:dyDescent="0.3">
      <c r="A790" t="s">
        <v>306</v>
      </c>
      <c r="B790" t="s">
        <v>1435</v>
      </c>
      <c r="C790" t="s">
        <v>2925</v>
      </c>
      <c r="D790" t="s">
        <v>1436</v>
      </c>
      <c r="E790" s="1">
        <v>46068</v>
      </c>
      <c r="F790" t="s">
        <v>1617</v>
      </c>
      <c r="G790" t="s">
        <v>485</v>
      </c>
      <c r="H790" s="2">
        <v>0.79166666666666663</v>
      </c>
      <c r="I790" s="2">
        <v>0.3125</v>
      </c>
      <c r="J790" t="s">
        <v>296</v>
      </c>
      <c r="L790" t="s">
        <v>310</v>
      </c>
      <c r="M790" t="s">
        <v>311</v>
      </c>
      <c r="N790" t="s">
        <v>312</v>
      </c>
      <c r="O790">
        <v>5952174</v>
      </c>
      <c r="Q790" t="s">
        <v>413</v>
      </c>
      <c r="R790" t="s">
        <v>1248</v>
      </c>
      <c r="S790" t="s">
        <v>52</v>
      </c>
      <c r="U790">
        <v>890563</v>
      </c>
      <c r="V790" s="3">
        <v>46068.436805555553</v>
      </c>
      <c r="W790" t="s">
        <v>315</v>
      </c>
      <c r="X790" t="s">
        <v>316</v>
      </c>
      <c r="Y790" t="str">
        <f>"0452621529"</f>
        <v>0452621529</v>
      </c>
      <c r="Z790" t="s">
        <v>70</v>
      </c>
      <c r="AB790" t="s">
        <v>1438</v>
      </c>
      <c r="AD790" t="s">
        <v>306</v>
      </c>
      <c r="AE790" t="s">
        <v>1439</v>
      </c>
      <c r="AF790">
        <v>3128</v>
      </c>
      <c r="AG790" t="s">
        <v>413</v>
      </c>
      <c r="AI790" t="s">
        <v>59</v>
      </c>
      <c r="AL790" t="s">
        <v>87</v>
      </c>
      <c r="AN790" s="3">
        <v>46069.317361111112</v>
      </c>
      <c r="AO790" t="s">
        <v>315</v>
      </c>
    </row>
    <row r="791" spans="1:41" x14ac:dyDescent="0.3">
      <c r="A791" t="s">
        <v>61</v>
      </c>
      <c r="B791" t="s">
        <v>507</v>
      </c>
      <c r="D791" t="s">
        <v>63</v>
      </c>
      <c r="E791" s="1">
        <v>46068</v>
      </c>
      <c r="F791" t="s">
        <v>1617</v>
      </c>
      <c r="G791" t="s">
        <v>485</v>
      </c>
      <c r="H791" s="2">
        <v>0.79166666666666663</v>
      </c>
      <c r="I791" s="2">
        <v>0.3125</v>
      </c>
      <c r="J791" t="s">
        <v>296</v>
      </c>
      <c r="L791" t="s">
        <v>298</v>
      </c>
      <c r="M791" t="s">
        <v>508</v>
      </c>
      <c r="N791" t="s">
        <v>509</v>
      </c>
      <c r="O791">
        <v>22014</v>
      </c>
      <c r="Q791" t="s">
        <v>731</v>
      </c>
      <c r="R791" t="s">
        <v>67</v>
      </c>
      <c r="S791" t="s">
        <v>52</v>
      </c>
      <c r="U791">
        <v>890531</v>
      </c>
      <c r="V791" s="3">
        <v>46056.451388888891</v>
      </c>
      <c r="W791" t="s">
        <v>511</v>
      </c>
      <c r="X791" t="s">
        <v>512</v>
      </c>
      <c r="Y791" t="str">
        <f>"0430326260"</f>
        <v>0430326260</v>
      </c>
      <c r="Z791" t="s">
        <v>2926</v>
      </c>
      <c r="AB791" t="s">
        <v>514</v>
      </c>
      <c r="AD791" t="s">
        <v>61</v>
      </c>
      <c r="AE791" t="s">
        <v>515</v>
      </c>
      <c r="AF791">
        <v>2086</v>
      </c>
      <c r="AG791" t="s">
        <v>73</v>
      </c>
      <c r="AI791" t="s">
        <v>59</v>
      </c>
      <c r="AL791" t="s">
        <v>2869</v>
      </c>
      <c r="AN791" s="3">
        <v>46069.310416666667</v>
      </c>
      <c r="AO791" t="s">
        <v>511</v>
      </c>
    </row>
    <row r="792" spans="1:41" x14ac:dyDescent="0.3">
      <c r="A792" t="s">
        <v>61</v>
      </c>
      <c r="B792" t="s">
        <v>1462</v>
      </c>
      <c r="C792" t="s">
        <v>296</v>
      </c>
      <c r="D792" t="s">
        <v>90</v>
      </c>
      <c r="E792" s="1">
        <v>46068</v>
      </c>
      <c r="F792" t="s">
        <v>1617</v>
      </c>
      <c r="G792" t="s">
        <v>485</v>
      </c>
      <c r="H792" s="2">
        <v>0.8125</v>
      </c>
      <c r="I792" s="2">
        <v>0.29166666666666669</v>
      </c>
      <c r="J792" t="s">
        <v>464</v>
      </c>
      <c r="L792" t="s">
        <v>464</v>
      </c>
      <c r="M792" t="s">
        <v>2431</v>
      </c>
      <c r="N792" t="s">
        <v>2432</v>
      </c>
      <c r="O792">
        <v>21966</v>
      </c>
      <c r="Q792" t="s">
        <v>541</v>
      </c>
      <c r="R792" t="s">
        <v>67</v>
      </c>
      <c r="S792" t="s">
        <v>52</v>
      </c>
      <c r="U792">
        <v>890510</v>
      </c>
      <c r="V792" s="3">
        <v>46066.515277777777</v>
      </c>
      <c r="W792" t="s">
        <v>2433</v>
      </c>
      <c r="X792" t="s">
        <v>2434</v>
      </c>
      <c r="Y792" t="str">
        <f>"0498795565"</f>
        <v>0498795565</v>
      </c>
      <c r="Z792" t="s">
        <v>70</v>
      </c>
      <c r="AA792" s="1">
        <v>46068</v>
      </c>
      <c r="AB792" t="s">
        <v>1468</v>
      </c>
      <c r="AD792" t="s">
        <v>61</v>
      </c>
      <c r="AE792" t="s">
        <v>1469</v>
      </c>
      <c r="AF792">
        <v>2060</v>
      </c>
      <c r="AG792" t="s">
        <v>541</v>
      </c>
      <c r="AI792" t="s">
        <v>59</v>
      </c>
      <c r="AL792" t="s">
        <v>2869</v>
      </c>
      <c r="AN792" s="3">
        <v>46069.291666666664</v>
      </c>
      <c r="AO792" t="s">
        <v>2433</v>
      </c>
    </row>
    <row r="793" spans="1:41" x14ac:dyDescent="0.3">
      <c r="A793" t="s">
        <v>168</v>
      </c>
      <c r="B793" t="s">
        <v>266</v>
      </c>
      <c r="C793" t="s">
        <v>267</v>
      </c>
      <c r="D793" t="s">
        <v>268</v>
      </c>
      <c r="E793" s="1">
        <v>46068</v>
      </c>
      <c r="F793" t="s">
        <v>1617</v>
      </c>
      <c r="G793" t="s">
        <v>485</v>
      </c>
      <c r="H793" s="2">
        <v>0.875</v>
      </c>
      <c r="I793" s="2">
        <v>0.3125</v>
      </c>
      <c r="J793" t="s">
        <v>269</v>
      </c>
      <c r="K793" t="s">
        <v>270</v>
      </c>
      <c r="L793" t="s">
        <v>47</v>
      </c>
      <c r="M793" t="s">
        <v>517</v>
      </c>
      <c r="N793" t="s">
        <v>518</v>
      </c>
      <c r="O793">
        <v>5951368</v>
      </c>
      <c r="Q793" t="s">
        <v>274</v>
      </c>
      <c r="R793" t="s">
        <v>176</v>
      </c>
      <c r="S793" t="s">
        <v>52</v>
      </c>
      <c r="U793">
        <v>890574</v>
      </c>
      <c r="V793" s="3">
        <v>45993.45208333333</v>
      </c>
      <c r="W793" t="s">
        <v>519</v>
      </c>
      <c r="X793" t="s">
        <v>520</v>
      </c>
      <c r="Y793" t="str">
        <f>"0420208072"</f>
        <v>0420208072</v>
      </c>
      <c r="Z793" t="s">
        <v>2927</v>
      </c>
      <c r="AB793" t="s">
        <v>277</v>
      </c>
      <c r="AC793" t="s">
        <v>278</v>
      </c>
      <c r="AD793" t="s">
        <v>168</v>
      </c>
      <c r="AE793" t="s">
        <v>279</v>
      </c>
      <c r="AF793">
        <v>5092</v>
      </c>
      <c r="AG793" t="s">
        <v>274</v>
      </c>
      <c r="AI793" t="s">
        <v>59</v>
      </c>
      <c r="AL793" t="s">
        <v>2928</v>
      </c>
      <c r="AM793" t="s">
        <v>281</v>
      </c>
      <c r="AN793" s="3">
        <v>46069.331250000003</v>
      </c>
      <c r="AO793" t="s">
        <v>519</v>
      </c>
    </row>
    <row r="794" spans="1:41" x14ac:dyDescent="0.3">
      <c r="A794" t="s">
        <v>41</v>
      </c>
      <c r="B794" t="s">
        <v>1452</v>
      </c>
      <c r="D794" t="s">
        <v>246</v>
      </c>
      <c r="E794" s="1">
        <v>46068</v>
      </c>
      <c r="F794" t="s">
        <v>1617</v>
      </c>
      <c r="G794" t="s">
        <v>485</v>
      </c>
      <c r="H794" s="2">
        <v>0.875</v>
      </c>
      <c r="I794" s="2">
        <v>0.3125</v>
      </c>
      <c r="J794" t="s">
        <v>296</v>
      </c>
      <c r="L794" t="s">
        <v>1453</v>
      </c>
      <c r="M794" t="s">
        <v>1454</v>
      </c>
      <c r="N794" t="s">
        <v>1455</v>
      </c>
      <c r="O794">
        <v>5951941</v>
      </c>
      <c r="Q794" t="s">
        <v>1456</v>
      </c>
      <c r="R794" t="s">
        <v>573</v>
      </c>
      <c r="S794" t="s">
        <v>52</v>
      </c>
      <c r="T794" t="s">
        <v>252</v>
      </c>
      <c r="U794">
        <v>890654</v>
      </c>
      <c r="V794" s="3">
        <v>46069.638888888891</v>
      </c>
      <c r="W794" t="s">
        <v>1457</v>
      </c>
      <c r="X794" t="s">
        <v>1458</v>
      </c>
      <c r="Y794" t="str">
        <f>"0413847722"</f>
        <v>0413847722</v>
      </c>
      <c r="Z794" t="s">
        <v>375</v>
      </c>
      <c r="AA794" s="1">
        <v>46097</v>
      </c>
      <c r="AB794" t="s">
        <v>1459</v>
      </c>
      <c r="AD794" t="s">
        <v>41</v>
      </c>
      <c r="AE794" t="s">
        <v>1460</v>
      </c>
      <c r="AF794">
        <v>4740</v>
      </c>
      <c r="AG794" t="s">
        <v>1456</v>
      </c>
      <c r="AI794" t="s">
        <v>59</v>
      </c>
      <c r="AJ794" t="str">
        <f>"0050076628"</f>
        <v>0050076628</v>
      </c>
      <c r="AN794" s="3">
        <v>46069.638888888891</v>
      </c>
      <c r="AO794" t="s">
        <v>573</v>
      </c>
    </row>
    <row r="795" spans="1:41" x14ac:dyDescent="0.3">
      <c r="A795" t="s">
        <v>168</v>
      </c>
      <c r="B795" t="s">
        <v>266</v>
      </c>
      <c r="D795" t="s">
        <v>268</v>
      </c>
      <c r="E795" s="1">
        <v>46068</v>
      </c>
      <c r="F795" t="s">
        <v>1617</v>
      </c>
      <c r="G795" t="s">
        <v>485</v>
      </c>
      <c r="H795" s="2">
        <v>0.875</v>
      </c>
      <c r="I795" s="2">
        <v>0.3125</v>
      </c>
      <c r="J795" t="s">
        <v>296</v>
      </c>
      <c r="K795" t="s">
        <v>297</v>
      </c>
      <c r="L795" t="s">
        <v>47</v>
      </c>
      <c r="M795" t="s">
        <v>2028</v>
      </c>
      <c r="N795" t="s">
        <v>2029</v>
      </c>
      <c r="O795">
        <v>22243</v>
      </c>
      <c r="Q795" t="s">
        <v>274</v>
      </c>
      <c r="R795" t="s">
        <v>176</v>
      </c>
      <c r="S795" t="s">
        <v>52</v>
      </c>
      <c r="U795">
        <v>890576</v>
      </c>
      <c r="V795" s="3">
        <v>45993.595138888886</v>
      </c>
      <c r="W795" t="s">
        <v>2030</v>
      </c>
      <c r="X795" t="s">
        <v>2031</v>
      </c>
      <c r="Y795" t="str">
        <f>"0425554764"</f>
        <v>0425554764</v>
      </c>
      <c r="Z795" t="s">
        <v>70</v>
      </c>
      <c r="AB795" t="s">
        <v>277</v>
      </c>
      <c r="AC795" t="s">
        <v>278</v>
      </c>
      <c r="AD795" t="s">
        <v>168</v>
      </c>
      <c r="AE795" t="s">
        <v>279</v>
      </c>
      <c r="AF795">
        <v>5092</v>
      </c>
      <c r="AG795" t="s">
        <v>274</v>
      </c>
      <c r="AI795" t="s">
        <v>59</v>
      </c>
      <c r="AL795" t="s">
        <v>2928</v>
      </c>
      <c r="AM795" t="s">
        <v>281</v>
      </c>
      <c r="AN795" s="3">
        <v>46069.332638888889</v>
      </c>
      <c r="AO795" t="s">
        <v>2030</v>
      </c>
    </row>
    <row r="796" spans="1:41" x14ac:dyDescent="0.3">
      <c r="A796" t="s">
        <v>61</v>
      </c>
      <c r="B796" t="s">
        <v>1462</v>
      </c>
      <c r="C796" t="s">
        <v>296</v>
      </c>
      <c r="D796" t="s">
        <v>90</v>
      </c>
      <c r="E796" s="1">
        <v>46068</v>
      </c>
      <c r="F796" t="s">
        <v>1617</v>
      </c>
      <c r="G796" t="s">
        <v>485</v>
      </c>
      <c r="H796" s="2">
        <v>0.89583333333333337</v>
      </c>
      <c r="I796" s="2">
        <v>0.3125</v>
      </c>
      <c r="J796" t="s">
        <v>296</v>
      </c>
      <c r="L796" t="s">
        <v>2114</v>
      </c>
      <c r="M796" t="s">
        <v>2929</v>
      </c>
      <c r="N796" t="s">
        <v>2930</v>
      </c>
      <c r="O796">
        <v>5950763</v>
      </c>
      <c r="Q796" t="s">
        <v>541</v>
      </c>
      <c r="R796" t="s">
        <v>132</v>
      </c>
      <c r="S796" t="s">
        <v>52</v>
      </c>
      <c r="U796">
        <v>890507</v>
      </c>
      <c r="V796" s="3">
        <v>46066.431944444441</v>
      </c>
      <c r="W796" t="s">
        <v>2931</v>
      </c>
      <c r="X796" t="s">
        <v>2932</v>
      </c>
      <c r="Y796" t="str">
        <f>"0406800364"</f>
        <v>0406800364</v>
      </c>
      <c r="Z796" t="s">
        <v>947</v>
      </c>
      <c r="AB796" t="s">
        <v>1468</v>
      </c>
      <c r="AD796" t="s">
        <v>61</v>
      </c>
      <c r="AE796" t="s">
        <v>1469</v>
      </c>
      <c r="AF796">
        <v>2060</v>
      </c>
      <c r="AG796" t="s">
        <v>541</v>
      </c>
      <c r="AI796" t="s">
        <v>59</v>
      </c>
      <c r="AL796" t="s">
        <v>2933</v>
      </c>
      <c r="AN796" s="3">
        <v>46069.282638888886</v>
      </c>
      <c r="AO796" t="s">
        <v>2931</v>
      </c>
    </row>
    <row r="797" spans="1:41" x14ac:dyDescent="0.3">
      <c r="A797" t="s">
        <v>61</v>
      </c>
      <c r="B797" t="s">
        <v>1937</v>
      </c>
      <c r="C797" t="s">
        <v>1627</v>
      </c>
      <c r="D797" t="s">
        <v>184</v>
      </c>
      <c r="E797" s="1">
        <v>46068</v>
      </c>
      <c r="F797" t="s">
        <v>1617</v>
      </c>
      <c r="G797" t="s">
        <v>485</v>
      </c>
      <c r="H797" s="2">
        <v>0.89583333333333337</v>
      </c>
      <c r="I797" s="2">
        <v>0.3125</v>
      </c>
      <c r="J797" t="s">
        <v>486</v>
      </c>
      <c r="L797" t="s">
        <v>2436</v>
      </c>
      <c r="M797" t="s">
        <v>1987</v>
      </c>
      <c r="N797" t="s">
        <v>2437</v>
      </c>
      <c r="O797">
        <v>5952336</v>
      </c>
      <c r="Q797" t="s">
        <v>2934</v>
      </c>
      <c r="R797" t="s">
        <v>500</v>
      </c>
      <c r="S797" t="s">
        <v>52</v>
      </c>
      <c r="U797">
        <v>890505</v>
      </c>
      <c r="V797" s="3">
        <v>46068.533333333333</v>
      </c>
      <c r="W797" t="s">
        <v>2439</v>
      </c>
      <c r="X797" t="s">
        <v>2440</v>
      </c>
      <c r="Y797" t="str">
        <f>"0450594540"</f>
        <v>0450594540</v>
      </c>
      <c r="Z797" t="s">
        <v>70</v>
      </c>
      <c r="AA797" s="1">
        <v>46068</v>
      </c>
      <c r="AB797" t="s">
        <v>1942</v>
      </c>
      <c r="AD797" t="s">
        <v>61</v>
      </c>
      <c r="AE797" t="s">
        <v>1943</v>
      </c>
      <c r="AF797">
        <v>2065</v>
      </c>
      <c r="AG797" t="s">
        <v>2935</v>
      </c>
      <c r="AI797" t="s">
        <v>59</v>
      </c>
      <c r="AL797" t="s">
        <v>2936</v>
      </c>
      <c r="AN797" s="3">
        <v>46069.253472222219</v>
      </c>
      <c r="AO797" t="s">
        <v>2439</v>
      </c>
    </row>
    <row r="798" spans="1:41" x14ac:dyDescent="0.3">
      <c r="A798" t="s">
        <v>306</v>
      </c>
      <c r="B798" t="s">
        <v>1435</v>
      </c>
      <c r="C798" t="s">
        <v>2332</v>
      </c>
      <c r="D798" t="s">
        <v>1436</v>
      </c>
      <c r="E798" s="1">
        <v>46068</v>
      </c>
      <c r="F798" t="s">
        <v>1617</v>
      </c>
      <c r="G798" t="s">
        <v>485</v>
      </c>
      <c r="H798" s="2">
        <v>0.89583333333333337</v>
      </c>
      <c r="I798" s="2">
        <v>0.3125</v>
      </c>
      <c r="J798" t="s">
        <v>296</v>
      </c>
      <c r="K798" t="s">
        <v>624</v>
      </c>
      <c r="L798" t="s">
        <v>1337</v>
      </c>
      <c r="M798" t="s">
        <v>1338</v>
      </c>
      <c r="N798" t="s">
        <v>1339</v>
      </c>
      <c r="O798">
        <v>20818</v>
      </c>
      <c r="Q798" t="s">
        <v>705</v>
      </c>
      <c r="R798" t="s">
        <v>500</v>
      </c>
      <c r="S798" t="s">
        <v>52</v>
      </c>
      <c r="U798">
        <v>890513</v>
      </c>
      <c r="V798" s="3">
        <v>46068.630555555559</v>
      </c>
      <c r="W798" t="s">
        <v>1340</v>
      </c>
      <c r="X798" t="s">
        <v>1341</v>
      </c>
      <c r="Y798" t="str">
        <f>"0449240065"</f>
        <v>0449240065</v>
      </c>
      <c r="Z798" t="s">
        <v>70</v>
      </c>
      <c r="AA798" s="1">
        <v>46068</v>
      </c>
      <c r="AB798" t="s">
        <v>1438</v>
      </c>
      <c r="AD798" t="s">
        <v>306</v>
      </c>
      <c r="AE798" t="s">
        <v>1439</v>
      </c>
      <c r="AF798">
        <v>3128</v>
      </c>
      <c r="AG798" t="s">
        <v>2937</v>
      </c>
      <c r="AI798" t="s">
        <v>59</v>
      </c>
      <c r="AL798" t="s">
        <v>2938</v>
      </c>
      <c r="AN798" s="3">
        <v>46069.296527777777</v>
      </c>
      <c r="AO798" t="s">
        <v>1340</v>
      </c>
    </row>
    <row r="799" spans="1:41" x14ac:dyDescent="0.3">
      <c r="A799" t="s">
        <v>41</v>
      </c>
      <c r="B799" t="s">
        <v>1284</v>
      </c>
      <c r="C799" t="s">
        <v>296</v>
      </c>
      <c r="D799" t="s">
        <v>1286</v>
      </c>
      <c r="E799" s="1">
        <v>46068</v>
      </c>
      <c r="F799" t="s">
        <v>1617</v>
      </c>
      <c r="G799" t="s">
        <v>485</v>
      </c>
      <c r="H799" s="2">
        <v>0.90625</v>
      </c>
      <c r="I799" s="2">
        <v>0.30208333333333331</v>
      </c>
      <c r="J799" t="s">
        <v>296</v>
      </c>
      <c r="K799" t="s">
        <v>750</v>
      </c>
      <c r="L799" t="s">
        <v>633</v>
      </c>
      <c r="M799" t="s">
        <v>2084</v>
      </c>
      <c r="N799" t="s">
        <v>2939</v>
      </c>
      <c r="O799">
        <v>5950726</v>
      </c>
      <c r="Q799" t="s">
        <v>2940</v>
      </c>
      <c r="R799" t="s">
        <v>208</v>
      </c>
      <c r="S799" t="s">
        <v>52</v>
      </c>
      <c r="U799">
        <v>890570</v>
      </c>
      <c r="V799" s="3">
        <v>46067.656944444447</v>
      </c>
      <c r="W799" t="s">
        <v>2941</v>
      </c>
      <c r="X799" t="s">
        <v>2942</v>
      </c>
      <c r="Y799" t="str">
        <f>"0478152288"</f>
        <v>0478152288</v>
      </c>
      <c r="Z799" t="s">
        <v>70</v>
      </c>
      <c r="AA799" s="1">
        <v>46068</v>
      </c>
      <c r="AB799" t="s">
        <v>1288</v>
      </c>
      <c r="AD799" t="s">
        <v>41</v>
      </c>
      <c r="AE799" t="s">
        <v>150</v>
      </c>
      <c r="AF799">
        <v>4000</v>
      </c>
      <c r="AG799" t="s">
        <v>2943</v>
      </c>
      <c r="AI799" t="s">
        <v>59</v>
      </c>
      <c r="AL799" t="s">
        <v>2944</v>
      </c>
      <c r="AN799" s="3">
        <v>46069.320138888892</v>
      </c>
      <c r="AO799" t="s">
        <v>2941</v>
      </c>
    </row>
    <row r="800" spans="1:41" x14ac:dyDescent="0.3">
      <c r="A800" t="s">
        <v>306</v>
      </c>
      <c r="B800" t="s">
        <v>2411</v>
      </c>
      <c r="C800" t="s">
        <v>1354</v>
      </c>
      <c r="D800" t="s">
        <v>184</v>
      </c>
      <c r="E800" s="1">
        <v>46068</v>
      </c>
      <c r="F800" t="s">
        <v>1617</v>
      </c>
      <c r="G800" t="s">
        <v>485</v>
      </c>
      <c r="H800" s="2">
        <v>0.91666666666666663</v>
      </c>
      <c r="I800" s="2">
        <v>0.3125</v>
      </c>
      <c r="J800" t="s">
        <v>1355</v>
      </c>
      <c r="L800" t="s">
        <v>735</v>
      </c>
      <c r="M800" t="s">
        <v>1651</v>
      </c>
      <c r="N800" t="s">
        <v>1652</v>
      </c>
      <c r="O800">
        <v>20581</v>
      </c>
      <c r="Q800" t="s">
        <v>705</v>
      </c>
      <c r="R800" t="s">
        <v>500</v>
      </c>
      <c r="S800" t="s">
        <v>119</v>
      </c>
      <c r="T800" t="s">
        <v>414</v>
      </c>
      <c r="U800">
        <v>890743</v>
      </c>
      <c r="V800" s="3">
        <v>46068.623611111114</v>
      </c>
      <c r="W800" t="s">
        <v>1654</v>
      </c>
      <c r="X800" t="s">
        <v>1655</v>
      </c>
      <c r="Y800" t="str">
        <f>"0420857417"</f>
        <v>0420857417</v>
      </c>
      <c r="Z800" t="s">
        <v>70</v>
      </c>
      <c r="AB800" t="s">
        <v>2412</v>
      </c>
      <c r="AD800" t="s">
        <v>306</v>
      </c>
      <c r="AE800" t="s">
        <v>827</v>
      </c>
      <c r="AF800">
        <v>3181</v>
      </c>
      <c r="AI800" t="s">
        <v>59</v>
      </c>
      <c r="AL800" t="s">
        <v>2945</v>
      </c>
      <c r="AM800" t="s">
        <v>2946</v>
      </c>
      <c r="AN800" s="3">
        <v>46068.636111111111</v>
      </c>
      <c r="AO800" t="s">
        <v>500</v>
      </c>
    </row>
    <row r="801" spans="1:41" x14ac:dyDescent="0.3">
      <c r="A801" t="s">
        <v>306</v>
      </c>
      <c r="B801" t="s">
        <v>1751</v>
      </c>
      <c r="C801" t="s">
        <v>2947</v>
      </c>
      <c r="D801" t="s">
        <v>184</v>
      </c>
      <c r="E801" s="1">
        <v>46068</v>
      </c>
      <c r="F801" t="s">
        <v>1617</v>
      </c>
      <c r="G801" t="s">
        <v>485</v>
      </c>
      <c r="H801" s="2">
        <v>0.91666666666666663</v>
      </c>
      <c r="I801" s="2">
        <v>0.3125</v>
      </c>
      <c r="J801" t="s">
        <v>2948</v>
      </c>
      <c r="K801" t="s">
        <v>530</v>
      </c>
      <c r="L801" t="s">
        <v>531</v>
      </c>
      <c r="M801" t="s">
        <v>532</v>
      </c>
      <c r="N801" t="s">
        <v>533</v>
      </c>
      <c r="O801">
        <v>20495</v>
      </c>
      <c r="Q801" t="s">
        <v>413</v>
      </c>
      <c r="R801" t="s">
        <v>1248</v>
      </c>
      <c r="S801" t="s">
        <v>119</v>
      </c>
      <c r="T801" t="s">
        <v>1356</v>
      </c>
      <c r="U801">
        <v>890745</v>
      </c>
      <c r="V801" s="3">
        <v>46056.009027777778</v>
      </c>
      <c r="W801" t="s">
        <v>535</v>
      </c>
      <c r="X801" t="s">
        <v>536</v>
      </c>
      <c r="Y801" t="str">
        <f>"0447625522"</f>
        <v>0447625522</v>
      </c>
      <c r="Z801" t="s">
        <v>70</v>
      </c>
      <c r="AB801" t="s">
        <v>1759</v>
      </c>
      <c r="AD801" t="s">
        <v>306</v>
      </c>
      <c r="AE801" t="s">
        <v>1760</v>
      </c>
      <c r="AF801">
        <v>3199</v>
      </c>
      <c r="AI801" t="s">
        <v>59</v>
      </c>
      <c r="AL801" t="s">
        <v>2949</v>
      </c>
      <c r="AM801" t="s">
        <v>2950</v>
      </c>
      <c r="AN801" s="3">
        <v>46056.010416666664</v>
      </c>
      <c r="AO801" t="s">
        <v>535</v>
      </c>
    </row>
    <row r="802" spans="1:41" x14ac:dyDescent="0.3">
      <c r="A802" t="s">
        <v>168</v>
      </c>
      <c r="B802" t="s">
        <v>607</v>
      </c>
      <c r="C802" t="s">
        <v>267</v>
      </c>
      <c r="D802" t="s">
        <v>268</v>
      </c>
      <c r="E802" s="1">
        <v>46068</v>
      </c>
      <c r="F802" t="s">
        <v>1617</v>
      </c>
      <c r="G802" t="s">
        <v>45</v>
      </c>
      <c r="H802" s="2">
        <v>0.91666666666666663</v>
      </c>
      <c r="I802" s="2">
        <v>0.35416666666666669</v>
      </c>
      <c r="J802" t="s">
        <v>269</v>
      </c>
      <c r="K802" t="s">
        <v>608</v>
      </c>
      <c r="L802" t="s">
        <v>609</v>
      </c>
      <c r="M802" t="s">
        <v>610</v>
      </c>
      <c r="N802" t="s">
        <v>611</v>
      </c>
      <c r="O802">
        <v>5952121</v>
      </c>
      <c r="P802" t="s">
        <v>249</v>
      </c>
      <c r="Q802" t="s">
        <v>612</v>
      </c>
      <c r="R802" t="s">
        <v>613</v>
      </c>
      <c r="S802" t="s">
        <v>52</v>
      </c>
      <c r="T802" t="s">
        <v>252</v>
      </c>
      <c r="U802">
        <v>890620</v>
      </c>
      <c r="V802" s="3">
        <v>46069.460416666669</v>
      </c>
      <c r="W802" t="s">
        <v>613</v>
      </c>
      <c r="X802" t="s">
        <v>614</v>
      </c>
      <c r="Y802" t="str">
        <f>"0412297150"</f>
        <v>0412297150</v>
      </c>
      <c r="Z802" t="s">
        <v>1635</v>
      </c>
      <c r="AA802" s="1">
        <v>46077</v>
      </c>
      <c r="AB802" t="s">
        <v>615</v>
      </c>
      <c r="AC802" t="s">
        <v>616</v>
      </c>
      <c r="AD802" t="s">
        <v>168</v>
      </c>
      <c r="AE802" t="s">
        <v>617</v>
      </c>
      <c r="AF802">
        <v>5290</v>
      </c>
      <c r="AG802" t="s">
        <v>618</v>
      </c>
      <c r="AI802" t="s">
        <v>59</v>
      </c>
      <c r="AJ802" t="str">
        <f>"0020171780"</f>
        <v>0020171780</v>
      </c>
      <c r="AN802" s="3">
        <v>46069.460416666669</v>
      </c>
      <c r="AO802" t="s">
        <v>613</v>
      </c>
    </row>
    <row r="803" spans="1:41" x14ac:dyDescent="0.3">
      <c r="A803" t="s">
        <v>168</v>
      </c>
      <c r="B803" t="s">
        <v>1963</v>
      </c>
      <c r="C803" t="s">
        <v>484</v>
      </c>
      <c r="D803" t="s">
        <v>401</v>
      </c>
      <c r="E803" s="1">
        <v>46068</v>
      </c>
      <c r="F803" t="s">
        <v>1617</v>
      </c>
      <c r="G803" t="s">
        <v>485</v>
      </c>
      <c r="H803" s="2">
        <v>0.92708333333333337</v>
      </c>
      <c r="I803" s="2">
        <v>0.30208333333333331</v>
      </c>
      <c r="J803" t="s">
        <v>486</v>
      </c>
      <c r="L803" t="s">
        <v>487</v>
      </c>
      <c r="M803" t="s">
        <v>2084</v>
      </c>
      <c r="N803" t="s">
        <v>2085</v>
      </c>
      <c r="O803">
        <v>5951992</v>
      </c>
      <c r="Q803" t="s">
        <v>2951</v>
      </c>
      <c r="R803" t="s">
        <v>208</v>
      </c>
      <c r="S803" t="s">
        <v>52</v>
      </c>
      <c r="U803">
        <v>890573</v>
      </c>
      <c r="V803" s="3">
        <v>46067.555555555555</v>
      </c>
      <c r="W803" t="s">
        <v>2087</v>
      </c>
      <c r="X803" t="s">
        <v>2088</v>
      </c>
      <c r="Y803" t="str">
        <f>"0433995501"</f>
        <v>0433995501</v>
      </c>
      <c r="Z803" t="s">
        <v>70</v>
      </c>
      <c r="AA803" s="1">
        <v>46068</v>
      </c>
      <c r="AB803" t="s">
        <v>1967</v>
      </c>
      <c r="AD803" t="s">
        <v>168</v>
      </c>
      <c r="AE803" t="s">
        <v>1968</v>
      </c>
      <c r="AF803">
        <v>5000</v>
      </c>
      <c r="AG803" t="s">
        <v>2951</v>
      </c>
      <c r="AI803" t="s">
        <v>59</v>
      </c>
      <c r="AL803" t="s">
        <v>370</v>
      </c>
      <c r="AN803" s="3">
        <v>46069.329861111109</v>
      </c>
      <c r="AO803" t="s">
        <v>2087</v>
      </c>
    </row>
    <row r="804" spans="1:41" x14ac:dyDescent="0.3">
      <c r="A804" t="s">
        <v>41</v>
      </c>
      <c r="B804" t="s">
        <v>1284</v>
      </c>
      <c r="C804" t="s">
        <v>296</v>
      </c>
      <c r="D804" t="s">
        <v>1286</v>
      </c>
      <c r="E804" s="1">
        <v>46068</v>
      </c>
      <c r="F804" t="s">
        <v>1617</v>
      </c>
      <c r="G804" t="s">
        <v>485</v>
      </c>
      <c r="H804" s="2">
        <v>0.9375</v>
      </c>
      <c r="I804" s="2">
        <v>0.27083333333333331</v>
      </c>
      <c r="J804" t="s">
        <v>1287</v>
      </c>
      <c r="L804" t="s">
        <v>540</v>
      </c>
      <c r="M804" t="s">
        <v>541</v>
      </c>
      <c r="N804" t="s">
        <v>542</v>
      </c>
      <c r="O804">
        <v>402297</v>
      </c>
      <c r="Q804" t="s">
        <v>705</v>
      </c>
      <c r="R804" t="s">
        <v>500</v>
      </c>
      <c r="S804" t="s">
        <v>119</v>
      </c>
      <c r="T804" t="s">
        <v>1932</v>
      </c>
      <c r="U804">
        <v>890762</v>
      </c>
      <c r="V804" s="3">
        <v>46068.617361111108</v>
      </c>
      <c r="W804" t="s">
        <v>543</v>
      </c>
      <c r="X804" t="s">
        <v>544</v>
      </c>
      <c r="Y804" t="str">
        <f>"0434044099"</f>
        <v>0434044099</v>
      </c>
      <c r="Z804" t="s">
        <v>70</v>
      </c>
      <c r="AB804" t="s">
        <v>1288</v>
      </c>
      <c r="AD804" t="s">
        <v>41</v>
      </c>
      <c r="AE804" t="s">
        <v>150</v>
      </c>
      <c r="AF804">
        <v>4000</v>
      </c>
      <c r="AI804" t="s">
        <v>59</v>
      </c>
      <c r="AL804" t="s">
        <v>2952</v>
      </c>
      <c r="AM804" t="s">
        <v>2953</v>
      </c>
      <c r="AN804" s="3">
        <v>46068.619444444441</v>
      </c>
      <c r="AO804" t="s">
        <v>500</v>
      </c>
    </row>
    <row r="805" spans="1:41" x14ac:dyDescent="0.3">
      <c r="A805" t="s">
        <v>41</v>
      </c>
      <c r="B805" t="s">
        <v>632</v>
      </c>
      <c r="D805" t="s">
        <v>246</v>
      </c>
      <c r="E805" s="1">
        <v>46068</v>
      </c>
      <c r="F805" t="s">
        <v>1617</v>
      </c>
      <c r="G805" t="s">
        <v>485</v>
      </c>
      <c r="H805" s="2">
        <v>0.9375</v>
      </c>
      <c r="I805" s="2">
        <v>0.29166666666666669</v>
      </c>
      <c r="J805" t="s">
        <v>296</v>
      </c>
      <c r="K805" t="s">
        <v>427</v>
      </c>
      <c r="L805" t="s">
        <v>633</v>
      </c>
      <c r="M805" t="s">
        <v>2090</v>
      </c>
      <c r="N805" t="s">
        <v>1396</v>
      </c>
      <c r="O805">
        <v>402502</v>
      </c>
      <c r="Q805" t="s">
        <v>2091</v>
      </c>
      <c r="R805" t="s">
        <v>145</v>
      </c>
      <c r="S805" t="s">
        <v>52</v>
      </c>
      <c r="U805">
        <v>890579</v>
      </c>
      <c r="V805" s="3">
        <v>46025.955555555556</v>
      </c>
      <c r="W805" t="s">
        <v>2092</v>
      </c>
      <c r="X805" t="s">
        <v>2093</v>
      </c>
      <c r="Y805" t="str">
        <f>"0413242523"</f>
        <v>0413242523</v>
      </c>
      <c r="Z805" t="s">
        <v>2954</v>
      </c>
      <c r="AA805" s="1">
        <v>46068</v>
      </c>
      <c r="AB805" t="s">
        <v>640</v>
      </c>
      <c r="AD805" t="s">
        <v>41</v>
      </c>
      <c r="AE805" t="s">
        <v>641</v>
      </c>
      <c r="AF805">
        <v>4305</v>
      </c>
      <c r="AG805" t="s">
        <v>642</v>
      </c>
      <c r="AI805" t="s">
        <v>59</v>
      </c>
      <c r="AL805" t="s">
        <v>370</v>
      </c>
      <c r="AM805" t="s">
        <v>644</v>
      </c>
      <c r="AN805" s="3">
        <v>46069.334722222222</v>
      </c>
      <c r="AO805" t="s">
        <v>2092</v>
      </c>
    </row>
    <row r="806" spans="1:41" x14ac:dyDescent="0.3">
      <c r="A806" t="s">
        <v>41</v>
      </c>
      <c r="B806" t="s">
        <v>1284</v>
      </c>
      <c r="C806" t="s">
        <v>2955</v>
      </c>
      <c r="D806" t="s">
        <v>1286</v>
      </c>
      <c r="E806" s="1">
        <v>46068</v>
      </c>
      <c r="F806" t="s">
        <v>1617</v>
      </c>
      <c r="G806" t="s">
        <v>485</v>
      </c>
      <c r="H806" s="2">
        <v>0.9375</v>
      </c>
      <c r="I806" s="2">
        <v>0.27083333333333331</v>
      </c>
      <c r="J806" t="s">
        <v>1287</v>
      </c>
      <c r="L806" t="s">
        <v>540</v>
      </c>
      <c r="M806" t="s">
        <v>563</v>
      </c>
      <c r="N806" t="s">
        <v>564</v>
      </c>
      <c r="O806">
        <v>402477</v>
      </c>
      <c r="Q806" t="s">
        <v>705</v>
      </c>
      <c r="R806" t="s">
        <v>500</v>
      </c>
      <c r="S806" t="s">
        <v>119</v>
      </c>
      <c r="T806" t="s">
        <v>1932</v>
      </c>
      <c r="U806">
        <v>890763</v>
      </c>
      <c r="V806" s="3">
        <v>46068.722222222219</v>
      </c>
      <c r="W806" t="s">
        <v>565</v>
      </c>
      <c r="X806" t="s">
        <v>566</v>
      </c>
      <c r="Y806" t="str">
        <f>"0417873276"</f>
        <v>0417873276</v>
      </c>
      <c r="Z806" t="s">
        <v>70</v>
      </c>
      <c r="AB806" t="s">
        <v>1288</v>
      </c>
      <c r="AD806" t="s">
        <v>41</v>
      </c>
      <c r="AE806" t="s">
        <v>150</v>
      </c>
      <c r="AF806">
        <v>4000</v>
      </c>
      <c r="AI806" t="s">
        <v>59</v>
      </c>
      <c r="AL806" t="s">
        <v>1361</v>
      </c>
      <c r="AM806" t="s">
        <v>2956</v>
      </c>
      <c r="AN806" s="3">
        <v>46068.724305555559</v>
      </c>
      <c r="AO806" t="s">
        <v>500</v>
      </c>
    </row>
    <row r="807" spans="1:41" x14ac:dyDescent="0.3">
      <c r="A807" t="s">
        <v>41</v>
      </c>
      <c r="B807" t="s">
        <v>2102</v>
      </c>
      <c r="C807" t="s">
        <v>2957</v>
      </c>
      <c r="D807" t="s">
        <v>1286</v>
      </c>
      <c r="E807" s="1">
        <v>46068</v>
      </c>
      <c r="F807" t="s">
        <v>1617</v>
      </c>
      <c r="G807" t="s">
        <v>485</v>
      </c>
      <c r="H807" s="2">
        <v>0.94791666666666663</v>
      </c>
      <c r="I807" s="2">
        <v>0.3125</v>
      </c>
      <c r="J807" t="s">
        <v>296</v>
      </c>
      <c r="L807" t="s">
        <v>2958</v>
      </c>
      <c r="M807" t="s">
        <v>369</v>
      </c>
      <c r="N807" t="s">
        <v>2959</v>
      </c>
      <c r="O807">
        <v>5952289</v>
      </c>
      <c r="P807">
        <v>11725646</v>
      </c>
      <c r="Q807" t="s">
        <v>98</v>
      </c>
      <c r="R807" t="s">
        <v>500</v>
      </c>
      <c r="S807" t="s">
        <v>52</v>
      </c>
      <c r="U807">
        <v>890593</v>
      </c>
      <c r="V807" s="3">
        <v>46068.756249999999</v>
      </c>
      <c r="W807" t="s">
        <v>2960</v>
      </c>
      <c r="X807" t="s">
        <v>2961</v>
      </c>
      <c r="Y807" t="str">
        <f>"0490210500"</f>
        <v>0490210500</v>
      </c>
      <c r="Z807" t="s">
        <v>70</v>
      </c>
      <c r="AA807" s="1">
        <v>46068</v>
      </c>
      <c r="AB807" t="s">
        <v>2107</v>
      </c>
      <c r="AD807" t="s">
        <v>41</v>
      </c>
      <c r="AE807" t="s">
        <v>2108</v>
      </c>
      <c r="AF807">
        <v>4066</v>
      </c>
      <c r="AG807" t="s">
        <v>1245</v>
      </c>
      <c r="AI807" t="s">
        <v>59</v>
      </c>
      <c r="AL807" t="s">
        <v>2962</v>
      </c>
      <c r="AN807" s="3">
        <v>46069.352777777778</v>
      </c>
      <c r="AO807" t="s">
        <v>2960</v>
      </c>
    </row>
    <row r="808" spans="1:41" x14ac:dyDescent="0.3">
      <c r="A808" t="s">
        <v>41</v>
      </c>
      <c r="B808" t="s">
        <v>426</v>
      </c>
      <c r="C808" t="s">
        <v>296</v>
      </c>
      <c r="D808" t="s">
        <v>246</v>
      </c>
      <c r="E808" s="1">
        <v>46068</v>
      </c>
      <c r="F808" t="s">
        <v>1617</v>
      </c>
      <c r="G808" t="s">
        <v>485</v>
      </c>
      <c r="H808" s="2">
        <v>0.94791666666666663</v>
      </c>
      <c r="I808" s="2">
        <v>0.30208333333333331</v>
      </c>
      <c r="J808" t="s">
        <v>296</v>
      </c>
      <c r="K808" t="s">
        <v>750</v>
      </c>
      <c r="L808" t="s">
        <v>298</v>
      </c>
      <c r="M808" t="s">
        <v>1401</v>
      </c>
      <c r="N808" t="s">
        <v>1402</v>
      </c>
      <c r="O808">
        <v>5952070</v>
      </c>
      <c r="Q808" t="s">
        <v>2963</v>
      </c>
      <c r="R808" t="s">
        <v>208</v>
      </c>
      <c r="S808" t="s">
        <v>52</v>
      </c>
      <c r="U808">
        <v>890589</v>
      </c>
      <c r="V808" s="3">
        <v>46067.732638888891</v>
      </c>
      <c r="W808" t="s">
        <v>1404</v>
      </c>
      <c r="X808" t="s">
        <v>1405</v>
      </c>
      <c r="Y808" t="str">
        <f>"0474506417"</f>
        <v>0474506417</v>
      </c>
      <c r="Z808" t="s">
        <v>70</v>
      </c>
      <c r="AA808" s="1">
        <v>46068</v>
      </c>
      <c r="AB808" t="s">
        <v>434</v>
      </c>
      <c r="AD808" t="s">
        <v>41</v>
      </c>
      <c r="AE808" t="s">
        <v>435</v>
      </c>
      <c r="AF808">
        <v>4163</v>
      </c>
      <c r="AG808" t="s">
        <v>2964</v>
      </c>
      <c r="AI808" t="s">
        <v>59</v>
      </c>
      <c r="AL808" t="s">
        <v>2965</v>
      </c>
      <c r="AN808" s="3">
        <v>46069.342361111114</v>
      </c>
      <c r="AO808" t="s">
        <v>1404</v>
      </c>
    </row>
    <row r="809" spans="1:41" x14ac:dyDescent="0.3">
      <c r="A809" t="s">
        <v>61</v>
      </c>
      <c r="B809" t="s">
        <v>1271</v>
      </c>
      <c r="C809" t="s">
        <v>2966</v>
      </c>
      <c r="D809" t="s">
        <v>184</v>
      </c>
      <c r="E809" s="1">
        <v>46068</v>
      </c>
      <c r="F809" t="s">
        <v>1617</v>
      </c>
      <c r="G809" t="s">
        <v>485</v>
      </c>
      <c r="H809" s="2">
        <v>0.95833333333333337</v>
      </c>
      <c r="I809" s="2">
        <v>0.3125</v>
      </c>
      <c r="J809" t="s">
        <v>389</v>
      </c>
      <c r="L809" t="s">
        <v>487</v>
      </c>
      <c r="M809" t="s">
        <v>596</v>
      </c>
      <c r="N809" t="s">
        <v>1280</v>
      </c>
      <c r="O809">
        <v>5952187</v>
      </c>
      <c r="Q809" t="s">
        <v>2967</v>
      </c>
      <c r="R809" t="s">
        <v>500</v>
      </c>
      <c r="S809" t="s">
        <v>52</v>
      </c>
      <c r="U809">
        <v>890511</v>
      </c>
      <c r="V809" s="3">
        <v>46068.581250000003</v>
      </c>
      <c r="W809" t="s">
        <v>1281</v>
      </c>
      <c r="X809" t="s">
        <v>1282</v>
      </c>
      <c r="Y809" t="str">
        <f>"0417203844"</f>
        <v>0417203844</v>
      </c>
      <c r="Z809" t="s">
        <v>70</v>
      </c>
      <c r="AA809" s="1">
        <v>46068</v>
      </c>
      <c r="AB809" t="s">
        <v>1278</v>
      </c>
      <c r="AD809" t="s">
        <v>61</v>
      </c>
      <c r="AE809" t="s">
        <v>1279</v>
      </c>
      <c r="AF809">
        <v>2145</v>
      </c>
      <c r="AG809" t="s">
        <v>2238</v>
      </c>
      <c r="AI809" t="s">
        <v>59</v>
      </c>
      <c r="AL809" t="s">
        <v>2968</v>
      </c>
      <c r="AN809" s="3">
        <v>46069.293749999997</v>
      </c>
      <c r="AO809" t="s">
        <v>1281</v>
      </c>
    </row>
    <row r="810" spans="1:41" x14ac:dyDescent="0.3">
      <c r="A810" t="s">
        <v>61</v>
      </c>
      <c r="B810" t="s">
        <v>578</v>
      </c>
      <c r="D810" t="s">
        <v>579</v>
      </c>
      <c r="E810" s="1">
        <v>46038</v>
      </c>
      <c r="F810" t="s">
        <v>2113</v>
      </c>
      <c r="G810" t="s">
        <v>45</v>
      </c>
      <c r="H810" s="2">
        <v>0.29166666666666669</v>
      </c>
      <c r="I810" s="2">
        <v>0.29236111111111113</v>
      </c>
      <c r="J810" t="s">
        <v>269</v>
      </c>
      <c r="L810" t="s">
        <v>172</v>
      </c>
      <c r="M810" t="s">
        <v>580</v>
      </c>
      <c r="N810" t="s">
        <v>581</v>
      </c>
      <c r="O810">
        <v>5951721</v>
      </c>
      <c r="P810" t="s">
        <v>571</v>
      </c>
      <c r="Q810" t="s">
        <v>582</v>
      </c>
      <c r="R810" t="s">
        <v>573</v>
      </c>
      <c r="S810" t="s">
        <v>119</v>
      </c>
      <c r="T810" t="s">
        <v>2969</v>
      </c>
      <c r="U810">
        <v>887683</v>
      </c>
      <c r="V810" s="3">
        <v>46041.615277777775</v>
      </c>
      <c r="W810" t="s">
        <v>583</v>
      </c>
      <c r="X810" t="s">
        <v>584</v>
      </c>
      <c r="Y810" t="str">
        <f>"0456677559"</f>
        <v>0456677559</v>
      </c>
      <c r="Z810" t="s">
        <v>123</v>
      </c>
      <c r="AA810" s="1">
        <v>46061</v>
      </c>
      <c r="AB810" t="s">
        <v>586</v>
      </c>
      <c r="AD810" t="s">
        <v>61</v>
      </c>
      <c r="AE810" t="s">
        <v>587</v>
      </c>
      <c r="AF810">
        <v>2320</v>
      </c>
      <c r="AG810" t="s">
        <v>588</v>
      </c>
      <c r="AI810" t="s">
        <v>59</v>
      </c>
      <c r="AJ810" t="str">
        <f>"0010193654"</f>
        <v>0010193654</v>
      </c>
      <c r="AN810" s="3">
        <v>46041.615277777775</v>
      </c>
      <c r="AO810" t="s">
        <v>573</v>
      </c>
    </row>
    <row r="811" spans="1:41" x14ac:dyDescent="0.3">
      <c r="A811" t="s">
        <v>41</v>
      </c>
      <c r="B811" t="s">
        <v>568</v>
      </c>
      <c r="C811" t="s">
        <v>602</v>
      </c>
      <c r="D811" t="s">
        <v>246</v>
      </c>
      <c r="E811" s="1">
        <v>46038</v>
      </c>
      <c r="F811" t="s">
        <v>2113</v>
      </c>
      <c r="G811" t="s">
        <v>45</v>
      </c>
      <c r="H811" s="2">
        <v>0.29166666666666669</v>
      </c>
      <c r="I811" s="2">
        <v>0.45833333333333331</v>
      </c>
      <c r="J811" t="s">
        <v>269</v>
      </c>
      <c r="L811" t="s">
        <v>47</v>
      </c>
      <c r="M811" t="s">
        <v>603</v>
      </c>
      <c r="N811" t="s">
        <v>604</v>
      </c>
      <c r="O811">
        <v>80</v>
      </c>
      <c r="P811" t="s">
        <v>571</v>
      </c>
      <c r="Q811" t="s">
        <v>572</v>
      </c>
      <c r="R811" t="s">
        <v>573</v>
      </c>
      <c r="S811" t="s">
        <v>52</v>
      </c>
      <c r="T811" t="s">
        <v>252</v>
      </c>
      <c r="U811">
        <v>887520</v>
      </c>
      <c r="V811" s="3">
        <v>46041.507638888892</v>
      </c>
      <c r="W811" t="s">
        <v>605</v>
      </c>
      <c r="X811" t="s">
        <v>606</v>
      </c>
      <c r="Y811" t="str">
        <f>"0414330986"</f>
        <v>0414330986</v>
      </c>
      <c r="Z811" t="s">
        <v>345</v>
      </c>
      <c r="AA811" s="1">
        <v>46068</v>
      </c>
      <c r="AB811" t="s">
        <v>576</v>
      </c>
      <c r="AD811" t="s">
        <v>41</v>
      </c>
      <c r="AE811" t="s">
        <v>577</v>
      </c>
      <c r="AF811">
        <v>4700</v>
      </c>
      <c r="AG811" t="s">
        <v>572</v>
      </c>
      <c r="AI811" t="s">
        <v>59</v>
      </c>
      <c r="AJ811" t="str">
        <f>"0050075176"</f>
        <v>0050075176</v>
      </c>
      <c r="AN811" s="3">
        <v>46041.507638888892</v>
      </c>
      <c r="AO811" t="s">
        <v>573</v>
      </c>
    </row>
    <row r="812" spans="1:41" x14ac:dyDescent="0.3">
      <c r="A812" t="s">
        <v>168</v>
      </c>
      <c r="B812" t="s">
        <v>689</v>
      </c>
      <c r="C812" t="s">
        <v>43</v>
      </c>
      <c r="D812" t="s">
        <v>268</v>
      </c>
      <c r="E812" s="1">
        <v>46038</v>
      </c>
      <c r="F812" t="s">
        <v>2113</v>
      </c>
      <c r="G812" t="s">
        <v>45</v>
      </c>
      <c r="H812" s="2">
        <v>0.33333333333333331</v>
      </c>
      <c r="I812" s="2">
        <v>0.6875</v>
      </c>
      <c r="J812" t="s">
        <v>100</v>
      </c>
      <c r="L812" t="s">
        <v>100</v>
      </c>
      <c r="M812" t="s">
        <v>402</v>
      </c>
      <c r="N812" t="s">
        <v>403</v>
      </c>
      <c r="O812">
        <v>21398</v>
      </c>
      <c r="P812" t="s">
        <v>249</v>
      </c>
      <c r="Q812" t="s">
        <v>2110</v>
      </c>
      <c r="R812" t="s">
        <v>405</v>
      </c>
      <c r="S812" t="s">
        <v>52</v>
      </c>
      <c r="T812" t="s">
        <v>252</v>
      </c>
      <c r="U812">
        <v>887493</v>
      </c>
      <c r="V812" s="3">
        <v>46041.393750000003</v>
      </c>
      <c r="W812" t="s">
        <v>405</v>
      </c>
      <c r="X812" t="s">
        <v>406</v>
      </c>
      <c r="Y812" t="str">
        <f>"0423877972"</f>
        <v>0423877972</v>
      </c>
      <c r="Z812" t="s">
        <v>1635</v>
      </c>
      <c r="AA812" s="1">
        <v>46075</v>
      </c>
      <c r="AB812" t="s">
        <v>695</v>
      </c>
      <c r="AD812" t="s">
        <v>168</v>
      </c>
      <c r="AE812" t="s">
        <v>696</v>
      </c>
      <c r="AF812">
        <v>5606</v>
      </c>
      <c r="AG812" t="s">
        <v>2111</v>
      </c>
      <c r="AI812" t="s">
        <v>59</v>
      </c>
      <c r="AJ812" t="str">
        <f>"0020185674"</f>
        <v>0020185674</v>
      </c>
      <c r="AN812" s="3">
        <v>46041.393750000003</v>
      </c>
      <c r="AO812" t="s">
        <v>405</v>
      </c>
    </row>
    <row r="813" spans="1:41" x14ac:dyDescent="0.3">
      <c r="A813" t="s">
        <v>41</v>
      </c>
      <c r="B813" t="s">
        <v>568</v>
      </c>
      <c r="D813" t="s">
        <v>246</v>
      </c>
      <c r="E813" s="1">
        <v>46038</v>
      </c>
      <c r="F813" t="s">
        <v>2113</v>
      </c>
      <c r="G813" t="s">
        <v>485</v>
      </c>
      <c r="H813" s="2">
        <v>0.94791666666666663</v>
      </c>
      <c r="I813" s="2">
        <v>0.30208333333333331</v>
      </c>
      <c r="J813" t="s">
        <v>269</v>
      </c>
      <c r="L813" t="s">
        <v>172</v>
      </c>
      <c r="M813" t="s">
        <v>311</v>
      </c>
      <c r="N813" t="s">
        <v>570</v>
      </c>
      <c r="O813">
        <v>5951685</v>
      </c>
      <c r="P813" t="s">
        <v>571</v>
      </c>
      <c r="Q813" t="s">
        <v>572</v>
      </c>
      <c r="R813" t="s">
        <v>573</v>
      </c>
      <c r="S813" t="s">
        <v>52</v>
      </c>
      <c r="T813" t="s">
        <v>252</v>
      </c>
      <c r="U813">
        <v>887545</v>
      </c>
      <c r="V813" s="3">
        <v>46041.582638888889</v>
      </c>
      <c r="W813" t="s">
        <v>574</v>
      </c>
      <c r="X813" t="s">
        <v>575</v>
      </c>
      <c r="Y813" t="str">
        <f>"0407007024"</f>
        <v>0407007024</v>
      </c>
      <c r="Z813" t="s">
        <v>527</v>
      </c>
      <c r="AA813" s="1">
        <v>46075</v>
      </c>
      <c r="AB813" t="s">
        <v>576</v>
      </c>
      <c r="AD813" t="s">
        <v>41</v>
      </c>
      <c r="AE813" t="s">
        <v>577</v>
      </c>
      <c r="AF813">
        <v>4700</v>
      </c>
      <c r="AG813" t="s">
        <v>572</v>
      </c>
      <c r="AI813" t="s">
        <v>59</v>
      </c>
      <c r="AJ813" t="str">
        <f>"0050076113"</f>
        <v>0050076113</v>
      </c>
      <c r="AN813" s="3">
        <v>46041.582638888889</v>
      </c>
      <c r="AO813" t="s">
        <v>573</v>
      </c>
    </row>
    <row r="814" spans="1:41" x14ac:dyDescent="0.3">
      <c r="A814" t="s">
        <v>41</v>
      </c>
      <c r="B814" t="s">
        <v>589</v>
      </c>
      <c r="C814" t="s">
        <v>590</v>
      </c>
      <c r="D814" t="s">
        <v>246</v>
      </c>
      <c r="E814" s="1">
        <v>46038</v>
      </c>
      <c r="F814" t="s">
        <v>2113</v>
      </c>
      <c r="G814" t="s">
        <v>485</v>
      </c>
      <c r="H814" s="2">
        <v>0.94791666666666663</v>
      </c>
      <c r="I814" s="2">
        <v>0.30208333333333331</v>
      </c>
      <c r="J814" t="s">
        <v>591</v>
      </c>
      <c r="L814" t="s">
        <v>592</v>
      </c>
      <c r="M814" t="s">
        <v>593</v>
      </c>
      <c r="N814" t="s">
        <v>594</v>
      </c>
      <c r="O814">
        <v>5952427</v>
      </c>
      <c r="P814" t="s">
        <v>595</v>
      </c>
      <c r="Q814" t="s">
        <v>596</v>
      </c>
      <c r="R814" t="s">
        <v>392</v>
      </c>
      <c r="S814" t="s">
        <v>52</v>
      </c>
      <c r="T814" t="s">
        <v>252</v>
      </c>
      <c r="U814">
        <v>887512</v>
      </c>
      <c r="V814" s="3">
        <v>46041.462500000001</v>
      </c>
      <c r="W814" t="s">
        <v>597</v>
      </c>
      <c r="X814" t="s">
        <v>598</v>
      </c>
      <c r="Y814" t="str">
        <f>"0432677728"</f>
        <v>0432677728</v>
      </c>
      <c r="Z814" t="s">
        <v>345</v>
      </c>
      <c r="AA814" s="1">
        <v>46054</v>
      </c>
      <c r="AB814" t="s">
        <v>599</v>
      </c>
      <c r="AC814" t="s">
        <v>600</v>
      </c>
      <c r="AD814" t="s">
        <v>41</v>
      </c>
      <c r="AE814" t="s">
        <v>600</v>
      </c>
      <c r="AF814">
        <v>4610</v>
      </c>
      <c r="AG814" t="s">
        <v>601</v>
      </c>
      <c r="AI814" t="s">
        <v>59</v>
      </c>
      <c r="AJ814" t="str">
        <f>"0050075752"</f>
        <v>0050075752</v>
      </c>
      <c r="AN814" s="3">
        <v>46041.462500000001</v>
      </c>
      <c r="AO814" t="s">
        <v>392</v>
      </c>
    </row>
    <row r="815" spans="1:41" x14ac:dyDescent="0.3">
      <c r="A815" t="s">
        <v>61</v>
      </c>
      <c r="B815" t="s">
        <v>655</v>
      </c>
      <c r="C815" t="s">
        <v>43</v>
      </c>
      <c r="D815" t="s">
        <v>656</v>
      </c>
      <c r="E815" s="1">
        <v>46069</v>
      </c>
      <c r="F815" t="s">
        <v>569</v>
      </c>
      <c r="G815" t="s">
        <v>45</v>
      </c>
      <c r="H815" s="2">
        <v>0.26041666666666669</v>
      </c>
      <c r="I815" s="2">
        <v>0.99861111111111112</v>
      </c>
      <c r="J815" t="s">
        <v>101</v>
      </c>
      <c r="L815" t="s">
        <v>159</v>
      </c>
      <c r="M815" t="s">
        <v>1502</v>
      </c>
      <c r="N815" t="s">
        <v>1503</v>
      </c>
      <c r="O815">
        <v>21662</v>
      </c>
      <c r="Q815" t="s">
        <v>665</v>
      </c>
      <c r="R815" t="s">
        <v>1248</v>
      </c>
      <c r="S815" t="s">
        <v>52</v>
      </c>
      <c r="U815">
        <v>890628</v>
      </c>
      <c r="V815" s="3">
        <v>46058.81527777778</v>
      </c>
      <c r="W815" t="s">
        <v>1504</v>
      </c>
      <c r="X815" t="s">
        <v>1505</v>
      </c>
      <c r="Y815" t="str">
        <f>"0424896869"</f>
        <v>0424896869</v>
      </c>
      <c r="Z815" t="s">
        <v>70</v>
      </c>
      <c r="AB815" t="s">
        <v>662</v>
      </c>
      <c r="AC815" t="s">
        <v>663</v>
      </c>
      <c r="AD815" t="s">
        <v>61</v>
      </c>
      <c r="AE815" t="s">
        <v>664</v>
      </c>
      <c r="AF815">
        <v>2067</v>
      </c>
      <c r="AG815" t="s">
        <v>665</v>
      </c>
      <c r="AI815" t="s">
        <v>59</v>
      </c>
      <c r="AL815" t="s">
        <v>2970</v>
      </c>
      <c r="AN815" s="3">
        <v>46069.512499999997</v>
      </c>
      <c r="AO815" t="s">
        <v>1504</v>
      </c>
    </row>
    <row r="816" spans="1:41" x14ac:dyDescent="0.3">
      <c r="A816" t="s">
        <v>41</v>
      </c>
      <c r="B816" t="s">
        <v>632</v>
      </c>
      <c r="C816" t="s">
        <v>296</v>
      </c>
      <c r="D816" t="s">
        <v>246</v>
      </c>
      <c r="E816" s="1">
        <v>46069</v>
      </c>
      <c r="F816" t="s">
        <v>569</v>
      </c>
      <c r="G816" t="s">
        <v>45</v>
      </c>
      <c r="H816" s="2">
        <v>0.27083333333333331</v>
      </c>
      <c r="I816" s="2">
        <v>0.625</v>
      </c>
      <c r="J816" t="s">
        <v>296</v>
      </c>
      <c r="K816" t="s">
        <v>2096</v>
      </c>
      <c r="L816" t="s">
        <v>633</v>
      </c>
      <c r="M816" t="s">
        <v>2145</v>
      </c>
      <c r="N816" t="s">
        <v>2146</v>
      </c>
      <c r="O816">
        <v>402527</v>
      </c>
      <c r="Q816" t="s">
        <v>1363</v>
      </c>
      <c r="R816" t="s">
        <v>51</v>
      </c>
      <c r="S816" t="s">
        <v>52</v>
      </c>
      <c r="U816">
        <v>890659</v>
      </c>
      <c r="V816" s="3">
        <v>46063.541666666664</v>
      </c>
      <c r="W816" t="s">
        <v>2148</v>
      </c>
      <c r="X816" t="s">
        <v>2149</v>
      </c>
      <c r="Y816" t="str">
        <f>"0401597129"</f>
        <v>0401597129</v>
      </c>
      <c r="Z816" t="s">
        <v>1201</v>
      </c>
      <c r="AB816" t="s">
        <v>640</v>
      </c>
      <c r="AD816" t="s">
        <v>41</v>
      </c>
      <c r="AE816" t="s">
        <v>641</v>
      </c>
      <c r="AF816">
        <v>4305</v>
      </c>
      <c r="AG816" t="s">
        <v>2098</v>
      </c>
      <c r="AI816" t="s">
        <v>59</v>
      </c>
      <c r="AL816" t="s">
        <v>2971</v>
      </c>
      <c r="AM816" t="s">
        <v>2972</v>
      </c>
      <c r="AN816" s="3">
        <v>46069.686805555553</v>
      </c>
      <c r="AO816" t="s">
        <v>2148</v>
      </c>
    </row>
    <row r="817" spans="1:41" x14ac:dyDescent="0.3">
      <c r="A817" t="s">
        <v>41</v>
      </c>
      <c r="B817" t="s">
        <v>1705</v>
      </c>
      <c r="C817" t="s">
        <v>43</v>
      </c>
      <c r="D817" t="s">
        <v>1706</v>
      </c>
      <c r="E817" s="1">
        <v>46069</v>
      </c>
      <c r="F817" t="s">
        <v>569</v>
      </c>
      <c r="G817" t="s">
        <v>45</v>
      </c>
      <c r="H817" s="2">
        <v>0.27083333333333331</v>
      </c>
      <c r="I817" s="2">
        <v>0.52083333333333337</v>
      </c>
      <c r="J817" t="s">
        <v>46</v>
      </c>
      <c r="L817" t="s">
        <v>298</v>
      </c>
      <c r="M817" t="s">
        <v>1578</v>
      </c>
      <c r="N817" t="s">
        <v>1579</v>
      </c>
      <c r="O817">
        <v>5952061</v>
      </c>
      <c r="Q817" t="s">
        <v>1707</v>
      </c>
      <c r="R817" t="s">
        <v>51</v>
      </c>
      <c r="S817" t="s">
        <v>52</v>
      </c>
      <c r="U817">
        <v>890630</v>
      </c>
      <c r="V817" s="3">
        <v>46065.529861111114</v>
      </c>
      <c r="W817" t="s">
        <v>1581</v>
      </c>
      <c r="X817" t="s">
        <v>1582</v>
      </c>
      <c r="Y817" t="str">
        <f>"0401803081"</f>
        <v>0401803081</v>
      </c>
      <c r="Z817" t="s">
        <v>550</v>
      </c>
      <c r="AB817" t="s">
        <v>1708</v>
      </c>
      <c r="AC817" t="s">
        <v>1562</v>
      </c>
      <c r="AD817" t="s">
        <v>41</v>
      </c>
      <c r="AE817" t="s">
        <v>1563</v>
      </c>
      <c r="AF817">
        <v>4109</v>
      </c>
      <c r="AG817" t="s">
        <v>1707</v>
      </c>
      <c r="AI817" t="s">
        <v>59</v>
      </c>
      <c r="AL817" t="s">
        <v>87</v>
      </c>
      <c r="AN817" s="3">
        <v>46069.527083333334</v>
      </c>
      <c r="AO817" t="s">
        <v>1581</v>
      </c>
    </row>
    <row r="818" spans="1:41" x14ac:dyDescent="0.3">
      <c r="A818" t="s">
        <v>41</v>
      </c>
      <c r="B818" t="s">
        <v>632</v>
      </c>
      <c r="C818" t="s">
        <v>296</v>
      </c>
      <c r="D818" t="s">
        <v>246</v>
      </c>
      <c r="E818" s="1">
        <v>46069</v>
      </c>
      <c r="F818" t="s">
        <v>569</v>
      </c>
      <c r="G818" t="s">
        <v>45</v>
      </c>
      <c r="H818" s="2">
        <v>0.27083333333333331</v>
      </c>
      <c r="I818" s="2">
        <v>0.625</v>
      </c>
      <c r="J818" t="s">
        <v>464</v>
      </c>
      <c r="K818" t="s">
        <v>2096</v>
      </c>
      <c r="L818" t="s">
        <v>2973</v>
      </c>
      <c r="M818" t="s">
        <v>2974</v>
      </c>
      <c r="N818" t="s">
        <v>2975</v>
      </c>
      <c r="O818">
        <v>400791</v>
      </c>
      <c r="Q818" t="s">
        <v>2976</v>
      </c>
      <c r="R818" t="s">
        <v>51</v>
      </c>
      <c r="S818" t="s">
        <v>52</v>
      </c>
      <c r="U818">
        <v>890658</v>
      </c>
      <c r="V818" s="3">
        <v>46063.55</v>
      </c>
      <c r="W818" t="s">
        <v>2977</v>
      </c>
      <c r="X818" t="s">
        <v>2978</v>
      </c>
      <c r="Y818" t="str">
        <f>"0423500814"</f>
        <v>0423500814</v>
      </c>
      <c r="Z818" t="s">
        <v>1201</v>
      </c>
      <c r="AB818" t="s">
        <v>640</v>
      </c>
      <c r="AD818" t="s">
        <v>41</v>
      </c>
      <c r="AE818" t="s">
        <v>641</v>
      </c>
      <c r="AF818">
        <v>4305</v>
      </c>
      <c r="AG818" t="s">
        <v>2098</v>
      </c>
      <c r="AI818" t="s">
        <v>59</v>
      </c>
      <c r="AL818" t="s">
        <v>1407</v>
      </c>
      <c r="AN818" s="3">
        <v>46069.676388888889</v>
      </c>
      <c r="AO818" t="s">
        <v>2977</v>
      </c>
    </row>
    <row r="819" spans="1:41" x14ac:dyDescent="0.3">
      <c r="A819" t="s">
        <v>168</v>
      </c>
      <c r="B819" t="s">
        <v>215</v>
      </c>
      <c r="C819" t="s">
        <v>43</v>
      </c>
      <c r="D819" t="s">
        <v>127</v>
      </c>
      <c r="E819" s="1">
        <v>46069</v>
      </c>
      <c r="F819" t="s">
        <v>569</v>
      </c>
      <c r="G819" t="s">
        <v>45</v>
      </c>
      <c r="H819" s="2">
        <v>0.27083333333333331</v>
      </c>
      <c r="I819" s="2">
        <v>0.52083333333333337</v>
      </c>
      <c r="J819" t="s">
        <v>258</v>
      </c>
      <c r="K819" t="s">
        <v>259</v>
      </c>
      <c r="L819" t="s">
        <v>186</v>
      </c>
      <c r="M819" t="s">
        <v>2979</v>
      </c>
      <c r="N819" t="s">
        <v>2980</v>
      </c>
      <c r="O819">
        <v>5952215</v>
      </c>
      <c r="Q819" t="s">
        <v>219</v>
      </c>
      <c r="R819" t="s">
        <v>556</v>
      </c>
      <c r="S819" t="s">
        <v>52</v>
      </c>
      <c r="U819">
        <v>890621</v>
      </c>
      <c r="V819" s="3">
        <v>46057.045138888891</v>
      </c>
      <c r="W819" t="s">
        <v>2981</v>
      </c>
      <c r="X819" t="s">
        <v>2982</v>
      </c>
      <c r="Y819" t="str">
        <f>"0432417968"</f>
        <v>0432417968</v>
      </c>
      <c r="Z819" t="s">
        <v>70</v>
      </c>
      <c r="AB819" t="s">
        <v>222</v>
      </c>
      <c r="AD819" t="s">
        <v>168</v>
      </c>
      <c r="AE819" t="s">
        <v>223</v>
      </c>
      <c r="AF819">
        <v>5069</v>
      </c>
      <c r="AG819" t="s">
        <v>219</v>
      </c>
      <c r="AI819" t="s">
        <v>59</v>
      </c>
      <c r="AL819" t="s">
        <v>224</v>
      </c>
      <c r="AN819" s="3">
        <v>46069.465277777781</v>
      </c>
      <c r="AO819" t="s">
        <v>2981</v>
      </c>
    </row>
    <row r="820" spans="1:41" x14ac:dyDescent="0.3">
      <c r="A820" t="s">
        <v>168</v>
      </c>
      <c r="B820" t="s">
        <v>215</v>
      </c>
      <c r="C820" t="s">
        <v>43</v>
      </c>
      <c r="D820" t="s">
        <v>127</v>
      </c>
      <c r="E820" s="1">
        <v>46069</v>
      </c>
      <c r="F820" t="s">
        <v>569</v>
      </c>
      <c r="G820" t="s">
        <v>45</v>
      </c>
      <c r="H820" s="2">
        <v>0.27083333333333331</v>
      </c>
      <c r="I820" s="2">
        <v>0.5</v>
      </c>
      <c r="J820" t="s">
        <v>258</v>
      </c>
      <c r="K820" t="s">
        <v>259</v>
      </c>
      <c r="L820" t="s">
        <v>186</v>
      </c>
      <c r="M820" t="s">
        <v>651</v>
      </c>
      <c r="N820" t="s">
        <v>412</v>
      </c>
      <c r="O820">
        <v>21855</v>
      </c>
      <c r="Q820" t="s">
        <v>219</v>
      </c>
      <c r="R820" t="s">
        <v>556</v>
      </c>
      <c r="S820" t="s">
        <v>52</v>
      </c>
      <c r="U820">
        <v>890673</v>
      </c>
      <c r="V820" s="3">
        <v>46057.04583333333</v>
      </c>
      <c r="W820" t="s">
        <v>652</v>
      </c>
      <c r="X820" t="s">
        <v>653</v>
      </c>
      <c r="Y820" t="str">
        <f>"0407317111"</f>
        <v>0407317111</v>
      </c>
      <c r="Z820" t="s">
        <v>70</v>
      </c>
      <c r="AB820" t="s">
        <v>222</v>
      </c>
      <c r="AD820" t="s">
        <v>168</v>
      </c>
      <c r="AE820" t="s">
        <v>223</v>
      </c>
      <c r="AF820">
        <v>5069</v>
      </c>
      <c r="AG820" t="s">
        <v>219</v>
      </c>
      <c r="AI820" t="s">
        <v>59</v>
      </c>
      <c r="AL820" t="s">
        <v>2983</v>
      </c>
      <c r="AN820" s="3">
        <v>46069.762499999997</v>
      </c>
      <c r="AO820" t="s">
        <v>652</v>
      </c>
    </row>
    <row r="821" spans="1:41" x14ac:dyDescent="0.3">
      <c r="A821" t="s">
        <v>75</v>
      </c>
      <c r="B821" t="s">
        <v>895</v>
      </c>
      <c r="C821" t="s">
        <v>1621</v>
      </c>
      <c r="D821" t="s">
        <v>184</v>
      </c>
      <c r="E821" s="1">
        <v>46069</v>
      </c>
      <c r="F821" t="s">
        <v>569</v>
      </c>
      <c r="G821" t="s">
        <v>45</v>
      </c>
      <c r="H821" s="2">
        <v>0.29166666666666669</v>
      </c>
      <c r="I821" s="2">
        <v>0.625</v>
      </c>
      <c r="J821" t="s">
        <v>296</v>
      </c>
      <c r="L821" t="s">
        <v>1453</v>
      </c>
      <c r="M821" t="s">
        <v>1622</v>
      </c>
      <c r="N821" t="s">
        <v>1623</v>
      </c>
      <c r="O821">
        <v>5952211</v>
      </c>
      <c r="Q821" t="s">
        <v>2159</v>
      </c>
      <c r="R821" t="s">
        <v>81</v>
      </c>
      <c r="S821" t="s">
        <v>52</v>
      </c>
      <c r="U821">
        <v>890679</v>
      </c>
      <c r="V821" s="3">
        <v>46062.489583333336</v>
      </c>
      <c r="W821" t="s">
        <v>1624</v>
      </c>
      <c r="X821" t="s">
        <v>1625</v>
      </c>
      <c r="Y821" t="str">
        <f>"0494406921"</f>
        <v>0494406921</v>
      </c>
      <c r="Z821" t="s">
        <v>2548</v>
      </c>
      <c r="AB821" t="s">
        <v>902</v>
      </c>
      <c r="AD821" t="s">
        <v>75</v>
      </c>
      <c r="AE821" t="s">
        <v>903</v>
      </c>
      <c r="AF821">
        <v>6009</v>
      </c>
      <c r="AG821" t="s">
        <v>2159</v>
      </c>
      <c r="AI821" t="s">
        <v>59</v>
      </c>
      <c r="AL821" t="s">
        <v>2160</v>
      </c>
      <c r="AN821" s="3">
        <v>46069.771527777775</v>
      </c>
      <c r="AO821" t="s">
        <v>1624</v>
      </c>
    </row>
    <row r="822" spans="1:41" x14ac:dyDescent="0.3">
      <c r="A822" t="s">
        <v>306</v>
      </c>
      <c r="B822" t="s">
        <v>528</v>
      </c>
      <c r="C822" t="s">
        <v>1326</v>
      </c>
      <c r="D822" t="s">
        <v>63</v>
      </c>
      <c r="E822" s="1">
        <v>46069</v>
      </c>
      <c r="F822" t="s">
        <v>569</v>
      </c>
      <c r="G822" t="s">
        <v>45</v>
      </c>
      <c r="H822" s="2">
        <v>0.29166666666666669</v>
      </c>
      <c r="I822" s="2">
        <v>0.60416666666666663</v>
      </c>
      <c r="J822" t="s">
        <v>269</v>
      </c>
      <c r="K822" t="s">
        <v>530</v>
      </c>
      <c r="L822" t="s">
        <v>172</v>
      </c>
      <c r="M822" t="s">
        <v>311</v>
      </c>
      <c r="N822" t="s">
        <v>570</v>
      </c>
      <c r="O822">
        <v>5951685</v>
      </c>
      <c r="Q822" t="s">
        <v>1737</v>
      </c>
      <c r="R822" t="s">
        <v>500</v>
      </c>
      <c r="S822" t="s">
        <v>52</v>
      </c>
      <c r="U822">
        <v>890643</v>
      </c>
      <c r="V822" s="3">
        <v>46068.642361111109</v>
      </c>
      <c r="W822" t="s">
        <v>574</v>
      </c>
      <c r="X822" t="s">
        <v>575</v>
      </c>
      <c r="Y822" t="str">
        <f>"0407007024"</f>
        <v>0407007024</v>
      </c>
      <c r="Z822" t="s">
        <v>70</v>
      </c>
      <c r="AB822" t="s">
        <v>537</v>
      </c>
      <c r="AD822" t="s">
        <v>306</v>
      </c>
      <c r="AE822" t="s">
        <v>538</v>
      </c>
      <c r="AF822">
        <v>3152</v>
      </c>
      <c r="AG822" t="s">
        <v>1737</v>
      </c>
      <c r="AI822" t="s">
        <v>59</v>
      </c>
      <c r="AL822" t="s">
        <v>87</v>
      </c>
      <c r="AN822" s="3">
        <v>46069.602777777778</v>
      </c>
      <c r="AO822" t="s">
        <v>574</v>
      </c>
    </row>
    <row r="823" spans="1:41" x14ac:dyDescent="0.3">
      <c r="A823" t="s">
        <v>61</v>
      </c>
      <c r="B823" t="s">
        <v>2984</v>
      </c>
      <c r="C823" t="s">
        <v>43</v>
      </c>
      <c r="D823" t="s">
        <v>2985</v>
      </c>
      <c r="E823" s="1">
        <v>46069</v>
      </c>
      <c r="F823" t="s">
        <v>569</v>
      </c>
      <c r="G823" t="s">
        <v>45</v>
      </c>
      <c r="H823" s="2">
        <v>0.29166666666666669</v>
      </c>
      <c r="I823" s="2">
        <v>0.99861111111111112</v>
      </c>
      <c r="J823" t="s">
        <v>464</v>
      </c>
      <c r="L823" t="s">
        <v>298</v>
      </c>
      <c r="M823" t="s">
        <v>2011</v>
      </c>
      <c r="N823" t="s">
        <v>933</v>
      </c>
      <c r="O823">
        <v>5952316</v>
      </c>
      <c r="Q823" t="s">
        <v>2986</v>
      </c>
      <c r="R823" t="s">
        <v>67</v>
      </c>
      <c r="S823" t="s">
        <v>119</v>
      </c>
      <c r="U823">
        <v>891609</v>
      </c>
      <c r="V823" s="3">
        <v>46065.474999999999</v>
      </c>
      <c r="W823" t="s">
        <v>2013</v>
      </c>
      <c r="X823" t="s">
        <v>2014</v>
      </c>
      <c r="Y823" t="str">
        <f>"1111111111"</f>
        <v>1111111111</v>
      </c>
      <c r="Z823" t="s">
        <v>70</v>
      </c>
      <c r="AA823" s="1">
        <v>46069</v>
      </c>
      <c r="AB823" t="s">
        <v>2987</v>
      </c>
      <c r="AD823" t="s">
        <v>61</v>
      </c>
      <c r="AE823" t="s">
        <v>2988</v>
      </c>
      <c r="AF823">
        <v>2557</v>
      </c>
      <c r="AG823" t="s">
        <v>2989</v>
      </c>
      <c r="AI823" t="s">
        <v>59</v>
      </c>
      <c r="AL823" t="s">
        <v>2990</v>
      </c>
      <c r="AN823" s="3">
        <v>46066.37222222222</v>
      </c>
      <c r="AO823" t="s">
        <v>132</v>
      </c>
    </row>
    <row r="824" spans="1:41" x14ac:dyDescent="0.3">
      <c r="A824" t="s">
        <v>61</v>
      </c>
      <c r="B824" t="s">
        <v>1079</v>
      </c>
      <c r="C824" t="s">
        <v>43</v>
      </c>
      <c r="D824" t="s">
        <v>63</v>
      </c>
      <c r="E824" s="1">
        <v>46069</v>
      </c>
      <c r="F824" t="s">
        <v>569</v>
      </c>
      <c r="G824" t="s">
        <v>45</v>
      </c>
      <c r="H824" s="2">
        <v>0.29166666666666669</v>
      </c>
      <c r="I824" s="2">
        <v>0.60416666666666663</v>
      </c>
      <c r="J824" t="s">
        <v>101</v>
      </c>
      <c r="L824" t="s">
        <v>159</v>
      </c>
      <c r="M824" t="s">
        <v>1111</v>
      </c>
      <c r="N824" t="s">
        <v>1112</v>
      </c>
      <c r="O824">
        <v>5950887</v>
      </c>
      <c r="Q824" t="s">
        <v>2991</v>
      </c>
      <c r="R824" t="s">
        <v>67</v>
      </c>
      <c r="S824" t="s">
        <v>52</v>
      </c>
      <c r="U824">
        <v>890631</v>
      </c>
      <c r="V824" s="3">
        <v>46065.599305555559</v>
      </c>
      <c r="W824" t="s">
        <v>1114</v>
      </c>
      <c r="X824" t="s">
        <v>1115</v>
      </c>
      <c r="Y824" t="str">
        <f>"0406493884"</f>
        <v>0406493884</v>
      </c>
      <c r="Z824" t="s">
        <v>70</v>
      </c>
      <c r="AA824" s="1">
        <v>46069</v>
      </c>
      <c r="AB824" t="s">
        <v>1085</v>
      </c>
      <c r="AD824" t="s">
        <v>61</v>
      </c>
      <c r="AE824" t="s">
        <v>1086</v>
      </c>
      <c r="AF824">
        <v>2031</v>
      </c>
      <c r="AG824" t="s">
        <v>1116</v>
      </c>
      <c r="AI824" t="s">
        <v>59</v>
      </c>
      <c r="AL824" t="s">
        <v>370</v>
      </c>
      <c r="AN824" s="3">
        <v>46069.533333333333</v>
      </c>
      <c r="AO824" t="s">
        <v>1114</v>
      </c>
    </row>
    <row r="825" spans="1:41" x14ac:dyDescent="0.3">
      <c r="A825" t="s">
        <v>168</v>
      </c>
      <c r="B825" t="s">
        <v>336</v>
      </c>
      <c r="C825" t="s">
        <v>2992</v>
      </c>
      <c r="D825" t="s">
        <v>268</v>
      </c>
      <c r="E825" s="1">
        <v>46069</v>
      </c>
      <c r="F825" t="s">
        <v>569</v>
      </c>
      <c r="G825" t="s">
        <v>45</v>
      </c>
      <c r="H825" s="2">
        <v>0.29166666666666669</v>
      </c>
      <c r="I825" s="2">
        <v>0.64583333333333337</v>
      </c>
      <c r="J825" t="s">
        <v>269</v>
      </c>
      <c r="L825" t="s">
        <v>713</v>
      </c>
      <c r="M825" t="s">
        <v>476</v>
      </c>
      <c r="N825" t="s">
        <v>714</v>
      </c>
      <c r="O825">
        <v>5951199</v>
      </c>
      <c r="Q825" t="s">
        <v>1737</v>
      </c>
      <c r="R825" t="s">
        <v>208</v>
      </c>
      <c r="S825" t="s">
        <v>52</v>
      </c>
      <c r="U825">
        <v>890854</v>
      </c>
      <c r="V825" s="3">
        <v>46068.822222222225</v>
      </c>
      <c r="W825" t="s">
        <v>715</v>
      </c>
      <c r="X825" t="s">
        <v>716</v>
      </c>
      <c r="Y825" t="str">
        <f>"0426611875"</f>
        <v>0426611875</v>
      </c>
      <c r="Z825" t="s">
        <v>70</v>
      </c>
      <c r="AA825" s="1">
        <v>46069</v>
      </c>
      <c r="AB825" t="s">
        <v>346</v>
      </c>
      <c r="AD825" t="s">
        <v>168</v>
      </c>
      <c r="AE825" t="s">
        <v>347</v>
      </c>
      <c r="AF825">
        <v>5042</v>
      </c>
      <c r="AG825" t="s">
        <v>1737</v>
      </c>
      <c r="AI825" t="s">
        <v>59</v>
      </c>
      <c r="AL825" t="s">
        <v>87</v>
      </c>
      <c r="AN825" s="3">
        <v>46070.918055555558</v>
      </c>
      <c r="AO825" t="s">
        <v>715</v>
      </c>
    </row>
    <row r="826" spans="1:41" x14ac:dyDescent="0.3">
      <c r="A826" t="s">
        <v>168</v>
      </c>
      <c r="B826" t="s">
        <v>376</v>
      </c>
      <c r="C826" t="s">
        <v>43</v>
      </c>
      <c r="D826" t="s">
        <v>127</v>
      </c>
      <c r="E826" s="1">
        <v>46069</v>
      </c>
      <c r="F826" t="s">
        <v>569</v>
      </c>
      <c r="G826" t="s">
        <v>45</v>
      </c>
      <c r="H826" s="2">
        <v>0.29166666666666669</v>
      </c>
      <c r="I826" s="2">
        <v>0.625</v>
      </c>
      <c r="J826" t="s">
        <v>185</v>
      </c>
      <c r="K826" t="s">
        <v>1507</v>
      </c>
      <c r="L826" t="s">
        <v>186</v>
      </c>
      <c r="M826" t="s">
        <v>2993</v>
      </c>
      <c r="N826" t="s">
        <v>2994</v>
      </c>
      <c r="O826">
        <v>5951300</v>
      </c>
      <c r="Q826" t="s">
        <v>1969</v>
      </c>
      <c r="R826" t="s">
        <v>231</v>
      </c>
      <c r="S826" t="s">
        <v>52</v>
      </c>
      <c r="U826">
        <v>890632</v>
      </c>
      <c r="V826" s="3">
        <v>46044.422222222223</v>
      </c>
      <c r="W826" t="s">
        <v>2995</v>
      </c>
      <c r="X826" t="s">
        <v>2996</v>
      </c>
      <c r="Y826" t="str">
        <f>"0477226004"</f>
        <v>0477226004</v>
      </c>
      <c r="Z826" t="s">
        <v>802</v>
      </c>
      <c r="AB826" t="s">
        <v>383</v>
      </c>
      <c r="AD826" t="s">
        <v>168</v>
      </c>
      <c r="AE826" t="s">
        <v>384</v>
      </c>
      <c r="AF826">
        <v>5000</v>
      </c>
      <c r="AG826" t="s">
        <v>2997</v>
      </c>
      <c r="AI826" t="s">
        <v>59</v>
      </c>
      <c r="AL826" t="s">
        <v>2998</v>
      </c>
      <c r="AN826" s="3">
        <v>46069.541666666664</v>
      </c>
      <c r="AO826" t="s">
        <v>2995</v>
      </c>
    </row>
    <row r="827" spans="1:41" x14ac:dyDescent="0.3">
      <c r="A827" t="s">
        <v>41</v>
      </c>
      <c r="B827" t="s">
        <v>965</v>
      </c>
      <c r="C827" t="s">
        <v>43</v>
      </c>
      <c r="D827" t="s">
        <v>966</v>
      </c>
      <c r="E827" s="1">
        <v>46069</v>
      </c>
      <c r="F827" t="s">
        <v>569</v>
      </c>
      <c r="G827" t="s">
        <v>45</v>
      </c>
      <c r="H827" s="2">
        <v>0.29166666666666669</v>
      </c>
      <c r="I827" s="2">
        <v>0.64583333333333337</v>
      </c>
      <c r="J827" t="s">
        <v>101</v>
      </c>
      <c r="L827" t="s">
        <v>967</v>
      </c>
      <c r="M827" t="s">
        <v>968</v>
      </c>
      <c r="N827" t="s">
        <v>969</v>
      </c>
      <c r="O827">
        <v>5952467</v>
      </c>
      <c r="Q827" t="s">
        <v>1583</v>
      </c>
      <c r="R827" t="s">
        <v>1472</v>
      </c>
      <c r="S827" t="s">
        <v>52</v>
      </c>
      <c r="U827">
        <v>890789</v>
      </c>
      <c r="V827" s="3">
        <v>46063.439583333333</v>
      </c>
      <c r="W827" t="s">
        <v>970</v>
      </c>
      <c r="X827" t="s">
        <v>971</v>
      </c>
      <c r="Y827" t="str">
        <f>"0433979184"</f>
        <v>0433979184</v>
      </c>
      <c r="Z827" t="s">
        <v>1225</v>
      </c>
      <c r="AB827" t="s">
        <v>972</v>
      </c>
      <c r="AD827" t="s">
        <v>41</v>
      </c>
      <c r="AE827" t="s">
        <v>973</v>
      </c>
      <c r="AF827">
        <v>4068</v>
      </c>
      <c r="AG827" t="s">
        <v>1471</v>
      </c>
      <c r="AI827" t="s">
        <v>59</v>
      </c>
      <c r="AL827" t="s">
        <v>2999</v>
      </c>
      <c r="AN827" s="3">
        <v>46070.695138888892</v>
      </c>
      <c r="AO827" t="s">
        <v>970</v>
      </c>
    </row>
    <row r="828" spans="1:41" x14ac:dyDescent="0.3">
      <c r="A828" t="s">
        <v>168</v>
      </c>
      <c r="B828" t="s">
        <v>376</v>
      </c>
      <c r="C828" t="s">
        <v>43</v>
      </c>
      <c r="D828" t="s">
        <v>127</v>
      </c>
      <c r="E828" s="1">
        <v>46069</v>
      </c>
      <c r="F828" t="s">
        <v>569</v>
      </c>
      <c r="G828" t="s">
        <v>45</v>
      </c>
      <c r="H828" s="2">
        <v>0.29166666666666669</v>
      </c>
      <c r="I828" s="2">
        <v>0.5</v>
      </c>
      <c r="J828" t="s">
        <v>185</v>
      </c>
      <c r="K828" t="s">
        <v>2136</v>
      </c>
      <c r="L828" t="s">
        <v>186</v>
      </c>
      <c r="M828" t="s">
        <v>835</v>
      </c>
      <c r="N828" t="s">
        <v>836</v>
      </c>
      <c r="O828">
        <v>22947</v>
      </c>
      <c r="Q828" t="s">
        <v>670</v>
      </c>
      <c r="R828" t="s">
        <v>231</v>
      </c>
      <c r="S828" t="s">
        <v>52</v>
      </c>
      <c r="U828">
        <v>890641</v>
      </c>
      <c r="V828" s="3">
        <v>46044.386111111111</v>
      </c>
      <c r="W828" t="s">
        <v>837</v>
      </c>
      <c r="X828" t="s">
        <v>838</v>
      </c>
      <c r="Y828" t="str">
        <f>"0415626656"</f>
        <v>0415626656</v>
      </c>
      <c r="Z828" t="s">
        <v>84</v>
      </c>
      <c r="AB828" t="s">
        <v>383</v>
      </c>
      <c r="AD828" t="s">
        <v>168</v>
      </c>
      <c r="AE828" t="s">
        <v>384</v>
      </c>
      <c r="AF828">
        <v>5000</v>
      </c>
      <c r="AG828" t="s">
        <v>2997</v>
      </c>
      <c r="AI828" t="s">
        <v>59</v>
      </c>
      <c r="AL828" t="s">
        <v>3000</v>
      </c>
      <c r="AM828" t="s">
        <v>3001</v>
      </c>
      <c r="AN828" s="3">
        <v>46069.598611111112</v>
      </c>
      <c r="AO828" t="s">
        <v>837</v>
      </c>
    </row>
    <row r="829" spans="1:41" x14ac:dyDescent="0.3">
      <c r="A829" t="s">
        <v>168</v>
      </c>
      <c r="B829" t="s">
        <v>326</v>
      </c>
      <c r="C829" t="s">
        <v>43</v>
      </c>
      <c r="D829" t="s">
        <v>127</v>
      </c>
      <c r="E829" s="1">
        <v>46069</v>
      </c>
      <c r="F829" t="s">
        <v>569</v>
      </c>
      <c r="G829" t="s">
        <v>45</v>
      </c>
      <c r="H829" s="2">
        <v>0.29166666666666669</v>
      </c>
      <c r="I829" s="2">
        <v>0.54166666666666663</v>
      </c>
      <c r="J829" t="s">
        <v>185</v>
      </c>
      <c r="K829" t="s">
        <v>327</v>
      </c>
      <c r="L829" t="s">
        <v>186</v>
      </c>
      <c r="M829" t="s">
        <v>1927</v>
      </c>
      <c r="N829" t="s">
        <v>1928</v>
      </c>
      <c r="O829">
        <v>5951825</v>
      </c>
      <c r="Q829" t="s">
        <v>676</v>
      </c>
      <c r="R829" t="s">
        <v>176</v>
      </c>
      <c r="S829" t="s">
        <v>52</v>
      </c>
      <c r="U829">
        <v>890639</v>
      </c>
      <c r="V829" s="3">
        <v>46044.399305555555</v>
      </c>
      <c r="W829" t="s">
        <v>1929</v>
      </c>
      <c r="X829" t="s">
        <v>1930</v>
      </c>
      <c r="Y829" t="str">
        <f>"0439336812"</f>
        <v>0439336812</v>
      </c>
      <c r="Z829" t="s">
        <v>1917</v>
      </c>
      <c r="AB829" t="s">
        <v>333</v>
      </c>
      <c r="AD829" t="s">
        <v>168</v>
      </c>
      <c r="AE829" t="s">
        <v>334</v>
      </c>
      <c r="AF829">
        <v>5034</v>
      </c>
      <c r="AG829" t="s">
        <v>676</v>
      </c>
      <c r="AI829" t="s">
        <v>59</v>
      </c>
      <c r="AL829" t="s">
        <v>87</v>
      </c>
      <c r="AN829" s="3">
        <v>46069.578472222223</v>
      </c>
      <c r="AO829" t="s">
        <v>1929</v>
      </c>
    </row>
    <row r="830" spans="1:41" x14ac:dyDescent="0.3">
      <c r="A830" t="s">
        <v>168</v>
      </c>
      <c r="B830" t="s">
        <v>376</v>
      </c>
      <c r="C830" t="s">
        <v>216</v>
      </c>
      <c r="D830" t="s">
        <v>1386</v>
      </c>
      <c r="E830" s="1">
        <v>46069</v>
      </c>
      <c r="F830" t="s">
        <v>569</v>
      </c>
      <c r="G830" t="s">
        <v>45</v>
      </c>
      <c r="H830" s="2">
        <v>0.29166666666666669</v>
      </c>
      <c r="I830" s="2">
        <v>0.625</v>
      </c>
      <c r="J830" t="s">
        <v>101</v>
      </c>
      <c r="L830" t="s">
        <v>159</v>
      </c>
      <c r="M830" t="s">
        <v>1023</v>
      </c>
      <c r="N830" t="s">
        <v>1024</v>
      </c>
      <c r="O830">
        <v>22730</v>
      </c>
      <c r="Q830" t="s">
        <v>1605</v>
      </c>
      <c r="R830" t="s">
        <v>1923</v>
      </c>
      <c r="S830" t="s">
        <v>52</v>
      </c>
      <c r="U830">
        <v>890629</v>
      </c>
      <c r="V830" s="3">
        <v>46066.479166666664</v>
      </c>
      <c r="W830" t="s">
        <v>1027</v>
      </c>
      <c r="X830" t="s">
        <v>1028</v>
      </c>
      <c r="Y830" t="str">
        <f>"0402354674"</f>
        <v>0402354674</v>
      </c>
      <c r="Z830" t="s">
        <v>70</v>
      </c>
      <c r="AA830" s="1">
        <v>46069</v>
      </c>
      <c r="AB830" t="s">
        <v>383</v>
      </c>
      <c r="AD830" t="s">
        <v>168</v>
      </c>
      <c r="AE830" t="s">
        <v>384</v>
      </c>
      <c r="AF830">
        <v>5000</v>
      </c>
      <c r="AI830" t="s">
        <v>59</v>
      </c>
      <c r="AL830" t="s">
        <v>3002</v>
      </c>
      <c r="AN830" s="3">
        <v>46069.521527777775</v>
      </c>
      <c r="AO830" t="s">
        <v>1027</v>
      </c>
    </row>
    <row r="831" spans="1:41" x14ac:dyDescent="0.3">
      <c r="A831" t="s">
        <v>306</v>
      </c>
      <c r="B831" t="s">
        <v>528</v>
      </c>
      <c r="C831" t="s">
        <v>1326</v>
      </c>
      <c r="D831" t="s">
        <v>63</v>
      </c>
      <c r="E831" s="1">
        <v>46069</v>
      </c>
      <c r="F831" t="s">
        <v>569</v>
      </c>
      <c r="G831" t="s">
        <v>45</v>
      </c>
      <c r="H831" s="2">
        <v>0.29166666666666669</v>
      </c>
      <c r="I831" s="2">
        <v>0.60416666666666663</v>
      </c>
      <c r="J831" t="s">
        <v>3003</v>
      </c>
      <c r="L831" t="s">
        <v>1753</v>
      </c>
      <c r="M831" t="s">
        <v>1754</v>
      </c>
      <c r="N831" t="s">
        <v>1755</v>
      </c>
      <c r="O831">
        <v>20486</v>
      </c>
      <c r="Q831" t="s">
        <v>2757</v>
      </c>
      <c r="R831" t="s">
        <v>1248</v>
      </c>
      <c r="S831" t="s">
        <v>52</v>
      </c>
      <c r="U831">
        <v>890820</v>
      </c>
      <c r="V831" s="3">
        <v>46067.313888888886</v>
      </c>
      <c r="W831" t="s">
        <v>1757</v>
      </c>
      <c r="X831" t="s">
        <v>1758</v>
      </c>
      <c r="Y831" t="str">
        <f>"0432381966"</f>
        <v>0432381966</v>
      </c>
      <c r="Z831" t="s">
        <v>70</v>
      </c>
      <c r="AA831" s="1">
        <v>46069</v>
      </c>
      <c r="AB831" t="s">
        <v>537</v>
      </c>
      <c r="AD831" t="s">
        <v>306</v>
      </c>
      <c r="AE831" t="s">
        <v>538</v>
      </c>
      <c r="AF831">
        <v>3152</v>
      </c>
      <c r="AG831" t="s">
        <v>2757</v>
      </c>
      <c r="AI831" t="s">
        <v>59</v>
      </c>
      <c r="AL831" t="s">
        <v>3004</v>
      </c>
      <c r="AN831" s="3">
        <v>46070.780555555553</v>
      </c>
      <c r="AO831" t="s">
        <v>1757</v>
      </c>
    </row>
    <row r="832" spans="1:41" x14ac:dyDescent="0.3">
      <c r="A832" t="s">
        <v>61</v>
      </c>
      <c r="B832" t="s">
        <v>507</v>
      </c>
      <c r="D832" t="s">
        <v>63</v>
      </c>
      <c r="E832" s="1">
        <v>46069</v>
      </c>
      <c r="F832" t="s">
        <v>569</v>
      </c>
      <c r="G832" t="s">
        <v>45</v>
      </c>
      <c r="H832" s="2">
        <v>0.29166666666666669</v>
      </c>
      <c r="I832" s="2">
        <v>0.8125</v>
      </c>
      <c r="J832" t="s">
        <v>296</v>
      </c>
      <c r="L832" t="s">
        <v>728</v>
      </c>
      <c r="M832" t="s">
        <v>729</v>
      </c>
      <c r="N832" t="s">
        <v>730</v>
      </c>
      <c r="O832">
        <v>5952035</v>
      </c>
      <c r="Q832" t="s">
        <v>3005</v>
      </c>
      <c r="R832" t="s">
        <v>67</v>
      </c>
      <c r="S832" t="s">
        <v>52</v>
      </c>
      <c r="U832">
        <v>890695</v>
      </c>
      <c r="V832" s="3">
        <v>46062.590277777781</v>
      </c>
      <c r="W832" t="s">
        <v>732</v>
      </c>
      <c r="X832" t="s">
        <v>733</v>
      </c>
      <c r="Y832" t="str">
        <f>"0498946862"</f>
        <v>0498946862</v>
      </c>
      <c r="Z832" t="s">
        <v>3006</v>
      </c>
      <c r="AB832" t="s">
        <v>514</v>
      </c>
      <c r="AD832" t="s">
        <v>61</v>
      </c>
      <c r="AE832" t="s">
        <v>515</v>
      </c>
      <c r="AF832">
        <v>2086</v>
      </c>
      <c r="AG832" t="s">
        <v>516</v>
      </c>
      <c r="AI832" t="s">
        <v>59</v>
      </c>
      <c r="AL832" t="s">
        <v>2869</v>
      </c>
      <c r="AN832" s="3">
        <v>46069.806944444441</v>
      </c>
      <c r="AO832" t="s">
        <v>732</v>
      </c>
    </row>
    <row r="833" spans="1:41" x14ac:dyDescent="0.3">
      <c r="A833" t="s">
        <v>168</v>
      </c>
      <c r="B833" t="s">
        <v>266</v>
      </c>
      <c r="D833" t="s">
        <v>268</v>
      </c>
      <c r="E833" s="1">
        <v>46069</v>
      </c>
      <c r="F833" t="s">
        <v>569</v>
      </c>
      <c r="G833" t="s">
        <v>45</v>
      </c>
      <c r="H833" s="2">
        <v>0.29166666666666669</v>
      </c>
      <c r="I833" s="2">
        <v>0.64583333333333337</v>
      </c>
      <c r="J833" t="s">
        <v>296</v>
      </c>
      <c r="K833" t="s">
        <v>297</v>
      </c>
      <c r="L833" t="s">
        <v>2603</v>
      </c>
      <c r="M833" t="s">
        <v>1365</v>
      </c>
      <c r="N833" t="s">
        <v>1365</v>
      </c>
      <c r="O833">
        <v>22974</v>
      </c>
      <c r="Q833" t="s">
        <v>274</v>
      </c>
      <c r="R833" t="s">
        <v>176</v>
      </c>
      <c r="S833" t="s">
        <v>52</v>
      </c>
      <c r="U833">
        <v>890657</v>
      </c>
      <c r="V833" s="3">
        <v>45993.425000000003</v>
      </c>
      <c r="W833" t="s">
        <v>2604</v>
      </c>
      <c r="X833" t="s">
        <v>2605</v>
      </c>
      <c r="Y833" t="str">
        <f>"0426662717"</f>
        <v>0426662717</v>
      </c>
      <c r="Z833" t="s">
        <v>3007</v>
      </c>
      <c r="AB833" t="s">
        <v>277</v>
      </c>
      <c r="AC833" t="s">
        <v>278</v>
      </c>
      <c r="AD833" t="s">
        <v>168</v>
      </c>
      <c r="AE833" t="s">
        <v>279</v>
      </c>
      <c r="AF833">
        <v>5092</v>
      </c>
      <c r="AG833" t="s">
        <v>274</v>
      </c>
      <c r="AI833" t="s">
        <v>59</v>
      </c>
      <c r="AL833" t="s">
        <v>2928</v>
      </c>
      <c r="AM833" t="s">
        <v>281</v>
      </c>
      <c r="AN833" s="3">
        <v>46069.665972222225</v>
      </c>
      <c r="AO833" t="s">
        <v>2604</v>
      </c>
    </row>
    <row r="834" spans="1:41" x14ac:dyDescent="0.3">
      <c r="A834" t="s">
        <v>61</v>
      </c>
      <c r="B834" t="s">
        <v>507</v>
      </c>
      <c r="C834" t="s">
        <v>1003</v>
      </c>
      <c r="D834" t="s">
        <v>63</v>
      </c>
      <c r="E834" s="1">
        <v>46069</v>
      </c>
      <c r="F834" t="s">
        <v>569</v>
      </c>
      <c r="G834" t="s">
        <v>45</v>
      </c>
      <c r="H834" s="2">
        <v>0.29166666666666669</v>
      </c>
      <c r="I834" s="2">
        <v>0.99861111111111112</v>
      </c>
      <c r="J834" t="s">
        <v>101</v>
      </c>
      <c r="L834" t="s">
        <v>159</v>
      </c>
      <c r="M834" t="s">
        <v>1004</v>
      </c>
      <c r="N834" t="s">
        <v>1005</v>
      </c>
      <c r="O834">
        <v>5952129</v>
      </c>
      <c r="Q834" t="s">
        <v>3008</v>
      </c>
      <c r="R834" t="s">
        <v>132</v>
      </c>
      <c r="S834" t="s">
        <v>52</v>
      </c>
      <c r="U834">
        <v>890674</v>
      </c>
      <c r="V834" s="3">
        <v>46029.462500000001</v>
      </c>
      <c r="W834" t="s">
        <v>1007</v>
      </c>
      <c r="X834" t="s">
        <v>1008</v>
      </c>
      <c r="Y834" t="str">
        <f>"0422263194"</f>
        <v>0422263194</v>
      </c>
      <c r="Z834" t="s">
        <v>3009</v>
      </c>
      <c r="AB834" t="s">
        <v>514</v>
      </c>
      <c r="AD834" t="s">
        <v>61</v>
      </c>
      <c r="AE834" t="s">
        <v>515</v>
      </c>
      <c r="AF834">
        <v>2086</v>
      </c>
      <c r="AG834" t="s">
        <v>3010</v>
      </c>
      <c r="AI834" t="s">
        <v>59</v>
      </c>
      <c r="AL834" t="s">
        <v>2869</v>
      </c>
      <c r="AN834" s="3">
        <v>46069.762499999997</v>
      </c>
      <c r="AO834" t="s">
        <v>1007</v>
      </c>
    </row>
    <row r="835" spans="1:41" x14ac:dyDescent="0.3">
      <c r="A835" t="s">
        <v>41</v>
      </c>
      <c r="B835" t="s">
        <v>426</v>
      </c>
      <c r="C835" t="s">
        <v>296</v>
      </c>
      <c r="D835" t="s">
        <v>246</v>
      </c>
      <c r="E835" s="1">
        <v>46069</v>
      </c>
      <c r="F835" t="s">
        <v>569</v>
      </c>
      <c r="G835" t="s">
        <v>45</v>
      </c>
      <c r="H835" s="2">
        <v>0.29166666666666669</v>
      </c>
      <c r="I835" s="2">
        <v>0.64583333333333337</v>
      </c>
      <c r="J835" t="s">
        <v>464</v>
      </c>
      <c r="L835" t="s">
        <v>2973</v>
      </c>
      <c r="M835" t="s">
        <v>392</v>
      </c>
      <c r="N835" t="s">
        <v>3011</v>
      </c>
      <c r="O835">
        <v>5952076</v>
      </c>
      <c r="Q835" t="s">
        <v>3012</v>
      </c>
      <c r="R835" t="s">
        <v>132</v>
      </c>
      <c r="S835" t="s">
        <v>52</v>
      </c>
      <c r="U835">
        <v>890660</v>
      </c>
      <c r="V835" s="3">
        <v>46069.254861111112</v>
      </c>
      <c r="W835" t="s">
        <v>3013</v>
      </c>
      <c r="X835" t="s">
        <v>3014</v>
      </c>
      <c r="Y835" t="str">
        <f>"0434010342"</f>
        <v>0434010342</v>
      </c>
      <c r="Z835" t="s">
        <v>545</v>
      </c>
      <c r="AA835" s="1">
        <v>46069</v>
      </c>
      <c r="AB835" t="s">
        <v>434</v>
      </c>
      <c r="AD835" t="s">
        <v>41</v>
      </c>
      <c r="AE835" t="s">
        <v>435</v>
      </c>
      <c r="AF835">
        <v>4163</v>
      </c>
      <c r="AG835" t="s">
        <v>3015</v>
      </c>
      <c r="AI835" t="s">
        <v>59</v>
      </c>
      <c r="AL835" t="s">
        <v>87</v>
      </c>
      <c r="AN835" s="3">
        <v>46069.688888888886</v>
      </c>
      <c r="AO835" t="s">
        <v>3013</v>
      </c>
    </row>
    <row r="836" spans="1:41" x14ac:dyDescent="0.3">
      <c r="A836" t="s">
        <v>75</v>
      </c>
      <c r="B836" t="s">
        <v>895</v>
      </c>
      <c r="C836" t="s">
        <v>896</v>
      </c>
      <c r="D836" t="s">
        <v>184</v>
      </c>
      <c r="E836" s="1">
        <v>46069</v>
      </c>
      <c r="F836" t="s">
        <v>569</v>
      </c>
      <c r="G836" t="s">
        <v>45</v>
      </c>
      <c r="H836" s="2">
        <v>0.29166666666666669</v>
      </c>
      <c r="I836" s="2">
        <v>0.72916666666666663</v>
      </c>
      <c r="J836" t="s">
        <v>464</v>
      </c>
      <c r="L836" t="s">
        <v>540</v>
      </c>
      <c r="M836" t="s">
        <v>2680</v>
      </c>
      <c r="N836" t="s">
        <v>1542</v>
      </c>
      <c r="O836">
        <v>5952196</v>
      </c>
      <c r="Q836" t="s">
        <v>2681</v>
      </c>
      <c r="R836" t="s">
        <v>926</v>
      </c>
      <c r="S836" t="s">
        <v>52</v>
      </c>
      <c r="U836">
        <v>890648</v>
      </c>
      <c r="V836" s="3">
        <v>46066.447916666664</v>
      </c>
      <c r="W836" t="s">
        <v>2682</v>
      </c>
      <c r="X836" t="s">
        <v>2683</v>
      </c>
      <c r="Y836" t="str">
        <f>"0412918721"</f>
        <v>0412918721</v>
      </c>
      <c r="Z836" t="s">
        <v>70</v>
      </c>
      <c r="AA836" s="1">
        <v>46069</v>
      </c>
      <c r="AB836" t="s">
        <v>902</v>
      </c>
      <c r="AD836" t="s">
        <v>75</v>
      </c>
      <c r="AE836" t="s">
        <v>903</v>
      </c>
      <c r="AF836">
        <v>6009</v>
      </c>
      <c r="AG836" t="s">
        <v>2681</v>
      </c>
      <c r="AI836" t="s">
        <v>59</v>
      </c>
      <c r="AL836" t="s">
        <v>87</v>
      </c>
      <c r="AN836" s="3">
        <v>46069.62222222222</v>
      </c>
      <c r="AO836" t="s">
        <v>2682</v>
      </c>
    </row>
    <row r="837" spans="1:41" x14ac:dyDescent="0.3">
      <c r="A837" t="s">
        <v>168</v>
      </c>
      <c r="B837" t="s">
        <v>266</v>
      </c>
      <c r="C837" t="s">
        <v>267</v>
      </c>
      <c r="D837" t="s">
        <v>268</v>
      </c>
      <c r="E837" s="1">
        <v>46069</v>
      </c>
      <c r="F837" t="s">
        <v>569</v>
      </c>
      <c r="G837" t="s">
        <v>45</v>
      </c>
      <c r="H837" s="2">
        <v>0.29166666666666669</v>
      </c>
      <c r="I837" s="2">
        <v>0.64583333333333337</v>
      </c>
      <c r="J837" t="s">
        <v>269</v>
      </c>
      <c r="K837" t="s">
        <v>270</v>
      </c>
      <c r="L837" t="s">
        <v>298</v>
      </c>
      <c r="M837" t="s">
        <v>3016</v>
      </c>
      <c r="N837" t="s">
        <v>3017</v>
      </c>
      <c r="O837">
        <v>21135</v>
      </c>
      <c r="Q837" t="s">
        <v>274</v>
      </c>
      <c r="R837" t="s">
        <v>176</v>
      </c>
      <c r="S837" t="s">
        <v>52</v>
      </c>
      <c r="U837">
        <v>890656</v>
      </c>
      <c r="V837" s="3">
        <v>45993.552777777775</v>
      </c>
      <c r="W837" t="s">
        <v>3018</v>
      </c>
      <c r="X837" t="s">
        <v>3019</v>
      </c>
      <c r="Y837" t="str">
        <f>"0435207028"</f>
        <v>0435207028</v>
      </c>
      <c r="Z837" t="s">
        <v>70</v>
      </c>
      <c r="AB837" t="s">
        <v>277</v>
      </c>
      <c r="AC837" t="s">
        <v>278</v>
      </c>
      <c r="AD837" t="s">
        <v>168</v>
      </c>
      <c r="AE837" t="s">
        <v>279</v>
      </c>
      <c r="AF837">
        <v>5092</v>
      </c>
      <c r="AG837" t="s">
        <v>274</v>
      </c>
      <c r="AI837" t="s">
        <v>59</v>
      </c>
      <c r="AL837" t="s">
        <v>3020</v>
      </c>
      <c r="AM837" t="s">
        <v>281</v>
      </c>
      <c r="AN837" s="3">
        <v>46069.665277777778</v>
      </c>
      <c r="AO837" t="s">
        <v>3018</v>
      </c>
    </row>
    <row r="838" spans="1:41" x14ac:dyDescent="0.3">
      <c r="A838" t="s">
        <v>168</v>
      </c>
      <c r="B838" t="s">
        <v>441</v>
      </c>
      <c r="C838" t="s">
        <v>43</v>
      </c>
      <c r="E838" s="1">
        <v>46069</v>
      </c>
      <c r="F838" t="s">
        <v>569</v>
      </c>
      <c r="G838" t="s">
        <v>45</v>
      </c>
      <c r="H838" s="2">
        <v>0.29166666666666669</v>
      </c>
      <c r="I838" s="2">
        <v>0.625</v>
      </c>
      <c r="J838" t="s">
        <v>185</v>
      </c>
      <c r="K838" t="s">
        <v>678</v>
      </c>
      <c r="L838" t="s">
        <v>186</v>
      </c>
      <c r="M838" t="s">
        <v>260</v>
      </c>
      <c r="N838" t="s">
        <v>261</v>
      </c>
      <c r="O838">
        <v>5950997</v>
      </c>
      <c r="Q838" t="s">
        <v>944</v>
      </c>
      <c r="R838" t="s">
        <v>500</v>
      </c>
      <c r="S838" t="s">
        <v>52</v>
      </c>
      <c r="U838">
        <v>890655</v>
      </c>
      <c r="V838" s="3">
        <v>46050.959027777775</v>
      </c>
      <c r="W838" t="s">
        <v>262</v>
      </c>
      <c r="X838" t="s">
        <v>263</v>
      </c>
      <c r="Y838" t="str">
        <f>"0470174818"</f>
        <v>0470174818</v>
      </c>
      <c r="Z838" t="s">
        <v>3021</v>
      </c>
      <c r="AB838" t="s">
        <v>448</v>
      </c>
      <c r="AD838" t="s">
        <v>168</v>
      </c>
      <c r="AE838" t="s">
        <v>180</v>
      </c>
      <c r="AF838">
        <v>5063</v>
      </c>
      <c r="AG838" t="s">
        <v>944</v>
      </c>
      <c r="AI838" t="s">
        <v>59</v>
      </c>
      <c r="AL838" t="s">
        <v>3022</v>
      </c>
      <c r="AN838" s="3">
        <v>46069.63958333333</v>
      </c>
      <c r="AO838" t="s">
        <v>262</v>
      </c>
    </row>
    <row r="839" spans="1:41" x14ac:dyDescent="0.3">
      <c r="A839" t="s">
        <v>61</v>
      </c>
      <c r="B839" t="s">
        <v>768</v>
      </c>
      <c r="C839" t="s">
        <v>296</v>
      </c>
      <c r="D839" t="s">
        <v>769</v>
      </c>
      <c r="E839" s="1">
        <v>46069</v>
      </c>
      <c r="F839" t="s">
        <v>569</v>
      </c>
      <c r="G839" t="s">
        <v>45</v>
      </c>
      <c r="H839" s="2">
        <v>0.3125</v>
      </c>
      <c r="I839" s="2">
        <v>0.625</v>
      </c>
      <c r="J839" t="s">
        <v>296</v>
      </c>
      <c r="L839" t="s">
        <v>298</v>
      </c>
      <c r="M839" t="s">
        <v>770</v>
      </c>
      <c r="N839" t="s">
        <v>771</v>
      </c>
      <c r="O839">
        <v>5952291</v>
      </c>
      <c r="Q839" t="s">
        <v>772</v>
      </c>
      <c r="R839" t="s">
        <v>132</v>
      </c>
      <c r="S839" t="s">
        <v>52</v>
      </c>
      <c r="U839">
        <v>890649</v>
      </c>
      <c r="V839" s="3">
        <v>46064.392361111109</v>
      </c>
      <c r="W839" t="s">
        <v>773</v>
      </c>
      <c r="X839" t="s">
        <v>774</v>
      </c>
      <c r="Y839" t="str">
        <f>"0432174467"</f>
        <v>0432174467</v>
      </c>
      <c r="Z839" t="s">
        <v>585</v>
      </c>
      <c r="AB839" t="s">
        <v>775</v>
      </c>
      <c r="AD839" t="s">
        <v>61</v>
      </c>
      <c r="AE839" t="s">
        <v>776</v>
      </c>
      <c r="AF839">
        <v>2076</v>
      </c>
      <c r="AG839" t="s">
        <v>772</v>
      </c>
      <c r="AI839" t="s">
        <v>59</v>
      </c>
      <c r="AL839" t="s">
        <v>2869</v>
      </c>
      <c r="AN839" s="3">
        <v>46069.634027777778</v>
      </c>
      <c r="AO839" t="s">
        <v>773</v>
      </c>
    </row>
    <row r="840" spans="1:41" x14ac:dyDescent="0.3">
      <c r="A840" t="s">
        <v>306</v>
      </c>
      <c r="B840" t="s">
        <v>820</v>
      </c>
      <c r="C840" t="s">
        <v>100</v>
      </c>
      <c r="D840" t="s">
        <v>127</v>
      </c>
      <c r="E840" s="1">
        <v>46069</v>
      </c>
      <c r="F840" t="s">
        <v>569</v>
      </c>
      <c r="G840" t="s">
        <v>45</v>
      </c>
      <c r="H840" s="2">
        <v>0.3125</v>
      </c>
      <c r="I840" s="2">
        <v>0.72916666666666663</v>
      </c>
      <c r="J840" t="s">
        <v>451</v>
      </c>
      <c r="L840" t="s">
        <v>452</v>
      </c>
      <c r="M840" t="s">
        <v>821</v>
      </c>
      <c r="N840" t="s">
        <v>822</v>
      </c>
      <c r="O840">
        <v>20712</v>
      </c>
      <c r="Q840" t="s">
        <v>823</v>
      </c>
      <c r="R840" t="s">
        <v>314</v>
      </c>
      <c r="S840" t="s">
        <v>52</v>
      </c>
      <c r="U840">
        <v>890667</v>
      </c>
      <c r="V840" s="3">
        <v>46062.515277777777</v>
      </c>
      <c r="W840" t="s">
        <v>824</v>
      </c>
      <c r="X840" t="s">
        <v>825</v>
      </c>
      <c r="Y840" t="str">
        <f>"0439419256"</f>
        <v>0439419256</v>
      </c>
      <c r="Z840" t="s">
        <v>70</v>
      </c>
      <c r="AA840" s="1">
        <v>46069</v>
      </c>
      <c r="AB840" t="s">
        <v>826</v>
      </c>
      <c r="AD840" t="s">
        <v>306</v>
      </c>
      <c r="AE840" t="s">
        <v>827</v>
      </c>
      <c r="AF840">
        <v>3181</v>
      </c>
      <c r="AG840" t="s">
        <v>823</v>
      </c>
      <c r="AI840" t="s">
        <v>59</v>
      </c>
      <c r="AL840" t="s">
        <v>87</v>
      </c>
      <c r="AN840" s="3">
        <v>46069.720833333333</v>
      </c>
      <c r="AO840" t="s">
        <v>824</v>
      </c>
    </row>
    <row r="841" spans="1:41" x14ac:dyDescent="0.3">
      <c r="A841" t="s">
        <v>168</v>
      </c>
      <c r="B841" t="s">
        <v>689</v>
      </c>
      <c r="C841" t="s">
        <v>43</v>
      </c>
      <c r="D841" t="s">
        <v>268</v>
      </c>
      <c r="E841" s="1">
        <v>46069</v>
      </c>
      <c r="F841" t="s">
        <v>569</v>
      </c>
      <c r="G841" t="s">
        <v>45</v>
      </c>
      <c r="H841" s="2">
        <v>0.3125</v>
      </c>
      <c r="I841" s="2">
        <v>0.66666666666666663</v>
      </c>
      <c r="J841" t="s">
        <v>101</v>
      </c>
      <c r="L841" t="s">
        <v>159</v>
      </c>
      <c r="M841" t="s">
        <v>690</v>
      </c>
      <c r="N841" t="s">
        <v>691</v>
      </c>
      <c r="O841">
        <v>5950774</v>
      </c>
      <c r="P841" t="s">
        <v>249</v>
      </c>
      <c r="Q841" t="s">
        <v>692</v>
      </c>
      <c r="R841" t="s">
        <v>693</v>
      </c>
      <c r="S841" t="s">
        <v>52</v>
      </c>
      <c r="T841" t="s">
        <v>252</v>
      </c>
      <c r="U841">
        <v>891398</v>
      </c>
      <c r="V841" s="3">
        <v>46075.970138888886</v>
      </c>
      <c r="W841" t="s">
        <v>693</v>
      </c>
      <c r="X841" t="s">
        <v>694</v>
      </c>
      <c r="Y841" t="str">
        <f>"0404019300"</f>
        <v>0404019300</v>
      </c>
      <c r="Z841" t="s">
        <v>585</v>
      </c>
      <c r="AA841" s="1">
        <v>46117</v>
      </c>
      <c r="AB841" t="s">
        <v>695</v>
      </c>
      <c r="AD841" t="s">
        <v>168</v>
      </c>
      <c r="AE841" t="s">
        <v>696</v>
      </c>
      <c r="AF841">
        <v>5606</v>
      </c>
      <c r="AG841" t="s">
        <v>3023</v>
      </c>
      <c r="AI841" t="s">
        <v>59</v>
      </c>
      <c r="AJ841" t="str">
        <f>"0020188040"</f>
        <v>0020188040</v>
      </c>
      <c r="AM841" t="s">
        <v>3024</v>
      </c>
      <c r="AN841" s="3">
        <v>46075.970138888886</v>
      </c>
      <c r="AO841" t="s">
        <v>693</v>
      </c>
    </row>
    <row r="842" spans="1:41" x14ac:dyDescent="0.3">
      <c r="A842" t="s">
        <v>61</v>
      </c>
      <c r="B842" t="s">
        <v>3025</v>
      </c>
      <c r="C842" t="s">
        <v>43</v>
      </c>
      <c r="D842" t="s">
        <v>184</v>
      </c>
      <c r="E842" s="1">
        <v>46069</v>
      </c>
      <c r="F842" t="s">
        <v>569</v>
      </c>
      <c r="G842" t="s">
        <v>45</v>
      </c>
      <c r="H842" s="2">
        <v>0.3125</v>
      </c>
      <c r="I842" s="2">
        <v>0.625</v>
      </c>
      <c r="J842" t="s">
        <v>46</v>
      </c>
      <c r="L842" t="s">
        <v>47</v>
      </c>
      <c r="M842" t="s">
        <v>914</v>
      </c>
      <c r="N842" t="s">
        <v>915</v>
      </c>
      <c r="O842">
        <v>5951931</v>
      </c>
      <c r="Q842" t="s">
        <v>3026</v>
      </c>
      <c r="R842" t="s">
        <v>132</v>
      </c>
      <c r="S842" t="s">
        <v>52</v>
      </c>
      <c r="U842">
        <v>890642</v>
      </c>
      <c r="V842" s="3">
        <v>46066.618055555555</v>
      </c>
      <c r="W842" t="s">
        <v>917</v>
      </c>
      <c r="X842" t="s">
        <v>918</v>
      </c>
      <c r="Y842" t="str">
        <f>"0402155331"</f>
        <v>0402155331</v>
      </c>
      <c r="Z842" t="s">
        <v>70</v>
      </c>
      <c r="AA842" s="1">
        <v>46069</v>
      </c>
      <c r="AB842" t="s">
        <v>3027</v>
      </c>
      <c r="AD842" t="s">
        <v>61</v>
      </c>
      <c r="AE842" t="s">
        <v>1848</v>
      </c>
      <c r="AF842">
        <v>2217</v>
      </c>
      <c r="AG842" t="s">
        <v>3026</v>
      </c>
      <c r="AI842" t="s">
        <v>59</v>
      </c>
      <c r="AL842" t="s">
        <v>3028</v>
      </c>
      <c r="AN842" s="3">
        <v>46069.598611111112</v>
      </c>
      <c r="AO842" t="s">
        <v>917</v>
      </c>
    </row>
    <row r="843" spans="1:41" x14ac:dyDescent="0.3">
      <c r="A843" t="s">
        <v>61</v>
      </c>
      <c r="B843" t="s">
        <v>182</v>
      </c>
      <c r="C843" t="s">
        <v>183</v>
      </c>
      <c r="D843" t="s">
        <v>184</v>
      </c>
      <c r="E843" s="1">
        <v>46069</v>
      </c>
      <c r="F843" t="s">
        <v>569</v>
      </c>
      <c r="G843" t="s">
        <v>45</v>
      </c>
      <c r="H843" s="2">
        <v>0.3125</v>
      </c>
      <c r="I843" s="2">
        <v>0.79166666666666663</v>
      </c>
      <c r="J843" t="s">
        <v>185</v>
      </c>
      <c r="L843" t="s">
        <v>790</v>
      </c>
      <c r="M843" t="s">
        <v>791</v>
      </c>
      <c r="N843" t="s">
        <v>792</v>
      </c>
      <c r="O843">
        <v>5952334</v>
      </c>
      <c r="Q843" t="s">
        <v>189</v>
      </c>
      <c r="R843" t="s">
        <v>132</v>
      </c>
      <c r="S843" t="s">
        <v>52</v>
      </c>
      <c r="U843">
        <v>890694</v>
      </c>
      <c r="V843" s="3">
        <v>46064.443055555559</v>
      </c>
      <c r="W843" t="s">
        <v>793</v>
      </c>
      <c r="X843" t="s">
        <v>794</v>
      </c>
      <c r="Y843" t="str">
        <f>"0422273393"</f>
        <v>0422273393</v>
      </c>
      <c r="Z843" t="s">
        <v>3029</v>
      </c>
      <c r="AB843" t="s">
        <v>193</v>
      </c>
      <c r="AD843" t="s">
        <v>61</v>
      </c>
      <c r="AE843" t="s">
        <v>194</v>
      </c>
      <c r="AF843">
        <v>2229</v>
      </c>
      <c r="AG843" t="s">
        <v>189</v>
      </c>
      <c r="AI843" t="s">
        <v>59</v>
      </c>
      <c r="AL843" t="s">
        <v>3030</v>
      </c>
      <c r="AN843" s="3">
        <v>46069.806250000001</v>
      </c>
      <c r="AO843" t="s">
        <v>793</v>
      </c>
    </row>
    <row r="844" spans="1:41" x14ac:dyDescent="0.3">
      <c r="A844" t="s">
        <v>61</v>
      </c>
      <c r="B844" t="s">
        <v>3031</v>
      </c>
      <c r="C844" t="s">
        <v>43</v>
      </c>
      <c r="D844" t="s">
        <v>127</v>
      </c>
      <c r="E844" s="1">
        <v>46069</v>
      </c>
      <c r="F844" t="s">
        <v>569</v>
      </c>
      <c r="G844" t="s">
        <v>45</v>
      </c>
      <c r="H844" s="2">
        <v>0.3125</v>
      </c>
      <c r="I844" s="2">
        <v>0.99861111111111112</v>
      </c>
      <c r="J844" t="s">
        <v>101</v>
      </c>
      <c r="L844" t="s">
        <v>159</v>
      </c>
      <c r="M844" t="s">
        <v>1765</v>
      </c>
      <c r="N844" t="s">
        <v>1766</v>
      </c>
      <c r="O844">
        <v>339</v>
      </c>
      <c r="Q844" t="s">
        <v>3032</v>
      </c>
      <c r="R844" t="s">
        <v>67</v>
      </c>
      <c r="S844" t="s">
        <v>52</v>
      </c>
      <c r="U844">
        <v>890663</v>
      </c>
      <c r="V844" s="3">
        <v>46065.656944444447</v>
      </c>
      <c r="W844" t="s">
        <v>1768</v>
      </c>
      <c r="X844" t="s">
        <v>1769</v>
      </c>
      <c r="Y844" t="str">
        <f>"0419654987"</f>
        <v>0419654987</v>
      </c>
      <c r="Z844" t="s">
        <v>585</v>
      </c>
      <c r="AB844" t="s">
        <v>3033</v>
      </c>
      <c r="AD844" t="s">
        <v>61</v>
      </c>
      <c r="AE844" t="s">
        <v>3034</v>
      </c>
      <c r="AF844">
        <v>2570</v>
      </c>
      <c r="AG844" t="s">
        <v>3032</v>
      </c>
      <c r="AI844" t="s">
        <v>59</v>
      </c>
      <c r="AL844" t="s">
        <v>2869</v>
      </c>
      <c r="AN844" s="3">
        <v>46069.707638888889</v>
      </c>
      <c r="AO844" t="s">
        <v>1768</v>
      </c>
    </row>
    <row r="845" spans="1:41" x14ac:dyDescent="0.3">
      <c r="A845" t="s">
        <v>41</v>
      </c>
      <c r="B845" t="s">
        <v>551</v>
      </c>
      <c r="C845" t="s">
        <v>1547</v>
      </c>
      <c r="D845" t="s">
        <v>246</v>
      </c>
      <c r="E845" s="1">
        <v>46069</v>
      </c>
      <c r="F845" t="s">
        <v>569</v>
      </c>
      <c r="G845" t="s">
        <v>45</v>
      </c>
      <c r="H845" s="2">
        <v>0.32291666666666669</v>
      </c>
      <c r="I845" s="2">
        <v>0.71875</v>
      </c>
      <c r="J845" t="s">
        <v>185</v>
      </c>
      <c r="L845" t="s">
        <v>186</v>
      </c>
      <c r="M845" t="s">
        <v>3035</v>
      </c>
      <c r="N845" t="s">
        <v>3036</v>
      </c>
      <c r="O845">
        <v>5951970</v>
      </c>
      <c r="Q845" t="s">
        <v>3037</v>
      </c>
      <c r="R845" t="s">
        <v>145</v>
      </c>
      <c r="S845" t="s">
        <v>52</v>
      </c>
      <c r="U845">
        <v>890671</v>
      </c>
      <c r="V845" s="3">
        <v>46059.770138888889</v>
      </c>
      <c r="W845" t="s">
        <v>3038</v>
      </c>
      <c r="X845" t="s">
        <v>3039</v>
      </c>
      <c r="Y845" t="str">
        <f>"0401493806"</f>
        <v>0401493806</v>
      </c>
      <c r="Z845" t="s">
        <v>2442</v>
      </c>
      <c r="AB845" t="s">
        <v>559</v>
      </c>
      <c r="AD845" t="s">
        <v>41</v>
      </c>
      <c r="AE845" t="s">
        <v>560</v>
      </c>
      <c r="AF845">
        <v>4131</v>
      </c>
      <c r="AG845" t="s">
        <v>3040</v>
      </c>
      <c r="AI845" t="s">
        <v>59</v>
      </c>
      <c r="AL845" t="s">
        <v>2622</v>
      </c>
      <c r="AN845" s="3">
        <v>46069.755555555559</v>
      </c>
      <c r="AO845" t="s">
        <v>3038</v>
      </c>
    </row>
    <row r="846" spans="1:41" x14ac:dyDescent="0.3">
      <c r="A846" t="s">
        <v>41</v>
      </c>
      <c r="B846" t="s">
        <v>426</v>
      </c>
      <c r="C846" t="s">
        <v>43</v>
      </c>
      <c r="D846" t="s">
        <v>246</v>
      </c>
      <c r="E846" s="1">
        <v>46069</v>
      </c>
      <c r="F846" t="s">
        <v>569</v>
      </c>
      <c r="G846" t="s">
        <v>45</v>
      </c>
      <c r="H846" s="2">
        <v>0.32291666666666669</v>
      </c>
      <c r="I846" s="2">
        <v>0.71875</v>
      </c>
      <c r="J846" t="s">
        <v>185</v>
      </c>
      <c r="K846" t="s">
        <v>427</v>
      </c>
      <c r="L846" t="s">
        <v>815</v>
      </c>
      <c r="M846" t="s">
        <v>816</v>
      </c>
      <c r="N846" t="s">
        <v>817</v>
      </c>
      <c r="O846">
        <v>22501</v>
      </c>
      <c r="Q846" t="s">
        <v>249</v>
      </c>
      <c r="R846" t="s">
        <v>51</v>
      </c>
      <c r="S846" t="s">
        <v>52</v>
      </c>
      <c r="U846">
        <v>890672</v>
      </c>
      <c r="V846" s="3">
        <v>46059.572916666664</v>
      </c>
      <c r="W846" t="s">
        <v>818</v>
      </c>
      <c r="X846" t="s">
        <v>819</v>
      </c>
      <c r="Y846" t="str">
        <f>"0432588228"</f>
        <v>0432588228</v>
      </c>
      <c r="Z846" t="s">
        <v>846</v>
      </c>
      <c r="AB846" t="s">
        <v>434</v>
      </c>
      <c r="AD846" t="s">
        <v>41</v>
      </c>
      <c r="AE846" t="s">
        <v>435</v>
      </c>
      <c r="AF846">
        <v>4163</v>
      </c>
      <c r="AG846" t="s">
        <v>249</v>
      </c>
      <c r="AI846" t="s">
        <v>59</v>
      </c>
      <c r="AL846" t="s">
        <v>249</v>
      </c>
      <c r="AN846" s="3">
        <v>46069.756944444445</v>
      </c>
      <c r="AO846" t="s">
        <v>818</v>
      </c>
    </row>
    <row r="847" spans="1:41" x14ac:dyDescent="0.3">
      <c r="A847" t="s">
        <v>61</v>
      </c>
      <c r="B847" t="s">
        <v>912</v>
      </c>
      <c r="C847" t="s">
        <v>913</v>
      </c>
      <c r="D847" t="s">
        <v>184</v>
      </c>
      <c r="E847" s="1">
        <v>46069</v>
      </c>
      <c r="F847" t="s">
        <v>569</v>
      </c>
      <c r="G847" t="s">
        <v>45</v>
      </c>
      <c r="H847" s="2">
        <v>0.33333333333333331</v>
      </c>
      <c r="I847" s="2">
        <v>0.60416666666666663</v>
      </c>
      <c r="J847" t="s">
        <v>46</v>
      </c>
      <c r="L847" t="s">
        <v>47</v>
      </c>
      <c r="M847" t="s">
        <v>1578</v>
      </c>
      <c r="N847" t="s">
        <v>1803</v>
      </c>
      <c r="O847">
        <v>5950668</v>
      </c>
      <c r="Q847" t="s">
        <v>916</v>
      </c>
      <c r="R847" t="s">
        <v>556</v>
      </c>
      <c r="S847" t="s">
        <v>52</v>
      </c>
      <c r="U847">
        <v>890638</v>
      </c>
      <c r="V847" s="3">
        <v>46066.772916666669</v>
      </c>
      <c r="W847" t="s">
        <v>1804</v>
      </c>
      <c r="X847" t="s">
        <v>1805</v>
      </c>
      <c r="Y847" t="str">
        <f>"0429048174"</f>
        <v>0429048174</v>
      </c>
      <c r="Z847" t="s">
        <v>70</v>
      </c>
      <c r="AB847" t="s">
        <v>920</v>
      </c>
      <c r="AC847" t="s">
        <v>921</v>
      </c>
      <c r="AD847" t="s">
        <v>61</v>
      </c>
      <c r="AE847" t="s">
        <v>922</v>
      </c>
      <c r="AF847">
        <v>2228</v>
      </c>
      <c r="AG847" t="s">
        <v>1807</v>
      </c>
      <c r="AI847" t="s">
        <v>59</v>
      </c>
      <c r="AL847" t="s">
        <v>3041</v>
      </c>
      <c r="AN847" s="3">
        <v>46069.572222222225</v>
      </c>
      <c r="AO847" t="s">
        <v>1804</v>
      </c>
    </row>
    <row r="848" spans="1:41" x14ac:dyDescent="0.3">
      <c r="A848" t="s">
        <v>306</v>
      </c>
      <c r="B848" t="s">
        <v>528</v>
      </c>
      <c r="C848" t="s">
        <v>3042</v>
      </c>
      <c r="D848" t="s">
        <v>63</v>
      </c>
      <c r="E848" s="1">
        <v>46069</v>
      </c>
      <c r="F848" t="s">
        <v>569</v>
      </c>
      <c r="G848" t="s">
        <v>45</v>
      </c>
      <c r="H848" s="2">
        <v>0.33333333333333331</v>
      </c>
      <c r="I848" s="2">
        <v>0.58333333333333337</v>
      </c>
      <c r="J848" t="s">
        <v>1524</v>
      </c>
      <c r="L848" t="s">
        <v>1524</v>
      </c>
      <c r="M848" t="s">
        <v>1525</v>
      </c>
      <c r="N848" t="s">
        <v>1526</v>
      </c>
      <c r="O848">
        <v>5951852</v>
      </c>
      <c r="Q848" t="s">
        <v>3043</v>
      </c>
      <c r="R848" t="s">
        <v>476</v>
      </c>
      <c r="S848" t="s">
        <v>52</v>
      </c>
      <c r="U848">
        <v>890640</v>
      </c>
      <c r="V848" s="3">
        <v>46069.289583333331</v>
      </c>
      <c r="W848" t="s">
        <v>1527</v>
      </c>
      <c r="X848" t="s">
        <v>1528</v>
      </c>
      <c r="Y848" t="str">
        <f>"0413379513"</f>
        <v>0413379513</v>
      </c>
      <c r="Z848" t="s">
        <v>70</v>
      </c>
      <c r="AA848" s="1">
        <v>46069</v>
      </c>
      <c r="AB848" t="s">
        <v>537</v>
      </c>
      <c r="AD848" t="s">
        <v>306</v>
      </c>
      <c r="AE848" t="s">
        <v>538</v>
      </c>
      <c r="AF848">
        <v>3152</v>
      </c>
      <c r="AG848" t="s">
        <v>2757</v>
      </c>
      <c r="AI848" t="s">
        <v>59</v>
      </c>
      <c r="AL848" t="s">
        <v>87</v>
      </c>
      <c r="AN848" s="3">
        <v>46069.584722222222</v>
      </c>
      <c r="AO848" t="s">
        <v>1527</v>
      </c>
    </row>
    <row r="849" spans="1:41" x14ac:dyDescent="0.3">
      <c r="A849" t="s">
        <v>61</v>
      </c>
      <c r="B849" t="s">
        <v>182</v>
      </c>
      <c r="C849" t="s">
        <v>202</v>
      </c>
      <c r="D849" t="s">
        <v>184</v>
      </c>
      <c r="E849" s="1">
        <v>46069</v>
      </c>
      <c r="F849" t="s">
        <v>569</v>
      </c>
      <c r="G849" t="s">
        <v>45</v>
      </c>
      <c r="H849" s="2">
        <v>0.33333333333333331</v>
      </c>
      <c r="I849" s="2">
        <v>0.99861111111111112</v>
      </c>
      <c r="J849" t="s">
        <v>46</v>
      </c>
      <c r="L849" t="s">
        <v>47</v>
      </c>
      <c r="M849" t="s">
        <v>91</v>
      </c>
      <c r="N849" t="s">
        <v>92</v>
      </c>
      <c r="O849">
        <v>5950650</v>
      </c>
      <c r="Q849" t="s">
        <v>189</v>
      </c>
      <c r="R849" t="s">
        <v>132</v>
      </c>
      <c r="S849" t="s">
        <v>52</v>
      </c>
      <c r="U849">
        <v>890661</v>
      </c>
      <c r="V849" s="3">
        <v>46064.443055555559</v>
      </c>
      <c r="W849" t="s">
        <v>94</v>
      </c>
      <c r="X849" t="s">
        <v>95</v>
      </c>
      <c r="Y849" t="str">
        <f>"0493332534"</f>
        <v>0493332534</v>
      </c>
      <c r="Z849" t="s">
        <v>2060</v>
      </c>
      <c r="AB849" t="s">
        <v>193</v>
      </c>
      <c r="AD849" t="s">
        <v>61</v>
      </c>
      <c r="AE849" t="s">
        <v>194</v>
      </c>
      <c r="AF849">
        <v>2229</v>
      </c>
      <c r="AG849" t="s">
        <v>189</v>
      </c>
      <c r="AI849" t="s">
        <v>59</v>
      </c>
      <c r="AL849" t="s">
        <v>2869</v>
      </c>
      <c r="AN849" s="3">
        <v>46069.691666666666</v>
      </c>
      <c r="AO849" t="s">
        <v>94</v>
      </c>
    </row>
    <row r="850" spans="1:41" x14ac:dyDescent="0.3">
      <c r="A850" t="s">
        <v>168</v>
      </c>
      <c r="B850" t="s">
        <v>201</v>
      </c>
      <c r="C850" t="s">
        <v>170</v>
      </c>
      <c r="D850" t="s">
        <v>127</v>
      </c>
      <c r="E850" s="1">
        <v>46069</v>
      </c>
      <c r="F850" t="s">
        <v>569</v>
      </c>
      <c r="G850" t="s">
        <v>45</v>
      </c>
      <c r="H850" s="2">
        <v>0.33333333333333331</v>
      </c>
      <c r="I850" s="2">
        <v>0.5</v>
      </c>
      <c r="J850" t="s">
        <v>170</v>
      </c>
      <c r="K850" t="s">
        <v>203</v>
      </c>
      <c r="M850" t="s">
        <v>1541</v>
      </c>
      <c r="N850" t="s">
        <v>1542</v>
      </c>
      <c r="O850">
        <v>5952200</v>
      </c>
      <c r="Q850" t="s">
        <v>213</v>
      </c>
      <c r="R850" t="s">
        <v>231</v>
      </c>
      <c r="S850" t="s">
        <v>52</v>
      </c>
      <c r="U850">
        <v>890627</v>
      </c>
      <c r="V850" s="3">
        <v>46062.345138888886</v>
      </c>
      <c r="W850" t="s">
        <v>1543</v>
      </c>
      <c r="X850" t="s">
        <v>1544</v>
      </c>
      <c r="Y850" t="str">
        <f>"0450971472"</f>
        <v>0450971472</v>
      </c>
      <c r="Z850" t="s">
        <v>70</v>
      </c>
      <c r="AA850" s="1">
        <v>46069</v>
      </c>
      <c r="AB850" t="s">
        <v>211</v>
      </c>
      <c r="AD850" t="s">
        <v>168</v>
      </c>
      <c r="AE850" t="s">
        <v>212</v>
      </c>
      <c r="AF850">
        <v>5067</v>
      </c>
      <c r="AG850" t="s">
        <v>213</v>
      </c>
      <c r="AI850" t="s">
        <v>59</v>
      </c>
      <c r="AL850" t="s">
        <v>3044</v>
      </c>
      <c r="AN850" s="3">
        <v>46069.511111111111</v>
      </c>
      <c r="AO850" t="s">
        <v>1543</v>
      </c>
    </row>
    <row r="851" spans="1:41" x14ac:dyDescent="0.3">
      <c r="A851" t="s">
        <v>168</v>
      </c>
      <c r="B851" t="s">
        <v>689</v>
      </c>
      <c r="C851" t="s">
        <v>43</v>
      </c>
      <c r="D851" t="s">
        <v>268</v>
      </c>
      <c r="E851" s="1">
        <v>46069</v>
      </c>
      <c r="F851" t="s">
        <v>569</v>
      </c>
      <c r="G851" t="s">
        <v>45</v>
      </c>
      <c r="H851" s="2">
        <v>0.33333333333333331</v>
      </c>
      <c r="I851" s="2">
        <v>0.6875</v>
      </c>
      <c r="J851" t="s">
        <v>100</v>
      </c>
      <c r="L851" t="s">
        <v>100</v>
      </c>
      <c r="M851" t="s">
        <v>862</v>
      </c>
      <c r="N851" t="s">
        <v>863</v>
      </c>
      <c r="O851">
        <v>5952375</v>
      </c>
      <c r="Q851" t="s">
        <v>692</v>
      </c>
      <c r="R851" t="s">
        <v>864</v>
      </c>
      <c r="S851" t="s">
        <v>52</v>
      </c>
      <c r="T851" t="s">
        <v>252</v>
      </c>
      <c r="U851">
        <v>891423</v>
      </c>
      <c r="V851" s="3">
        <v>46076.354166666664</v>
      </c>
      <c r="W851" t="s">
        <v>864</v>
      </c>
      <c r="X851" t="s">
        <v>865</v>
      </c>
      <c r="Y851" t="str">
        <f>"0433092113"</f>
        <v>0433092113</v>
      </c>
      <c r="Z851" t="s">
        <v>585</v>
      </c>
      <c r="AA851" s="1">
        <v>46075</v>
      </c>
      <c r="AB851" t="s">
        <v>695</v>
      </c>
      <c r="AD851" t="s">
        <v>168</v>
      </c>
      <c r="AE851" t="s">
        <v>696</v>
      </c>
      <c r="AF851">
        <v>5606</v>
      </c>
      <c r="AG851" t="s">
        <v>3045</v>
      </c>
      <c r="AI851" t="s">
        <v>59</v>
      </c>
      <c r="AJ851" t="str">
        <f>"0020187960"</f>
        <v>0020187960</v>
      </c>
      <c r="AN851" s="3">
        <v>46076.354166666664</v>
      </c>
      <c r="AO851" t="s">
        <v>864</v>
      </c>
    </row>
    <row r="852" spans="1:41" x14ac:dyDescent="0.3">
      <c r="A852" t="s">
        <v>168</v>
      </c>
      <c r="B852" t="s">
        <v>847</v>
      </c>
      <c r="C852" t="s">
        <v>848</v>
      </c>
      <c r="D852" t="s">
        <v>268</v>
      </c>
      <c r="E852" s="1">
        <v>46069</v>
      </c>
      <c r="F852" t="s">
        <v>569</v>
      </c>
      <c r="G852" t="s">
        <v>45</v>
      </c>
      <c r="H852" s="2">
        <v>0.35416666666666669</v>
      </c>
      <c r="I852" s="2">
        <v>0.70833333333333337</v>
      </c>
      <c r="J852" t="s">
        <v>101</v>
      </c>
      <c r="K852" t="s">
        <v>849</v>
      </c>
      <c r="L852" t="s">
        <v>159</v>
      </c>
      <c r="M852" t="s">
        <v>1552</v>
      </c>
      <c r="N852" t="s">
        <v>1553</v>
      </c>
      <c r="O852">
        <v>5951790</v>
      </c>
      <c r="Q852" t="s">
        <v>857</v>
      </c>
      <c r="R852" t="s">
        <v>231</v>
      </c>
      <c r="S852" t="s">
        <v>52</v>
      </c>
      <c r="U852">
        <v>890665</v>
      </c>
      <c r="V852" s="3">
        <v>46035.579861111109</v>
      </c>
      <c r="W852" t="s">
        <v>1554</v>
      </c>
      <c r="X852" t="s">
        <v>1555</v>
      </c>
      <c r="Y852" t="str">
        <f>"0402115073"</f>
        <v>0402115073</v>
      </c>
      <c r="Z852" t="s">
        <v>1324</v>
      </c>
      <c r="AB852" t="s">
        <v>847</v>
      </c>
      <c r="AC852" t="s">
        <v>855</v>
      </c>
      <c r="AD852" t="s">
        <v>168</v>
      </c>
      <c r="AE852" t="s">
        <v>856</v>
      </c>
      <c r="AF852">
        <v>5112</v>
      </c>
      <c r="AG852" t="s">
        <v>857</v>
      </c>
      <c r="AI852" t="s">
        <v>59</v>
      </c>
      <c r="AL852" t="s">
        <v>1556</v>
      </c>
      <c r="AN852" s="3">
        <v>46069.712500000001</v>
      </c>
      <c r="AO852" t="s">
        <v>1554</v>
      </c>
    </row>
    <row r="853" spans="1:41" x14ac:dyDescent="0.3">
      <c r="A853" t="s">
        <v>41</v>
      </c>
      <c r="B853" t="s">
        <v>1849</v>
      </c>
      <c r="C853" t="s">
        <v>1850</v>
      </c>
      <c r="E853" s="1">
        <v>46069</v>
      </c>
      <c r="F853" t="s">
        <v>569</v>
      </c>
      <c r="G853" t="s">
        <v>45</v>
      </c>
      <c r="H853" s="2">
        <v>0.35416666666666669</v>
      </c>
      <c r="I853" s="2">
        <v>0.6875</v>
      </c>
      <c r="J853" t="s">
        <v>1850</v>
      </c>
      <c r="L853" t="s">
        <v>141</v>
      </c>
      <c r="M853" t="s">
        <v>142</v>
      </c>
      <c r="N853" t="s">
        <v>143</v>
      </c>
      <c r="O853">
        <v>22649</v>
      </c>
      <c r="Q853" t="s">
        <v>2009</v>
      </c>
      <c r="R853" t="s">
        <v>556</v>
      </c>
      <c r="S853" t="s">
        <v>52</v>
      </c>
      <c r="U853">
        <v>890668</v>
      </c>
      <c r="V853" s="3">
        <v>46064.006249999999</v>
      </c>
      <c r="W853" t="s">
        <v>146</v>
      </c>
      <c r="X853" t="s">
        <v>147</v>
      </c>
      <c r="Y853" t="str">
        <f>"0407039143"</f>
        <v>0407039143</v>
      </c>
      <c r="Z853" t="s">
        <v>70</v>
      </c>
      <c r="AA853" s="1">
        <v>46069</v>
      </c>
      <c r="AB853" t="s">
        <v>1852</v>
      </c>
      <c r="AD853" t="s">
        <v>41</v>
      </c>
      <c r="AE853" t="s">
        <v>1853</v>
      </c>
      <c r="AF853">
        <v>4007</v>
      </c>
      <c r="AG853" t="s">
        <v>2009</v>
      </c>
      <c r="AI853" t="s">
        <v>59</v>
      </c>
      <c r="AL853" t="s">
        <v>3046</v>
      </c>
      <c r="AN853" s="3">
        <v>46069.730555555558</v>
      </c>
      <c r="AO853" t="s">
        <v>146</v>
      </c>
    </row>
    <row r="854" spans="1:41" x14ac:dyDescent="0.3">
      <c r="A854" t="s">
        <v>168</v>
      </c>
      <c r="B854" t="s">
        <v>847</v>
      </c>
      <c r="C854" t="s">
        <v>848</v>
      </c>
      <c r="D854" t="s">
        <v>268</v>
      </c>
      <c r="E854" s="1">
        <v>46069</v>
      </c>
      <c r="F854" t="s">
        <v>569</v>
      </c>
      <c r="G854" t="s">
        <v>45</v>
      </c>
      <c r="H854" s="2">
        <v>0.35416666666666669</v>
      </c>
      <c r="I854" s="2">
        <v>0.70833333333333337</v>
      </c>
      <c r="J854" t="s">
        <v>101</v>
      </c>
      <c r="K854" t="s">
        <v>849</v>
      </c>
      <c r="L854" t="s">
        <v>159</v>
      </c>
      <c r="M854" t="s">
        <v>850</v>
      </c>
      <c r="N854" t="s">
        <v>851</v>
      </c>
      <c r="O854">
        <v>5951814</v>
      </c>
      <c r="Q854" t="s">
        <v>857</v>
      </c>
      <c r="R854" t="s">
        <v>231</v>
      </c>
      <c r="S854" t="s">
        <v>52</v>
      </c>
      <c r="U854">
        <v>890666</v>
      </c>
      <c r="V854" s="3">
        <v>46038.390972222223</v>
      </c>
      <c r="W854" t="s">
        <v>853</v>
      </c>
      <c r="X854" t="s">
        <v>854</v>
      </c>
      <c r="Y854" t="str">
        <f>"0415587072"</f>
        <v>0415587072</v>
      </c>
      <c r="Z854" t="s">
        <v>70</v>
      </c>
      <c r="AA854" s="1">
        <v>46069</v>
      </c>
      <c r="AB854" t="s">
        <v>847</v>
      </c>
      <c r="AC854" t="s">
        <v>855</v>
      </c>
      <c r="AD854" t="s">
        <v>168</v>
      </c>
      <c r="AE854" t="s">
        <v>856</v>
      </c>
      <c r="AF854">
        <v>5112</v>
      </c>
      <c r="AG854" t="s">
        <v>857</v>
      </c>
      <c r="AI854" t="s">
        <v>59</v>
      </c>
      <c r="AL854" t="s">
        <v>3047</v>
      </c>
      <c r="AM854" t="s">
        <v>3048</v>
      </c>
      <c r="AN854" s="3">
        <v>46069.717361111114</v>
      </c>
      <c r="AO854" t="s">
        <v>853</v>
      </c>
    </row>
    <row r="855" spans="1:41" x14ac:dyDescent="0.3">
      <c r="A855" t="s">
        <v>168</v>
      </c>
      <c r="B855" t="s">
        <v>376</v>
      </c>
      <c r="C855" t="s">
        <v>202</v>
      </c>
      <c r="D855" t="s">
        <v>127</v>
      </c>
      <c r="E855" s="1">
        <v>46069</v>
      </c>
      <c r="F855" t="s">
        <v>569</v>
      </c>
      <c r="G855" t="s">
        <v>45</v>
      </c>
      <c r="H855" s="2">
        <v>0.35416666666666669</v>
      </c>
      <c r="I855" s="2">
        <v>0.6875</v>
      </c>
      <c r="J855" t="s">
        <v>46</v>
      </c>
      <c r="L855" t="s">
        <v>47</v>
      </c>
      <c r="M855" t="s">
        <v>1597</v>
      </c>
      <c r="N855" t="s">
        <v>1598</v>
      </c>
      <c r="O855">
        <v>5951372</v>
      </c>
      <c r="Q855" t="s">
        <v>1605</v>
      </c>
      <c r="R855" t="s">
        <v>1923</v>
      </c>
      <c r="S855" t="s">
        <v>52</v>
      </c>
      <c r="U855">
        <v>890664</v>
      </c>
      <c r="V855" s="3">
        <v>46066.482638888891</v>
      </c>
      <c r="W855" t="s">
        <v>1599</v>
      </c>
      <c r="X855" t="s">
        <v>1600</v>
      </c>
      <c r="Y855" t="str">
        <f>"0499117889"</f>
        <v>0499117889</v>
      </c>
      <c r="Z855" t="s">
        <v>70</v>
      </c>
      <c r="AA855" s="1">
        <v>46069</v>
      </c>
      <c r="AB855" t="s">
        <v>383</v>
      </c>
      <c r="AD855" t="s">
        <v>168</v>
      </c>
      <c r="AE855" t="s">
        <v>384</v>
      </c>
      <c r="AF855">
        <v>5000</v>
      </c>
      <c r="AI855" t="s">
        <v>59</v>
      </c>
      <c r="AL855" t="s">
        <v>3049</v>
      </c>
      <c r="AN855" s="3">
        <v>46069.708333333336</v>
      </c>
      <c r="AO855" t="s">
        <v>1599</v>
      </c>
    </row>
    <row r="856" spans="1:41" x14ac:dyDescent="0.3">
      <c r="A856" t="s">
        <v>874</v>
      </c>
      <c r="B856" t="s">
        <v>875</v>
      </c>
      <c r="D856" t="s">
        <v>388</v>
      </c>
      <c r="E856" s="1">
        <v>46069</v>
      </c>
      <c r="F856" t="s">
        <v>569</v>
      </c>
      <c r="G856" t="s">
        <v>45</v>
      </c>
      <c r="H856" s="2">
        <v>0.35416666666666669</v>
      </c>
      <c r="I856" s="2">
        <v>0.70833333333333337</v>
      </c>
      <c r="J856" t="s">
        <v>876</v>
      </c>
      <c r="L856" t="s">
        <v>877</v>
      </c>
      <c r="M856" t="s">
        <v>878</v>
      </c>
      <c r="N856" t="s">
        <v>879</v>
      </c>
      <c r="O856">
        <v>5951689</v>
      </c>
      <c r="P856" t="s">
        <v>249</v>
      </c>
      <c r="Q856" t="s">
        <v>880</v>
      </c>
      <c r="R856" t="s">
        <v>392</v>
      </c>
      <c r="S856" t="s">
        <v>52</v>
      </c>
      <c r="T856" t="s">
        <v>252</v>
      </c>
      <c r="U856">
        <v>891243</v>
      </c>
      <c r="V856" s="3">
        <v>46073.466666666667</v>
      </c>
      <c r="W856" t="s">
        <v>881</v>
      </c>
      <c r="X856" t="s">
        <v>882</v>
      </c>
      <c r="Y856" t="str">
        <f>"0474765680"</f>
        <v>0474765680</v>
      </c>
      <c r="Z856" t="s">
        <v>585</v>
      </c>
      <c r="AA856" s="1">
        <v>46110</v>
      </c>
      <c r="AB856" t="s">
        <v>883</v>
      </c>
      <c r="AD856" t="s">
        <v>397</v>
      </c>
      <c r="AE856" t="s">
        <v>884</v>
      </c>
      <c r="AG856" t="s">
        <v>880</v>
      </c>
      <c r="AI856" t="s">
        <v>59</v>
      </c>
      <c r="AJ856" t="str">
        <f>"0090000061"</f>
        <v>0090000061</v>
      </c>
      <c r="AN856" s="3">
        <v>46073.466666666667</v>
      </c>
      <c r="AO856" t="s">
        <v>392</v>
      </c>
    </row>
    <row r="857" spans="1:41" x14ac:dyDescent="0.3">
      <c r="A857" t="s">
        <v>61</v>
      </c>
      <c r="B857" t="s">
        <v>3050</v>
      </c>
      <c r="C857" t="s">
        <v>43</v>
      </c>
      <c r="D857" t="s">
        <v>127</v>
      </c>
      <c r="E857" s="1">
        <v>46069</v>
      </c>
      <c r="F857" t="s">
        <v>569</v>
      </c>
      <c r="G857" t="s">
        <v>45</v>
      </c>
      <c r="H857" s="2">
        <v>0.375</v>
      </c>
      <c r="I857" s="2">
        <v>0.58333333333333337</v>
      </c>
      <c r="J857" t="s">
        <v>46</v>
      </c>
      <c r="L857" t="s">
        <v>47</v>
      </c>
      <c r="M857" t="s">
        <v>1603</v>
      </c>
      <c r="N857" t="s">
        <v>1871</v>
      </c>
      <c r="O857">
        <v>21717</v>
      </c>
      <c r="Q857" t="s">
        <v>3051</v>
      </c>
      <c r="R857" t="s">
        <v>132</v>
      </c>
      <c r="S857" t="s">
        <v>52</v>
      </c>
      <c r="U857">
        <v>890633</v>
      </c>
      <c r="V857" s="3">
        <v>46066.642361111109</v>
      </c>
      <c r="W857" t="s">
        <v>1872</v>
      </c>
      <c r="X857" t="s">
        <v>1873</v>
      </c>
      <c r="Y857" t="str">
        <f>"0432570815"</f>
        <v>0432570815</v>
      </c>
      <c r="Z857" t="s">
        <v>70</v>
      </c>
      <c r="AA857" s="1">
        <v>46069</v>
      </c>
      <c r="AB857" t="s">
        <v>3052</v>
      </c>
      <c r="AC857" t="s">
        <v>3053</v>
      </c>
      <c r="AD857" t="s">
        <v>61</v>
      </c>
      <c r="AE857" t="s">
        <v>922</v>
      </c>
      <c r="AF857">
        <v>2228</v>
      </c>
      <c r="AG857" t="s">
        <v>3051</v>
      </c>
      <c r="AI857" t="s">
        <v>59</v>
      </c>
      <c r="AL857" t="s">
        <v>3054</v>
      </c>
      <c r="AN857" s="3">
        <v>46069.543749999997</v>
      </c>
      <c r="AO857" t="s">
        <v>1872</v>
      </c>
    </row>
    <row r="858" spans="1:41" x14ac:dyDescent="0.3">
      <c r="A858" t="s">
        <v>61</v>
      </c>
      <c r="B858" t="s">
        <v>655</v>
      </c>
      <c r="C858" t="s">
        <v>43</v>
      </c>
      <c r="D858" t="s">
        <v>656</v>
      </c>
      <c r="E858" s="1">
        <v>46069</v>
      </c>
      <c r="F858" t="s">
        <v>569</v>
      </c>
      <c r="G858" t="s">
        <v>45</v>
      </c>
      <c r="H858" s="2">
        <v>0.375</v>
      </c>
      <c r="I858" s="2">
        <v>0.70833333333333337</v>
      </c>
      <c r="J858" t="s">
        <v>100</v>
      </c>
      <c r="L858" t="s">
        <v>100</v>
      </c>
      <c r="M858" t="s">
        <v>1566</v>
      </c>
      <c r="N858" t="s">
        <v>1567</v>
      </c>
      <c r="O858">
        <v>20900</v>
      </c>
      <c r="Q858" t="s">
        <v>665</v>
      </c>
      <c r="R858" t="s">
        <v>145</v>
      </c>
      <c r="S858" t="s">
        <v>52</v>
      </c>
      <c r="U858">
        <v>890662</v>
      </c>
      <c r="V858" s="3">
        <v>46037.762499999997</v>
      </c>
      <c r="W858" t="s">
        <v>1569</v>
      </c>
      <c r="X858" t="s">
        <v>1570</v>
      </c>
      <c r="Y858" t="str">
        <f>"0411393136"</f>
        <v>0411393136</v>
      </c>
      <c r="Z858" t="s">
        <v>3055</v>
      </c>
      <c r="AB858" t="s">
        <v>662</v>
      </c>
      <c r="AC858" t="s">
        <v>663</v>
      </c>
      <c r="AD858" t="s">
        <v>61</v>
      </c>
      <c r="AE858" t="s">
        <v>664</v>
      </c>
      <c r="AF858">
        <v>2067</v>
      </c>
      <c r="AG858" t="s">
        <v>2542</v>
      </c>
      <c r="AI858" t="s">
        <v>59</v>
      </c>
      <c r="AL858" t="s">
        <v>3056</v>
      </c>
      <c r="AN858" s="3">
        <v>46069.705555555556</v>
      </c>
      <c r="AO858" t="s">
        <v>1569</v>
      </c>
    </row>
    <row r="859" spans="1:41" x14ac:dyDescent="0.3">
      <c r="A859" t="s">
        <v>168</v>
      </c>
      <c r="B859" t="s">
        <v>266</v>
      </c>
      <c r="C859" t="s">
        <v>202</v>
      </c>
      <c r="D859" t="s">
        <v>268</v>
      </c>
      <c r="E859" s="1">
        <v>46069</v>
      </c>
      <c r="F859" t="s">
        <v>569</v>
      </c>
      <c r="G859" t="s">
        <v>45</v>
      </c>
      <c r="H859" s="2">
        <v>0.375</v>
      </c>
      <c r="I859" s="2">
        <v>0.72916666666666663</v>
      </c>
      <c r="J859" t="s">
        <v>46</v>
      </c>
      <c r="K859" t="s">
        <v>849</v>
      </c>
      <c r="L859" t="s">
        <v>47</v>
      </c>
      <c r="M859" t="s">
        <v>1089</v>
      </c>
      <c r="N859" t="s">
        <v>1024</v>
      </c>
      <c r="O859">
        <v>20963</v>
      </c>
      <c r="Q859" t="s">
        <v>274</v>
      </c>
      <c r="R859" t="s">
        <v>231</v>
      </c>
      <c r="S859" t="s">
        <v>52</v>
      </c>
      <c r="U859">
        <v>890634</v>
      </c>
      <c r="V859" s="3">
        <v>46065.538194444445</v>
      </c>
      <c r="W859" t="s">
        <v>1091</v>
      </c>
      <c r="X859" t="s">
        <v>1092</v>
      </c>
      <c r="Y859" t="str">
        <f>"0430222501"</f>
        <v>0430222501</v>
      </c>
      <c r="Z859" t="s">
        <v>123</v>
      </c>
      <c r="AB859" t="s">
        <v>277</v>
      </c>
      <c r="AC859" t="s">
        <v>278</v>
      </c>
      <c r="AD859" t="s">
        <v>168</v>
      </c>
      <c r="AE859" t="s">
        <v>279</v>
      </c>
      <c r="AF859">
        <v>5092</v>
      </c>
      <c r="AG859" t="s">
        <v>1090</v>
      </c>
      <c r="AI859" t="s">
        <v>59</v>
      </c>
      <c r="AL859" t="s">
        <v>3057</v>
      </c>
      <c r="AN859" s="3">
        <v>46069.549305555556</v>
      </c>
      <c r="AO859" t="s">
        <v>1091</v>
      </c>
    </row>
    <row r="860" spans="1:41" x14ac:dyDescent="0.3">
      <c r="A860" t="s">
        <v>61</v>
      </c>
      <c r="B860" t="s">
        <v>507</v>
      </c>
      <c r="C860" t="s">
        <v>183</v>
      </c>
      <c r="D860" t="s">
        <v>63</v>
      </c>
      <c r="E860" s="1">
        <v>46069</v>
      </c>
      <c r="F860" t="s">
        <v>569</v>
      </c>
      <c r="G860" t="s">
        <v>45</v>
      </c>
      <c r="H860" s="2">
        <v>0.41666666666666669</v>
      </c>
      <c r="I860" s="2">
        <v>0.99861111111111112</v>
      </c>
      <c r="J860" t="s">
        <v>185</v>
      </c>
      <c r="L860" t="s">
        <v>186</v>
      </c>
      <c r="M860" t="s">
        <v>777</v>
      </c>
      <c r="N860" t="s">
        <v>778</v>
      </c>
      <c r="O860">
        <v>5952331</v>
      </c>
      <c r="Q860" t="s">
        <v>3058</v>
      </c>
      <c r="R860" t="s">
        <v>132</v>
      </c>
      <c r="S860" t="s">
        <v>52</v>
      </c>
      <c r="U860">
        <v>890691</v>
      </c>
      <c r="V860" s="3">
        <v>46041.581250000003</v>
      </c>
      <c r="W860" t="s">
        <v>780</v>
      </c>
      <c r="X860" t="s">
        <v>781</v>
      </c>
      <c r="Y860" t="str">
        <f>"0478730906"</f>
        <v>0478730906</v>
      </c>
      <c r="Z860" t="s">
        <v>1917</v>
      </c>
      <c r="AB860" t="s">
        <v>514</v>
      </c>
      <c r="AD860" t="s">
        <v>61</v>
      </c>
      <c r="AE860" t="s">
        <v>515</v>
      </c>
      <c r="AF860">
        <v>2086</v>
      </c>
      <c r="AG860" t="s">
        <v>3058</v>
      </c>
      <c r="AI860" t="s">
        <v>59</v>
      </c>
      <c r="AL860" t="s">
        <v>3059</v>
      </c>
      <c r="AN860" s="3">
        <v>46069.798611111109</v>
      </c>
      <c r="AO860" t="s">
        <v>780</v>
      </c>
    </row>
    <row r="861" spans="1:41" x14ac:dyDescent="0.3">
      <c r="A861" t="s">
        <v>168</v>
      </c>
      <c r="B861" t="s">
        <v>409</v>
      </c>
      <c r="C861" t="s">
        <v>1496</v>
      </c>
      <c r="D861" t="s">
        <v>309</v>
      </c>
      <c r="E861" s="1">
        <v>46078</v>
      </c>
      <c r="F861" t="s">
        <v>44</v>
      </c>
      <c r="G861" t="s">
        <v>128</v>
      </c>
      <c r="H861" s="2">
        <v>0.54166666666666663</v>
      </c>
      <c r="I861" s="2">
        <v>0.875</v>
      </c>
      <c r="J861" t="s">
        <v>170</v>
      </c>
      <c r="K861" t="s">
        <v>77</v>
      </c>
      <c r="L861" t="s">
        <v>47</v>
      </c>
      <c r="M861" t="s">
        <v>1089</v>
      </c>
      <c r="N861" t="s">
        <v>1024</v>
      </c>
      <c r="O861">
        <v>20963</v>
      </c>
      <c r="Q861" t="s">
        <v>413</v>
      </c>
      <c r="R861" t="s">
        <v>500</v>
      </c>
      <c r="S861" t="s">
        <v>52</v>
      </c>
      <c r="U861">
        <v>891806</v>
      </c>
      <c r="V861" s="3">
        <v>46077.75</v>
      </c>
      <c r="W861" t="s">
        <v>1091</v>
      </c>
      <c r="X861" t="s">
        <v>1092</v>
      </c>
      <c r="Y861" t="str">
        <f>"0430222501"</f>
        <v>0430222501</v>
      </c>
      <c r="Z861" t="s">
        <v>70</v>
      </c>
      <c r="AA861" s="1">
        <v>46078</v>
      </c>
      <c r="AB861" t="s">
        <v>417</v>
      </c>
      <c r="AD861" t="s">
        <v>168</v>
      </c>
      <c r="AE861" t="s">
        <v>384</v>
      </c>
      <c r="AF861">
        <v>5000</v>
      </c>
      <c r="AI861" t="s">
        <v>59</v>
      </c>
      <c r="AL861" t="s">
        <v>3060</v>
      </c>
      <c r="AM861" t="s">
        <v>3060</v>
      </c>
      <c r="AN861" s="3">
        <v>46078.809027777781</v>
      </c>
      <c r="AO861" t="s">
        <v>1091</v>
      </c>
    </row>
    <row r="862" spans="1:41" x14ac:dyDescent="0.3">
      <c r="A862" t="s">
        <v>61</v>
      </c>
      <c r="B862" t="s">
        <v>182</v>
      </c>
      <c r="C862" t="s">
        <v>100</v>
      </c>
      <c r="D862" t="s">
        <v>184</v>
      </c>
      <c r="E862" s="1">
        <v>46078</v>
      </c>
      <c r="F862" t="s">
        <v>44</v>
      </c>
      <c r="G862" t="s">
        <v>128</v>
      </c>
      <c r="H862" s="2">
        <v>0.54166666666666663</v>
      </c>
      <c r="I862" s="2">
        <v>0.89583333333333337</v>
      </c>
      <c r="J862" t="s">
        <v>100</v>
      </c>
      <c r="L862" t="s">
        <v>100</v>
      </c>
      <c r="M862" t="s">
        <v>862</v>
      </c>
      <c r="N862" t="s">
        <v>863</v>
      </c>
      <c r="O862">
        <v>5952375</v>
      </c>
      <c r="Q862" t="s">
        <v>3061</v>
      </c>
      <c r="R862" t="s">
        <v>67</v>
      </c>
      <c r="S862" t="s">
        <v>52</v>
      </c>
      <c r="U862">
        <v>891828</v>
      </c>
      <c r="V862" s="3">
        <v>46044.34097222222</v>
      </c>
      <c r="W862" t="s">
        <v>864</v>
      </c>
      <c r="X862" t="s">
        <v>865</v>
      </c>
      <c r="Y862" t="str">
        <f>"0433092113"</f>
        <v>0433092113</v>
      </c>
      <c r="Z862" t="s">
        <v>3062</v>
      </c>
      <c r="AB862" t="s">
        <v>193</v>
      </c>
      <c r="AD862" t="s">
        <v>61</v>
      </c>
      <c r="AE862" t="s">
        <v>194</v>
      </c>
      <c r="AF862">
        <v>2229</v>
      </c>
      <c r="AG862" t="s">
        <v>1045</v>
      </c>
      <c r="AI862" t="s">
        <v>59</v>
      </c>
      <c r="AL862" t="s">
        <v>2443</v>
      </c>
      <c r="AN862" s="3">
        <v>46078.884027777778</v>
      </c>
      <c r="AO862" t="s">
        <v>864</v>
      </c>
    </row>
    <row r="863" spans="1:41" x14ac:dyDescent="0.3">
      <c r="A863" t="s">
        <v>168</v>
      </c>
      <c r="B863" t="s">
        <v>441</v>
      </c>
      <c r="C863" t="s">
        <v>43</v>
      </c>
      <c r="E863" s="1">
        <v>46078</v>
      </c>
      <c r="F863" t="s">
        <v>44</v>
      </c>
      <c r="G863" t="s">
        <v>128</v>
      </c>
      <c r="H863" s="2">
        <v>0.54166666666666663</v>
      </c>
      <c r="I863" s="2">
        <v>0.875</v>
      </c>
      <c r="J863" t="s">
        <v>185</v>
      </c>
      <c r="K863" t="s">
        <v>678</v>
      </c>
      <c r="L863" t="s">
        <v>186</v>
      </c>
      <c r="M863" t="s">
        <v>798</v>
      </c>
      <c r="N863" t="s">
        <v>799</v>
      </c>
      <c r="O863">
        <v>20875</v>
      </c>
      <c r="Q863" t="s">
        <v>944</v>
      </c>
      <c r="R863" t="s">
        <v>500</v>
      </c>
      <c r="S863" t="s">
        <v>52</v>
      </c>
      <c r="U863">
        <v>891782</v>
      </c>
      <c r="V863" s="3">
        <v>46050.959027777775</v>
      </c>
      <c r="W863" t="s">
        <v>800</v>
      </c>
      <c r="X863" t="s">
        <v>801</v>
      </c>
      <c r="Y863" t="str">
        <f>"0417001267"</f>
        <v>0417001267</v>
      </c>
      <c r="Z863" t="s">
        <v>3063</v>
      </c>
      <c r="AB863" t="s">
        <v>448</v>
      </c>
      <c r="AD863" t="s">
        <v>168</v>
      </c>
      <c r="AE863" t="s">
        <v>180</v>
      </c>
      <c r="AF863">
        <v>5063</v>
      </c>
      <c r="AG863" t="s">
        <v>944</v>
      </c>
      <c r="AI863" t="s">
        <v>59</v>
      </c>
      <c r="AL863" t="s">
        <v>2570</v>
      </c>
      <c r="AN863" s="3">
        <v>46078.731944444444</v>
      </c>
      <c r="AO863" t="s">
        <v>800</v>
      </c>
    </row>
    <row r="864" spans="1:41" x14ac:dyDescent="0.3">
      <c r="A864" t="s">
        <v>168</v>
      </c>
      <c r="B864" t="s">
        <v>326</v>
      </c>
      <c r="C864" t="s">
        <v>1150</v>
      </c>
      <c r="D864" t="s">
        <v>127</v>
      </c>
      <c r="E864" s="1">
        <v>46078</v>
      </c>
      <c r="F864" t="s">
        <v>44</v>
      </c>
      <c r="G864" t="s">
        <v>128</v>
      </c>
      <c r="H864" s="2">
        <v>0.5625</v>
      </c>
      <c r="I864" s="2">
        <v>0.83333333333333337</v>
      </c>
      <c r="J864" t="s">
        <v>101</v>
      </c>
      <c r="L864" t="s">
        <v>159</v>
      </c>
      <c r="M864" t="s">
        <v>2511</v>
      </c>
      <c r="N864" t="s">
        <v>2512</v>
      </c>
      <c r="O864">
        <v>474</v>
      </c>
      <c r="Q864" t="s">
        <v>676</v>
      </c>
      <c r="R864" t="s">
        <v>231</v>
      </c>
      <c r="S864" t="s">
        <v>52</v>
      </c>
      <c r="U864">
        <v>891817</v>
      </c>
      <c r="V864" s="3">
        <v>46077.365972222222</v>
      </c>
      <c r="W864" t="s">
        <v>2514</v>
      </c>
      <c r="X864" t="s">
        <v>2515</v>
      </c>
      <c r="Y864" t="str">
        <f>"0402178981"</f>
        <v>0402178981</v>
      </c>
      <c r="Z864" t="s">
        <v>70</v>
      </c>
      <c r="AA864" s="1">
        <v>46078</v>
      </c>
      <c r="AB864" t="s">
        <v>333</v>
      </c>
      <c r="AD864" t="s">
        <v>168</v>
      </c>
      <c r="AE864" t="s">
        <v>334</v>
      </c>
      <c r="AF864">
        <v>5034</v>
      </c>
      <c r="AG864" t="s">
        <v>3064</v>
      </c>
      <c r="AI864" t="s">
        <v>59</v>
      </c>
      <c r="AL864" t="s">
        <v>3065</v>
      </c>
      <c r="AM864" t="s">
        <v>3066</v>
      </c>
      <c r="AN864" s="3">
        <v>46078.819444444445</v>
      </c>
      <c r="AO864" t="s">
        <v>2514</v>
      </c>
    </row>
    <row r="865" spans="1:41" x14ac:dyDescent="0.3">
      <c r="A865" t="s">
        <v>168</v>
      </c>
      <c r="B865" t="s">
        <v>282</v>
      </c>
      <c r="C865" t="s">
        <v>170</v>
      </c>
      <c r="D865" t="s">
        <v>283</v>
      </c>
      <c r="E865" s="1">
        <v>46078</v>
      </c>
      <c r="F865" t="s">
        <v>44</v>
      </c>
      <c r="G865" t="s">
        <v>128</v>
      </c>
      <c r="H865" s="2">
        <v>0.5625</v>
      </c>
      <c r="I865" s="2">
        <v>0.79166666666666663</v>
      </c>
      <c r="J865" t="s">
        <v>170</v>
      </c>
      <c r="K865" t="s">
        <v>77</v>
      </c>
      <c r="L865" t="s">
        <v>47</v>
      </c>
      <c r="M865" t="s">
        <v>2829</v>
      </c>
      <c r="N865" t="s">
        <v>2830</v>
      </c>
      <c r="O865">
        <v>445</v>
      </c>
      <c r="Q865" t="s">
        <v>287</v>
      </c>
      <c r="R865" t="s">
        <v>231</v>
      </c>
      <c r="S865" t="s">
        <v>52</v>
      </c>
      <c r="U865">
        <v>891787</v>
      </c>
      <c r="V865" s="3">
        <v>46077.462500000001</v>
      </c>
      <c r="W865" t="s">
        <v>2832</v>
      </c>
      <c r="X865" t="s">
        <v>2833</v>
      </c>
      <c r="Y865" t="str">
        <f>"0409705735"</f>
        <v>0409705735</v>
      </c>
      <c r="Z865" t="s">
        <v>2278</v>
      </c>
      <c r="AB865" t="s">
        <v>291</v>
      </c>
      <c r="AC865" t="s">
        <v>292</v>
      </c>
      <c r="AD865" t="s">
        <v>168</v>
      </c>
      <c r="AE865" t="s">
        <v>293</v>
      </c>
      <c r="AF865">
        <v>5037</v>
      </c>
      <c r="AG865" t="s">
        <v>287</v>
      </c>
      <c r="AI865" t="s">
        <v>59</v>
      </c>
      <c r="AL865" t="s">
        <v>3067</v>
      </c>
      <c r="AN865" s="3">
        <v>46078.749305555553</v>
      </c>
      <c r="AO865" t="s">
        <v>2832</v>
      </c>
    </row>
    <row r="866" spans="1:41" x14ac:dyDescent="0.3">
      <c r="A866" t="s">
        <v>41</v>
      </c>
      <c r="B866" t="s">
        <v>1219</v>
      </c>
      <c r="C866" t="s">
        <v>43</v>
      </c>
      <c r="D866" t="s">
        <v>184</v>
      </c>
      <c r="E866" s="1">
        <v>46078</v>
      </c>
      <c r="F866" t="s">
        <v>44</v>
      </c>
      <c r="G866" t="s">
        <v>128</v>
      </c>
      <c r="H866" s="2">
        <v>0.5625</v>
      </c>
      <c r="I866" s="2">
        <v>0.91666666666666663</v>
      </c>
      <c r="J866" t="s">
        <v>46</v>
      </c>
      <c r="L866" t="s">
        <v>47</v>
      </c>
      <c r="M866" t="s">
        <v>1220</v>
      </c>
      <c r="N866" t="s">
        <v>1221</v>
      </c>
      <c r="O866">
        <v>5950857</v>
      </c>
      <c r="Q866" t="s">
        <v>1222</v>
      </c>
      <c r="R866" t="s">
        <v>723</v>
      </c>
      <c r="S866" t="s">
        <v>52</v>
      </c>
      <c r="U866">
        <v>891830</v>
      </c>
      <c r="V866" s="3">
        <v>46065.433333333334</v>
      </c>
      <c r="W866" t="s">
        <v>1223</v>
      </c>
      <c r="X866" t="s">
        <v>1224</v>
      </c>
      <c r="Y866" t="str">
        <f>"0431426020"</f>
        <v>0431426020</v>
      </c>
      <c r="Z866" t="s">
        <v>2000</v>
      </c>
      <c r="AB866" t="s">
        <v>1226</v>
      </c>
      <c r="AD866" t="s">
        <v>41</v>
      </c>
      <c r="AE866" t="s">
        <v>1227</v>
      </c>
      <c r="AF866">
        <v>4217</v>
      </c>
      <c r="AG866" t="s">
        <v>1222</v>
      </c>
      <c r="AI866" t="s">
        <v>59</v>
      </c>
      <c r="AN866" s="3">
        <v>46078.888888888891</v>
      </c>
      <c r="AO866" t="s">
        <v>1223</v>
      </c>
    </row>
    <row r="867" spans="1:41" x14ac:dyDescent="0.3">
      <c r="A867" t="s">
        <v>306</v>
      </c>
      <c r="B867" t="s">
        <v>1238</v>
      </c>
      <c r="C867" t="s">
        <v>3068</v>
      </c>
      <c r="D867" t="s">
        <v>90</v>
      </c>
      <c r="E867" s="1">
        <v>46078</v>
      </c>
      <c r="F867" t="s">
        <v>44</v>
      </c>
      <c r="G867" t="s">
        <v>128</v>
      </c>
      <c r="H867" s="2">
        <v>0.58333333333333337</v>
      </c>
      <c r="I867" s="2">
        <v>0.91666666666666663</v>
      </c>
      <c r="J867" t="s">
        <v>296</v>
      </c>
      <c r="L867" t="s">
        <v>310</v>
      </c>
      <c r="M867" t="s">
        <v>311</v>
      </c>
      <c r="N867" t="s">
        <v>312</v>
      </c>
      <c r="O867">
        <v>5952174</v>
      </c>
      <c r="Q867" t="s">
        <v>1245</v>
      </c>
      <c r="R867" t="s">
        <v>314</v>
      </c>
      <c r="S867" t="s">
        <v>52</v>
      </c>
      <c r="U867">
        <v>891847</v>
      </c>
      <c r="V867" s="3">
        <v>46078.435416666667</v>
      </c>
      <c r="W867" t="s">
        <v>315</v>
      </c>
      <c r="X867" t="s">
        <v>316</v>
      </c>
      <c r="Y867" t="str">
        <f>"0452621529"</f>
        <v>0452621529</v>
      </c>
      <c r="Z867" t="s">
        <v>70</v>
      </c>
      <c r="AA867" s="1">
        <v>46078</v>
      </c>
      <c r="AB867" t="s">
        <v>1243</v>
      </c>
      <c r="AD867" t="s">
        <v>306</v>
      </c>
      <c r="AE867" t="s">
        <v>1244</v>
      </c>
      <c r="AF867">
        <v>3065</v>
      </c>
      <c r="AG867" t="s">
        <v>1245</v>
      </c>
      <c r="AI867" t="s">
        <v>59</v>
      </c>
      <c r="AL867" t="s">
        <v>87</v>
      </c>
      <c r="AN867" s="3">
        <v>46078.925694444442</v>
      </c>
      <c r="AO867" t="s">
        <v>315</v>
      </c>
    </row>
    <row r="868" spans="1:41" x14ac:dyDescent="0.3">
      <c r="A868" t="s">
        <v>168</v>
      </c>
      <c r="B868" t="s">
        <v>376</v>
      </c>
      <c r="C868" t="s">
        <v>100</v>
      </c>
      <c r="D868" t="s">
        <v>127</v>
      </c>
      <c r="E868" s="1">
        <v>46078</v>
      </c>
      <c r="F868" t="s">
        <v>44</v>
      </c>
      <c r="G868" t="s">
        <v>128</v>
      </c>
      <c r="H868" s="2">
        <v>0.58333333333333337</v>
      </c>
      <c r="I868" s="2">
        <v>0.875</v>
      </c>
      <c r="J868" t="s">
        <v>100</v>
      </c>
      <c r="L868" t="s">
        <v>100</v>
      </c>
      <c r="M868" t="s">
        <v>1253</v>
      </c>
      <c r="N868" t="s">
        <v>1254</v>
      </c>
      <c r="O868">
        <v>5951043</v>
      </c>
      <c r="Q868" t="s">
        <v>1255</v>
      </c>
      <c r="R868" t="s">
        <v>380</v>
      </c>
      <c r="S868" t="s">
        <v>52</v>
      </c>
      <c r="U868">
        <v>891831</v>
      </c>
      <c r="V868" s="3">
        <v>46045.370833333334</v>
      </c>
      <c r="W868" t="s">
        <v>1256</v>
      </c>
      <c r="X868" t="s">
        <v>1257</v>
      </c>
      <c r="Y868" t="str">
        <f>"0431343551"</f>
        <v>0431343551</v>
      </c>
      <c r="Z868" t="s">
        <v>345</v>
      </c>
      <c r="AB868" t="s">
        <v>383</v>
      </c>
      <c r="AD868" t="s">
        <v>168</v>
      </c>
      <c r="AE868" t="s">
        <v>384</v>
      </c>
      <c r="AF868">
        <v>5000</v>
      </c>
      <c r="AI868" t="s">
        <v>59</v>
      </c>
      <c r="AL868" t="s">
        <v>1258</v>
      </c>
      <c r="AN868" s="3">
        <v>46078.890972222223</v>
      </c>
      <c r="AO868" t="s">
        <v>1256</v>
      </c>
    </row>
    <row r="869" spans="1:41" x14ac:dyDescent="0.3">
      <c r="A869" t="s">
        <v>168</v>
      </c>
      <c r="B869" t="s">
        <v>400</v>
      </c>
      <c r="C869" t="s">
        <v>100</v>
      </c>
      <c r="D869" t="s">
        <v>401</v>
      </c>
      <c r="E869" s="1">
        <v>46078</v>
      </c>
      <c r="F869" t="s">
        <v>44</v>
      </c>
      <c r="G869" t="s">
        <v>128</v>
      </c>
      <c r="H869" s="2">
        <v>0.58333333333333337</v>
      </c>
      <c r="I869" s="2">
        <v>0.91666666666666663</v>
      </c>
      <c r="J869" t="s">
        <v>100</v>
      </c>
      <c r="L869" t="s">
        <v>100</v>
      </c>
      <c r="M869" t="s">
        <v>402</v>
      </c>
      <c r="N869" t="s">
        <v>403</v>
      </c>
      <c r="O869">
        <v>21398</v>
      </c>
      <c r="Q869" t="s">
        <v>3069</v>
      </c>
      <c r="R869" t="s">
        <v>176</v>
      </c>
      <c r="S869" t="s">
        <v>52</v>
      </c>
      <c r="U869">
        <v>891848</v>
      </c>
      <c r="V869" s="3">
        <v>46078.541666666664</v>
      </c>
      <c r="W869" t="s">
        <v>405</v>
      </c>
      <c r="X869" t="s">
        <v>406</v>
      </c>
      <c r="Y869" t="str">
        <f>"0423877972"</f>
        <v>0423877972</v>
      </c>
      <c r="Z869" t="s">
        <v>84</v>
      </c>
      <c r="AB869" t="s">
        <v>407</v>
      </c>
      <c r="AD869" t="s">
        <v>168</v>
      </c>
      <c r="AE869" t="s">
        <v>347</v>
      </c>
      <c r="AF869">
        <v>5042</v>
      </c>
      <c r="AG869" t="s">
        <v>3070</v>
      </c>
      <c r="AI869" t="s">
        <v>59</v>
      </c>
      <c r="AL869" t="s">
        <v>3071</v>
      </c>
      <c r="AN869" s="3">
        <v>46078.934027777781</v>
      </c>
      <c r="AO869" t="s">
        <v>405</v>
      </c>
    </row>
    <row r="870" spans="1:41" x14ac:dyDescent="0.3">
      <c r="A870" t="s">
        <v>168</v>
      </c>
      <c r="B870" t="s">
        <v>282</v>
      </c>
      <c r="C870" t="s">
        <v>170</v>
      </c>
      <c r="D870" t="s">
        <v>283</v>
      </c>
      <c r="E870" s="1">
        <v>46078</v>
      </c>
      <c r="F870" t="s">
        <v>44</v>
      </c>
      <c r="G870" t="s">
        <v>128</v>
      </c>
      <c r="H870" s="2">
        <v>0.58333333333333337</v>
      </c>
      <c r="I870" s="2">
        <v>0.8125</v>
      </c>
      <c r="J870" t="s">
        <v>170</v>
      </c>
      <c r="K870" t="s">
        <v>77</v>
      </c>
      <c r="L870" t="s">
        <v>159</v>
      </c>
      <c r="M870" t="s">
        <v>3072</v>
      </c>
      <c r="N870" t="s">
        <v>3073</v>
      </c>
      <c r="O870">
        <v>22723</v>
      </c>
      <c r="Q870" t="s">
        <v>287</v>
      </c>
      <c r="R870" t="s">
        <v>231</v>
      </c>
      <c r="S870" t="s">
        <v>52</v>
      </c>
      <c r="U870">
        <v>891800</v>
      </c>
      <c r="V870" s="3">
        <v>46077.462500000001</v>
      </c>
      <c r="W870" t="s">
        <v>3074</v>
      </c>
      <c r="X870" t="s">
        <v>3075</v>
      </c>
      <c r="Y870" t="str">
        <f>"0421564684"</f>
        <v>0421564684</v>
      </c>
      <c r="Z870" t="s">
        <v>980</v>
      </c>
      <c r="AB870" t="s">
        <v>291</v>
      </c>
      <c r="AC870" t="s">
        <v>292</v>
      </c>
      <c r="AD870" t="s">
        <v>168</v>
      </c>
      <c r="AE870" t="s">
        <v>293</v>
      </c>
      <c r="AF870">
        <v>5037</v>
      </c>
      <c r="AG870" t="s">
        <v>287</v>
      </c>
      <c r="AI870" t="s">
        <v>59</v>
      </c>
      <c r="AL870" t="s">
        <v>3076</v>
      </c>
      <c r="AN870" s="3">
        <v>46078.799305555556</v>
      </c>
      <c r="AO870" t="s">
        <v>3074</v>
      </c>
    </row>
    <row r="871" spans="1:41" x14ac:dyDescent="0.3">
      <c r="A871" t="s">
        <v>41</v>
      </c>
      <c r="B871" t="s">
        <v>2758</v>
      </c>
      <c r="C871" t="s">
        <v>296</v>
      </c>
      <c r="D871" t="s">
        <v>63</v>
      </c>
      <c r="E871" s="1">
        <v>46078</v>
      </c>
      <c r="F871" t="s">
        <v>44</v>
      </c>
      <c r="G871" t="s">
        <v>128</v>
      </c>
      <c r="H871" s="2">
        <v>0.625</v>
      </c>
      <c r="I871" s="2">
        <v>0.95833333333333337</v>
      </c>
      <c r="J871" t="s">
        <v>296</v>
      </c>
      <c r="L871" t="s">
        <v>633</v>
      </c>
      <c r="M871" t="s">
        <v>2352</v>
      </c>
      <c r="N871" t="s">
        <v>3077</v>
      </c>
      <c r="O871">
        <v>5950854</v>
      </c>
      <c r="Q871" t="s">
        <v>3078</v>
      </c>
      <c r="R871" t="s">
        <v>51</v>
      </c>
      <c r="S871" t="s">
        <v>119</v>
      </c>
      <c r="T871" t="s">
        <v>414</v>
      </c>
      <c r="U871">
        <v>892202</v>
      </c>
      <c r="V871" s="3">
        <v>46078.333333333336</v>
      </c>
      <c r="W871" t="s">
        <v>3079</v>
      </c>
      <c r="X871" t="s">
        <v>3080</v>
      </c>
      <c r="Y871" t="str">
        <f>"0420493435"</f>
        <v>0420493435</v>
      </c>
      <c r="Z871" t="s">
        <v>123</v>
      </c>
      <c r="AA871" s="1">
        <v>46078</v>
      </c>
      <c r="AB871" t="s">
        <v>2760</v>
      </c>
      <c r="AD871" t="s">
        <v>41</v>
      </c>
      <c r="AE871" t="s">
        <v>1236</v>
      </c>
      <c r="AF871">
        <v>4215</v>
      </c>
      <c r="AG871" t="s">
        <v>2759</v>
      </c>
      <c r="AI871" t="s">
        <v>59</v>
      </c>
      <c r="AL871" t="s">
        <v>3081</v>
      </c>
      <c r="AN871" s="3">
        <v>46078.370833333334</v>
      </c>
      <c r="AO871" t="s">
        <v>51</v>
      </c>
    </row>
    <row r="872" spans="1:41" x14ac:dyDescent="0.3">
      <c r="A872" t="s">
        <v>41</v>
      </c>
      <c r="B872" t="s">
        <v>2758</v>
      </c>
      <c r="C872" t="s">
        <v>296</v>
      </c>
      <c r="D872" t="s">
        <v>63</v>
      </c>
      <c r="E872" s="1">
        <v>46078</v>
      </c>
      <c r="F872" t="s">
        <v>44</v>
      </c>
      <c r="G872" t="s">
        <v>128</v>
      </c>
      <c r="H872" s="2">
        <v>0.625</v>
      </c>
      <c r="I872" s="2">
        <v>0.95833333333333337</v>
      </c>
      <c r="J872" t="s">
        <v>296</v>
      </c>
      <c r="L872" t="s">
        <v>1229</v>
      </c>
      <c r="M872" t="s">
        <v>1230</v>
      </c>
      <c r="N872" t="s">
        <v>1231</v>
      </c>
      <c r="O872">
        <v>5952329</v>
      </c>
      <c r="Q872" t="s">
        <v>2759</v>
      </c>
      <c r="R872" t="s">
        <v>51</v>
      </c>
      <c r="S872" t="s">
        <v>52</v>
      </c>
      <c r="U872">
        <v>891829</v>
      </c>
      <c r="V872" s="3">
        <v>46078.333333333336</v>
      </c>
      <c r="W872" t="s">
        <v>1233</v>
      </c>
      <c r="X872" t="s">
        <v>1234</v>
      </c>
      <c r="Y872" t="str">
        <f>"0485533840"</f>
        <v>0485533840</v>
      </c>
      <c r="Z872" t="s">
        <v>55</v>
      </c>
      <c r="AA872" s="1">
        <v>46078</v>
      </c>
      <c r="AB872" t="s">
        <v>2760</v>
      </c>
      <c r="AD872" t="s">
        <v>41</v>
      </c>
      <c r="AE872" t="s">
        <v>1236</v>
      </c>
      <c r="AF872">
        <v>4215</v>
      </c>
      <c r="AG872" t="s">
        <v>2759</v>
      </c>
      <c r="AI872" t="s">
        <v>59</v>
      </c>
      <c r="AL872" t="s">
        <v>3082</v>
      </c>
      <c r="AN872" s="3">
        <v>46078.886805555558</v>
      </c>
      <c r="AO872" t="s">
        <v>1233</v>
      </c>
    </row>
    <row r="873" spans="1:41" x14ac:dyDescent="0.3">
      <c r="A873" t="s">
        <v>168</v>
      </c>
      <c r="B873" t="s">
        <v>3083</v>
      </c>
      <c r="C873" t="s">
        <v>3084</v>
      </c>
      <c r="D873" t="s">
        <v>127</v>
      </c>
      <c r="E873" s="1">
        <v>46078</v>
      </c>
      <c r="F873" t="s">
        <v>44</v>
      </c>
      <c r="G873" t="s">
        <v>128</v>
      </c>
      <c r="H873" s="2">
        <v>0.625</v>
      </c>
      <c r="I873" s="2">
        <v>0.875</v>
      </c>
      <c r="J873" t="s">
        <v>46</v>
      </c>
      <c r="K873" t="s">
        <v>77</v>
      </c>
      <c r="L873" t="s">
        <v>159</v>
      </c>
      <c r="M873" t="s">
        <v>3085</v>
      </c>
      <c r="N873" t="s">
        <v>3086</v>
      </c>
      <c r="O873">
        <v>336</v>
      </c>
      <c r="Q873" t="s">
        <v>3087</v>
      </c>
      <c r="R873" t="s">
        <v>1248</v>
      </c>
      <c r="S873" t="s">
        <v>52</v>
      </c>
      <c r="U873">
        <v>891816</v>
      </c>
      <c r="V873" s="3">
        <v>46077.913194444445</v>
      </c>
      <c r="W873" t="s">
        <v>3088</v>
      </c>
      <c r="X873" t="s">
        <v>3089</v>
      </c>
      <c r="Y873" t="str">
        <f>"0438451216"</f>
        <v>0438451216</v>
      </c>
      <c r="Z873" t="s">
        <v>70</v>
      </c>
      <c r="AA873" s="1">
        <v>46078</v>
      </c>
      <c r="AB873" t="s">
        <v>3090</v>
      </c>
      <c r="AD873" t="s">
        <v>168</v>
      </c>
      <c r="AE873" t="s">
        <v>1212</v>
      </c>
      <c r="AF873">
        <v>5045</v>
      </c>
      <c r="AG873" t="s">
        <v>3091</v>
      </c>
      <c r="AI873" t="s">
        <v>59</v>
      </c>
      <c r="AL873" t="s">
        <v>3092</v>
      </c>
      <c r="AN873" s="3">
        <v>46078.817361111112</v>
      </c>
      <c r="AO873" t="s">
        <v>3088</v>
      </c>
    </row>
    <row r="874" spans="1:41" x14ac:dyDescent="0.3">
      <c r="A874" t="s">
        <v>75</v>
      </c>
      <c r="B874" t="s">
        <v>1891</v>
      </c>
      <c r="C874" t="s">
        <v>745</v>
      </c>
      <c r="D874" t="s">
        <v>719</v>
      </c>
      <c r="E874" s="1">
        <v>46078</v>
      </c>
      <c r="F874" t="s">
        <v>44</v>
      </c>
      <c r="G874" t="s">
        <v>128</v>
      </c>
      <c r="H874" s="2">
        <v>0.625</v>
      </c>
      <c r="I874" s="2">
        <v>0.875</v>
      </c>
      <c r="J874" t="s">
        <v>296</v>
      </c>
      <c r="L874" t="s">
        <v>1453</v>
      </c>
      <c r="M874" t="s">
        <v>1023</v>
      </c>
      <c r="N874" t="s">
        <v>3093</v>
      </c>
      <c r="O874">
        <v>5951971</v>
      </c>
      <c r="Q874" t="s">
        <v>3094</v>
      </c>
      <c r="R874" t="s">
        <v>314</v>
      </c>
      <c r="S874" t="s">
        <v>52</v>
      </c>
      <c r="U874">
        <v>891853</v>
      </c>
      <c r="V874" s="3">
        <v>46078.515277777777</v>
      </c>
      <c r="W874" t="s">
        <v>3095</v>
      </c>
      <c r="X874" t="s">
        <v>3096</v>
      </c>
      <c r="Y874" t="str">
        <f>"0435968926"</f>
        <v>0435968926</v>
      </c>
      <c r="Z874" t="s">
        <v>70</v>
      </c>
      <c r="AA874" s="1">
        <v>46078</v>
      </c>
      <c r="AB874" t="s">
        <v>1893</v>
      </c>
      <c r="AD874" t="s">
        <v>75</v>
      </c>
      <c r="AE874" t="s">
        <v>1894</v>
      </c>
      <c r="AF874">
        <v>6007</v>
      </c>
      <c r="AG874" t="s">
        <v>2860</v>
      </c>
      <c r="AI874" t="s">
        <v>59</v>
      </c>
      <c r="AL874" t="s">
        <v>87</v>
      </c>
      <c r="AN874" s="3">
        <v>46079.000694444447</v>
      </c>
      <c r="AO874" t="s">
        <v>3095</v>
      </c>
    </row>
    <row r="875" spans="1:41" x14ac:dyDescent="0.3">
      <c r="A875" t="s">
        <v>75</v>
      </c>
      <c r="B875" t="s">
        <v>1971</v>
      </c>
      <c r="C875" t="s">
        <v>1972</v>
      </c>
      <c r="D875" t="s">
        <v>1971</v>
      </c>
      <c r="E875" s="1">
        <v>46078</v>
      </c>
      <c r="F875" t="s">
        <v>44</v>
      </c>
      <c r="G875" t="s">
        <v>128</v>
      </c>
      <c r="H875" s="2">
        <v>0.625</v>
      </c>
      <c r="I875" s="2">
        <v>0.79166666666666663</v>
      </c>
      <c r="J875" t="s">
        <v>112</v>
      </c>
      <c r="K875" t="s">
        <v>1973</v>
      </c>
      <c r="L875" t="s">
        <v>114</v>
      </c>
      <c r="M875" t="s">
        <v>1974</v>
      </c>
      <c r="N875" t="s">
        <v>1975</v>
      </c>
      <c r="O875">
        <v>22383</v>
      </c>
      <c r="Q875" t="s">
        <v>1976</v>
      </c>
      <c r="R875" t="s">
        <v>118</v>
      </c>
      <c r="S875" t="s">
        <v>52</v>
      </c>
      <c r="U875">
        <v>891954</v>
      </c>
      <c r="V875" s="3">
        <v>46076.525694444441</v>
      </c>
      <c r="W875" t="s">
        <v>1977</v>
      </c>
      <c r="X875" t="s">
        <v>1978</v>
      </c>
      <c r="Y875" t="str">
        <f>"0405795510"</f>
        <v>0405795510</v>
      </c>
      <c r="Z875" t="s">
        <v>123</v>
      </c>
      <c r="AB875" t="s">
        <v>1979</v>
      </c>
      <c r="AD875" t="s">
        <v>75</v>
      </c>
      <c r="AE875" t="s">
        <v>125</v>
      </c>
      <c r="AF875">
        <v>6017</v>
      </c>
      <c r="AG875" t="s">
        <v>1976</v>
      </c>
      <c r="AI875" t="s">
        <v>59</v>
      </c>
      <c r="AN875" s="3">
        <v>46079.849305555559</v>
      </c>
      <c r="AO875" t="s">
        <v>1977</v>
      </c>
    </row>
    <row r="876" spans="1:41" x14ac:dyDescent="0.3">
      <c r="A876" t="s">
        <v>168</v>
      </c>
      <c r="B876" t="s">
        <v>3083</v>
      </c>
      <c r="C876" t="s">
        <v>202</v>
      </c>
      <c r="D876" t="s">
        <v>127</v>
      </c>
      <c r="E876" s="1">
        <v>46078</v>
      </c>
      <c r="F876" t="s">
        <v>44</v>
      </c>
      <c r="G876" t="s">
        <v>128</v>
      </c>
      <c r="H876" s="2">
        <v>0.625</v>
      </c>
      <c r="I876" s="2">
        <v>0.79166666666666663</v>
      </c>
      <c r="J876" t="s">
        <v>46</v>
      </c>
      <c r="L876" t="s">
        <v>47</v>
      </c>
      <c r="M876" t="s">
        <v>3097</v>
      </c>
      <c r="N876" t="s">
        <v>3098</v>
      </c>
      <c r="O876">
        <v>20613</v>
      </c>
      <c r="Q876" t="s">
        <v>3087</v>
      </c>
      <c r="R876" t="s">
        <v>176</v>
      </c>
      <c r="S876" t="s">
        <v>52</v>
      </c>
      <c r="U876">
        <v>891804</v>
      </c>
      <c r="V876" s="3">
        <v>46078.396527777775</v>
      </c>
      <c r="W876" t="s">
        <v>3099</v>
      </c>
      <c r="X876" t="s">
        <v>3100</v>
      </c>
      <c r="Y876" t="str">
        <f>"0408831762"</f>
        <v>0408831762</v>
      </c>
      <c r="Z876" t="s">
        <v>70</v>
      </c>
      <c r="AA876" s="1">
        <v>46078</v>
      </c>
      <c r="AB876" t="s">
        <v>3090</v>
      </c>
      <c r="AD876" t="s">
        <v>168</v>
      </c>
      <c r="AE876" t="s">
        <v>1212</v>
      </c>
      <c r="AF876">
        <v>5045</v>
      </c>
      <c r="AG876" t="s">
        <v>3087</v>
      </c>
      <c r="AI876" t="s">
        <v>59</v>
      </c>
      <c r="AL876" t="s">
        <v>3101</v>
      </c>
      <c r="AN876" s="3">
        <v>46078.806250000001</v>
      </c>
      <c r="AO876" t="s">
        <v>3099</v>
      </c>
    </row>
    <row r="877" spans="1:41" x14ac:dyDescent="0.3">
      <c r="A877" t="s">
        <v>168</v>
      </c>
      <c r="B877" t="s">
        <v>1178</v>
      </c>
      <c r="C877" t="s">
        <v>202</v>
      </c>
      <c r="D877" t="s">
        <v>127</v>
      </c>
      <c r="E877" s="1">
        <v>46078</v>
      </c>
      <c r="F877" t="s">
        <v>44</v>
      </c>
      <c r="G877" t="s">
        <v>128</v>
      </c>
      <c r="H877" s="2">
        <v>0.66666666666666663</v>
      </c>
      <c r="I877" s="2">
        <v>0.83333333333333337</v>
      </c>
      <c r="J877" t="s">
        <v>46</v>
      </c>
      <c r="L877" t="s">
        <v>743</v>
      </c>
      <c r="M877" t="s">
        <v>744</v>
      </c>
      <c r="N877" t="s">
        <v>745</v>
      </c>
      <c r="O877">
        <v>5951894</v>
      </c>
      <c r="Q877" t="s">
        <v>2047</v>
      </c>
      <c r="R877" t="s">
        <v>231</v>
      </c>
      <c r="S877" t="s">
        <v>52</v>
      </c>
      <c r="U877">
        <v>891819</v>
      </c>
      <c r="V877" s="3">
        <v>46043.511805555558</v>
      </c>
      <c r="W877" t="s">
        <v>746</v>
      </c>
      <c r="X877" t="s">
        <v>747</v>
      </c>
      <c r="Y877" t="str">
        <f>"0420536678"</f>
        <v>0420536678</v>
      </c>
      <c r="Z877" t="s">
        <v>673</v>
      </c>
      <c r="AB877" t="s">
        <v>1184</v>
      </c>
      <c r="AD877" t="s">
        <v>168</v>
      </c>
      <c r="AE877" t="s">
        <v>1185</v>
      </c>
      <c r="AF877">
        <v>5066</v>
      </c>
      <c r="AG877" t="s">
        <v>2047</v>
      </c>
      <c r="AI877" t="s">
        <v>59</v>
      </c>
      <c r="AL877" t="s">
        <v>3102</v>
      </c>
      <c r="AN877" s="3">
        <v>46078.833333333336</v>
      </c>
      <c r="AO877" t="s">
        <v>746</v>
      </c>
    </row>
    <row r="878" spans="1:41" x14ac:dyDescent="0.3">
      <c r="A878" t="s">
        <v>61</v>
      </c>
      <c r="B878" t="s">
        <v>3103</v>
      </c>
      <c r="C878" t="s">
        <v>3104</v>
      </c>
      <c r="D878" t="s">
        <v>127</v>
      </c>
      <c r="E878" s="1">
        <v>46078</v>
      </c>
      <c r="F878" t="s">
        <v>44</v>
      </c>
      <c r="G878" t="s">
        <v>485</v>
      </c>
      <c r="H878" s="2">
        <v>0.79166666666666663</v>
      </c>
      <c r="I878" s="2">
        <v>0.3125</v>
      </c>
      <c r="J878" t="s">
        <v>464</v>
      </c>
      <c r="L878" t="s">
        <v>298</v>
      </c>
      <c r="M878" t="s">
        <v>2011</v>
      </c>
      <c r="N878" t="s">
        <v>933</v>
      </c>
      <c r="O878">
        <v>5952316</v>
      </c>
      <c r="Q878" t="s">
        <v>3105</v>
      </c>
      <c r="R878" t="s">
        <v>67</v>
      </c>
      <c r="S878" t="s">
        <v>119</v>
      </c>
      <c r="T878" t="s">
        <v>414</v>
      </c>
      <c r="U878">
        <v>892413</v>
      </c>
      <c r="V878" s="3">
        <v>46078.443055555559</v>
      </c>
      <c r="W878" t="s">
        <v>2013</v>
      </c>
      <c r="X878" t="s">
        <v>2014</v>
      </c>
      <c r="Y878" t="str">
        <f>"1111111111"</f>
        <v>1111111111</v>
      </c>
      <c r="Z878" t="s">
        <v>1201</v>
      </c>
      <c r="AB878" t="s">
        <v>3106</v>
      </c>
      <c r="AD878" t="s">
        <v>61</v>
      </c>
      <c r="AE878" t="s">
        <v>3107</v>
      </c>
      <c r="AF878">
        <v>2050</v>
      </c>
      <c r="AG878" t="s">
        <v>3105</v>
      </c>
      <c r="AI878" t="s">
        <v>59</v>
      </c>
      <c r="AL878" t="s">
        <v>3108</v>
      </c>
      <c r="AN878" s="3">
        <v>46078.460416666669</v>
      </c>
      <c r="AO878" t="s">
        <v>67</v>
      </c>
    </row>
    <row r="879" spans="1:41" x14ac:dyDescent="0.3">
      <c r="A879" t="s">
        <v>41</v>
      </c>
      <c r="B879" t="s">
        <v>551</v>
      </c>
      <c r="C879" t="s">
        <v>296</v>
      </c>
      <c r="D879" t="s">
        <v>246</v>
      </c>
      <c r="E879" s="1">
        <v>46078</v>
      </c>
      <c r="F879" t="s">
        <v>44</v>
      </c>
      <c r="G879" t="s">
        <v>485</v>
      </c>
      <c r="H879" s="2">
        <v>0.79166666666666663</v>
      </c>
      <c r="I879" s="2">
        <v>0.3125</v>
      </c>
      <c r="J879" t="s">
        <v>552</v>
      </c>
      <c r="K879" t="s">
        <v>553</v>
      </c>
      <c r="L879" t="s">
        <v>428</v>
      </c>
      <c r="M879" t="s">
        <v>554</v>
      </c>
      <c r="N879" t="s">
        <v>555</v>
      </c>
      <c r="O879">
        <v>5950685</v>
      </c>
      <c r="Q879" t="s">
        <v>3109</v>
      </c>
      <c r="R879" t="s">
        <v>51</v>
      </c>
      <c r="S879" t="s">
        <v>52</v>
      </c>
      <c r="U879">
        <v>891859</v>
      </c>
      <c r="V879" s="3">
        <v>46078.402777777781</v>
      </c>
      <c r="W879" t="s">
        <v>557</v>
      </c>
      <c r="X879" t="s">
        <v>558</v>
      </c>
      <c r="Y879" t="str">
        <f>"0431966228"</f>
        <v>0431966228</v>
      </c>
      <c r="Z879" t="s">
        <v>55</v>
      </c>
      <c r="AA879" s="1">
        <v>46078</v>
      </c>
      <c r="AB879" t="s">
        <v>559</v>
      </c>
      <c r="AD879" t="s">
        <v>41</v>
      </c>
      <c r="AE879" t="s">
        <v>560</v>
      </c>
      <c r="AF879">
        <v>4131</v>
      </c>
      <c r="AG879" t="s">
        <v>1401</v>
      </c>
      <c r="AI879" t="s">
        <v>59</v>
      </c>
      <c r="AL879" t="s">
        <v>3110</v>
      </c>
      <c r="AN879" s="3">
        <v>46079.322916666664</v>
      </c>
      <c r="AO879" t="s">
        <v>557</v>
      </c>
    </row>
    <row r="880" spans="1:41" x14ac:dyDescent="0.3">
      <c r="A880" t="s">
        <v>306</v>
      </c>
      <c r="B880" t="s">
        <v>1238</v>
      </c>
      <c r="C880" t="s">
        <v>529</v>
      </c>
      <c r="D880" t="s">
        <v>90</v>
      </c>
      <c r="E880" s="1">
        <v>46078</v>
      </c>
      <c r="F880" t="s">
        <v>44</v>
      </c>
      <c r="G880" t="s">
        <v>485</v>
      </c>
      <c r="H880" s="2">
        <v>0.79166666666666663</v>
      </c>
      <c r="I880" s="2">
        <v>0.3125</v>
      </c>
      <c r="J880" t="s">
        <v>529</v>
      </c>
      <c r="L880" t="s">
        <v>735</v>
      </c>
      <c r="M880" t="s">
        <v>1651</v>
      </c>
      <c r="N880" t="s">
        <v>1652</v>
      </c>
      <c r="O880">
        <v>20581</v>
      </c>
      <c r="Q880" t="s">
        <v>1245</v>
      </c>
      <c r="R880" t="s">
        <v>314</v>
      </c>
      <c r="S880" t="s">
        <v>52</v>
      </c>
      <c r="U880">
        <v>891858</v>
      </c>
      <c r="V880" s="3">
        <v>46078.559027777781</v>
      </c>
      <c r="W880" t="s">
        <v>1654</v>
      </c>
      <c r="X880" t="s">
        <v>1655</v>
      </c>
      <c r="Y880" t="str">
        <f>"0420857417"</f>
        <v>0420857417</v>
      </c>
      <c r="Z880" t="s">
        <v>70</v>
      </c>
      <c r="AA880" s="1">
        <v>46078</v>
      </c>
      <c r="AB880" t="s">
        <v>1243</v>
      </c>
      <c r="AD880" t="s">
        <v>306</v>
      </c>
      <c r="AE880" t="s">
        <v>1244</v>
      </c>
      <c r="AF880">
        <v>3065</v>
      </c>
      <c r="AG880" t="s">
        <v>1245</v>
      </c>
      <c r="AI880" t="s">
        <v>59</v>
      </c>
      <c r="AL880" t="s">
        <v>87</v>
      </c>
      <c r="AN880" s="3">
        <v>46079.289583333331</v>
      </c>
      <c r="AO880" t="s">
        <v>1654</v>
      </c>
    </row>
    <row r="881" spans="1:41" x14ac:dyDescent="0.3">
      <c r="A881" t="s">
        <v>168</v>
      </c>
      <c r="B881" t="s">
        <v>266</v>
      </c>
      <c r="C881" t="s">
        <v>267</v>
      </c>
      <c r="D881" t="s">
        <v>268</v>
      </c>
      <c r="E881" s="1">
        <v>46078</v>
      </c>
      <c r="F881" t="s">
        <v>44</v>
      </c>
      <c r="G881" t="s">
        <v>485</v>
      </c>
      <c r="H881" s="2">
        <v>0.875</v>
      </c>
      <c r="I881" s="2">
        <v>0.3125</v>
      </c>
      <c r="J881" t="s">
        <v>269</v>
      </c>
      <c r="K881" t="s">
        <v>270</v>
      </c>
      <c r="L881" t="s">
        <v>47</v>
      </c>
      <c r="M881" t="s">
        <v>517</v>
      </c>
      <c r="N881" t="s">
        <v>518</v>
      </c>
      <c r="O881">
        <v>5951368</v>
      </c>
      <c r="Q881" t="s">
        <v>274</v>
      </c>
      <c r="R881" t="s">
        <v>176</v>
      </c>
      <c r="S881" t="s">
        <v>52</v>
      </c>
      <c r="U881">
        <v>891862</v>
      </c>
      <c r="V881" s="3">
        <v>45993.455555555556</v>
      </c>
      <c r="W881" t="s">
        <v>519</v>
      </c>
      <c r="X881" t="s">
        <v>520</v>
      </c>
      <c r="Y881" t="str">
        <f>"0420208072"</f>
        <v>0420208072</v>
      </c>
      <c r="Z881" t="s">
        <v>1399</v>
      </c>
      <c r="AB881" t="s">
        <v>277</v>
      </c>
      <c r="AC881" t="s">
        <v>278</v>
      </c>
      <c r="AD881" t="s">
        <v>168</v>
      </c>
      <c r="AE881" t="s">
        <v>279</v>
      </c>
      <c r="AF881">
        <v>5092</v>
      </c>
      <c r="AG881" t="s">
        <v>274</v>
      </c>
      <c r="AI881" t="s">
        <v>59</v>
      </c>
      <c r="AL881" t="s">
        <v>3111</v>
      </c>
      <c r="AM881" t="s">
        <v>281</v>
      </c>
      <c r="AN881" s="3">
        <v>46079.32708333333</v>
      </c>
      <c r="AO881" t="s">
        <v>519</v>
      </c>
    </row>
    <row r="882" spans="1:41" x14ac:dyDescent="0.3">
      <c r="A882" t="s">
        <v>306</v>
      </c>
      <c r="B882" t="s">
        <v>1060</v>
      </c>
      <c r="C882" t="s">
        <v>3112</v>
      </c>
      <c r="D882" t="s">
        <v>184</v>
      </c>
      <c r="E882" s="1">
        <v>46078</v>
      </c>
      <c r="F882" t="s">
        <v>44</v>
      </c>
      <c r="G882" t="s">
        <v>485</v>
      </c>
      <c r="H882" s="2">
        <v>0.91666666666666663</v>
      </c>
      <c r="I882" s="2">
        <v>0.3125</v>
      </c>
      <c r="J882" t="s">
        <v>2948</v>
      </c>
      <c r="L882" t="s">
        <v>531</v>
      </c>
      <c r="M882" t="s">
        <v>1239</v>
      </c>
      <c r="N882" t="s">
        <v>1240</v>
      </c>
      <c r="O882">
        <v>5952284</v>
      </c>
      <c r="Q882" t="s">
        <v>3113</v>
      </c>
      <c r="R882" t="s">
        <v>500</v>
      </c>
      <c r="S882" t="s">
        <v>119</v>
      </c>
      <c r="T882" t="s">
        <v>1356</v>
      </c>
      <c r="U882">
        <v>892218</v>
      </c>
      <c r="V882" s="3">
        <v>46078.716666666667</v>
      </c>
      <c r="W882" t="s">
        <v>1241</v>
      </c>
      <c r="X882" t="s">
        <v>1242</v>
      </c>
      <c r="Y882" t="str">
        <f>"0402086188"</f>
        <v>0402086188</v>
      </c>
      <c r="Z882" t="s">
        <v>70</v>
      </c>
      <c r="AA882" s="1">
        <v>46078</v>
      </c>
      <c r="AB882" t="s">
        <v>1066</v>
      </c>
      <c r="AD882" t="s">
        <v>306</v>
      </c>
      <c r="AE882" t="s">
        <v>1067</v>
      </c>
      <c r="AF882">
        <v>3084</v>
      </c>
      <c r="AI882" t="s">
        <v>59</v>
      </c>
      <c r="AL882" t="s">
        <v>3114</v>
      </c>
      <c r="AN882" s="3">
        <v>46078.723611111112</v>
      </c>
      <c r="AO882" t="s">
        <v>1241</v>
      </c>
    </row>
    <row r="883" spans="1:41" x14ac:dyDescent="0.3">
      <c r="A883" t="s">
        <v>306</v>
      </c>
      <c r="B883" t="s">
        <v>1751</v>
      </c>
      <c r="C883" t="s">
        <v>2947</v>
      </c>
      <c r="D883" t="s">
        <v>184</v>
      </c>
      <c r="E883" s="1">
        <v>46078</v>
      </c>
      <c r="F883" t="s">
        <v>44</v>
      </c>
      <c r="G883" t="s">
        <v>485</v>
      </c>
      <c r="H883" s="2">
        <v>0.91666666666666663</v>
      </c>
      <c r="I883" s="2">
        <v>0.3125</v>
      </c>
      <c r="J883" t="s">
        <v>2948</v>
      </c>
      <c r="K883" t="s">
        <v>530</v>
      </c>
      <c r="L883" t="s">
        <v>531</v>
      </c>
      <c r="M883" t="s">
        <v>532</v>
      </c>
      <c r="N883" t="s">
        <v>533</v>
      </c>
      <c r="O883">
        <v>20495</v>
      </c>
      <c r="Q883" t="s">
        <v>3115</v>
      </c>
      <c r="R883" t="s">
        <v>476</v>
      </c>
      <c r="S883" t="s">
        <v>119</v>
      </c>
      <c r="T883" t="s">
        <v>1356</v>
      </c>
      <c r="U883">
        <v>892221</v>
      </c>
      <c r="V883" s="3">
        <v>46078.492361111108</v>
      </c>
      <c r="W883" t="s">
        <v>535</v>
      </c>
      <c r="X883" t="s">
        <v>536</v>
      </c>
      <c r="Y883" t="str">
        <f>"0447625522"</f>
        <v>0447625522</v>
      </c>
      <c r="Z883" t="s">
        <v>70</v>
      </c>
      <c r="AB883" t="s">
        <v>1759</v>
      </c>
      <c r="AD883" t="s">
        <v>306</v>
      </c>
      <c r="AE883" t="s">
        <v>1760</v>
      </c>
      <c r="AF883">
        <v>3199</v>
      </c>
      <c r="AI883" t="s">
        <v>59</v>
      </c>
      <c r="AL883" t="s">
        <v>3116</v>
      </c>
      <c r="AM883" t="s">
        <v>3117</v>
      </c>
      <c r="AN883" s="3">
        <v>46078.666666666664</v>
      </c>
      <c r="AO883" t="s">
        <v>535</v>
      </c>
    </row>
    <row r="884" spans="1:41" x14ac:dyDescent="0.3">
      <c r="A884" t="s">
        <v>306</v>
      </c>
      <c r="B884" t="s">
        <v>2407</v>
      </c>
      <c r="C884" t="s">
        <v>3118</v>
      </c>
      <c r="D884" t="s">
        <v>184</v>
      </c>
      <c r="E884" s="1">
        <v>46078</v>
      </c>
      <c r="F884" t="s">
        <v>44</v>
      </c>
      <c r="G884" t="s">
        <v>485</v>
      </c>
      <c r="H884" s="2">
        <v>0.91666666666666663</v>
      </c>
      <c r="I884" s="2">
        <v>0.3125</v>
      </c>
      <c r="J884" t="s">
        <v>1314</v>
      </c>
      <c r="L884" t="s">
        <v>1337</v>
      </c>
      <c r="M884" t="s">
        <v>1338</v>
      </c>
      <c r="N884" t="s">
        <v>1339</v>
      </c>
      <c r="O884">
        <v>20818</v>
      </c>
      <c r="Q884" t="s">
        <v>705</v>
      </c>
      <c r="R884" t="s">
        <v>1248</v>
      </c>
      <c r="S884" t="s">
        <v>119</v>
      </c>
      <c r="T884" t="s">
        <v>414</v>
      </c>
      <c r="U884">
        <v>892201</v>
      </c>
      <c r="V884" s="3">
        <v>46078.004166666666</v>
      </c>
      <c r="W884" t="s">
        <v>1340</v>
      </c>
      <c r="X884" t="s">
        <v>1341</v>
      </c>
      <c r="Y884" t="str">
        <f>"0449240065"</f>
        <v>0449240065</v>
      </c>
      <c r="Z884" t="s">
        <v>70</v>
      </c>
      <c r="AB884" t="s">
        <v>2408</v>
      </c>
      <c r="AD884" t="s">
        <v>306</v>
      </c>
      <c r="AE884" t="s">
        <v>2409</v>
      </c>
      <c r="AF884">
        <v>3149</v>
      </c>
      <c r="AI884" t="s">
        <v>59</v>
      </c>
      <c r="AL884" t="s">
        <v>1361</v>
      </c>
      <c r="AM884" t="s">
        <v>3119</v>
      </c>
      <c r="AN884" s="3">
        <v>46078.010416666664</v>
      </c>
      <c r="AO884" t="s">
        <v>1248</v>
      </c>
    </row>
    <row r="885" spans="1:41" x14ac:dyDescent="0.3">
      <c r="A885" t="s">
        <v>41</v>
      </c>
      <c r="B885" t="s">
        <v>426</v>
      </c>
      <c r="C885" t="s">
        <v>296</v>
      </c>
      <c r="D885" t="s">
        <v>246</v>
      </c>
      <c r="E885" s="1">
        <v>46078</v>
      </c>
      <c r="F885" t="s">
        <v>44</v>
      </c>
      <c r="G885" t="s">
        <v>485</v>
      </c>
      <c r="H885" s="2">
        <v>0.94791666666666663</v>
      </c>
      <c r="I885" s="2">
        <v>0.30208333333333331</v>
      </c>
      <c r="J885" t="s">
        <v>464</v>
      </c>
      <c r="L885" t="s">
        <v>540</v>
      </c>
      <c r="M885" t="s">
        <v>563</v>
      </c>
      <c r="N885" t="s">
        <v>564</v>
      </c>
      <c r="O885">
        <v>402477</v>
      </c>
      <c r="Q885" t="s">
        <v>431</v>
      </c>
      <c r="R885" t="s">
        <v>51</v>
      </c>
      <c r="S885" t="s">
        <v>52</v>
      </c>
      <c r="U885">
        <v>891863</v>
      </c>
      <c r="V885" s="3">
        <v>46078.644444444442</v>
      </c>
      <c r="W885" t="s">
        <v>565</v>
      </c>
      <c r="X885" t="s">
        <v>566</v>
      </c>
      <c r="Y885" t="str">
        <f>"0417873276"</f>
        <v>0417873276</v>
      </c>
      <c r="Z885" t="s">
        <v>70</v>
      </c>
      <c r="AA885" s="1">
        <v>46078</v>
      </c>
      <c r="AB885" t="s">
        <v>434</v>
      </c>
      <c r="AD885" t="s">
        <v>41</v>
      </c>
      <c r="AE885" t="s">
        <v>435</v>
      </c>
      <c r="AF885">
        <v>4163</v>
      </c>
      <c r="AG885" t="s">
        <v>431</v>
      </c>
      <c r="AI885" t="s">
        <v>59</v>
      </c>
      <c r="AL885" t="s">
        <v>87</v>
      </c>
      <c r="AN885" s="3">
        <v>46079.344444444447</v>
      </c>
      <c r="AO885" t="s">
        <v>565</v>
      </c>
    </row>
    <row r="886" spans="1:41" x14ac:dyDescent="0.3">
      <c r="A886" t="s">
        <v>41</v>
      </c>
      <c r="B886" t="s">
        <v>568</v>
      </c>
      <c r="D886" t="s">
        <v>246</v>
      </c>
      <c r="E886" s="1">
        <v>46048</v>
      </c>
      <c r="F886" t="s">
        <v>569</v>
      </c>
      <c r="G886" t="s">
        <v>45</v>
      </c>
      <c r="H886" s="2">
        <v>0.29166666666666669</v>
      </c>
      <c r="I886" s="2">
        <v>0.64583333333333337</v>
      </c>
      <c r="J886" t="s">
        <v>269</v>
      </c>
      <c r="L886" t="s">
        <v>172</v>
      </c>
      <c r="M886" t="s">
        <v>311</v>
      </c>
      <c r="N886" t="s">
        <v>570</v>
      </c>
      <c r="O886">
        <v>5951685</v>
      </c>
      <c r="P886" t="s">
        <v>571</v>
      </c>
      <c r="Q886" t="s">
        <v>572</v>
      </c>
      <c r="R886" t="s">
        <v>573</v>
      </c>
      <c r="S886" t="s">
        <v>52</v>
      </c>
      <c r="T886" t="s">
        <v>252</v>
      </c>
      <c r="U886">
        <v>889141</v>
      </c>
      <c r="V886" s="3">
        <v>46056.381249999999</v>
      </c>
      <c r="W886" t="s">
        <v>574</v>
      </c>
      <c r="X886" t="s">
        <v>575</v>
      </c>
      <c r="Y886" t="str">
        <f>"0407007024"</f>
        <v>0407007024</v>
      </c>
      <c r="Z886" t="s">
        <v>585</v>
      </c>
      <c r="AA886" s="1">
        <v>46075</v>
      </c>
      <c r="AB886" t="s">
        <v>576</v>
      </c>
      <c r="AD886" t="s">
        <v>41</v>
      </c>
      <c r="AE886" t="s">
        <v>577</v>
      </c>
      <c r="AF886">
        <v>4700</v>
      </c>
      <c r="AG886" t="s">
        <v>572</v>
      </c>
      <c r="AI886" t="s">
        <v>59</v>
      </c>
      <c r="AJ886" t="str">
        <f>"0050076113"</f>
        <v>0050076113</v>
      </c>
      <c r="AN886" s="3">
        <v>46056.381249999999</v>
      </c>
      <c r="AO886" t="s">
        <v>573</v>
      </c>
    </row>
    <row r="887" spans="1:41" x14ac:dyDescent="0.3">
      <c r="A887" t="s">
        <v>41</v>
      </c>
      <c r="B887" t="s">
        <v>589</v>
      </c>
      <c r="C887" t="s">
        <v>590</v>
      </c>
      <c r="D887" t="s">
        <v>246</v>
      </c>
      <c r="E887" s="1">
        <v>46048</v>
      </c>
      <c r="F887" t="s">
        <v>569</v>
      </c>
      <c r="G887" t="s">
        <v>128</v>
      </c>
      <c r="H887" s="2">
        <v>0.60416666666666663</v>
      </c>
      <c r="I887" s="2">
        <v>0.95833333333333337</v>
      </c>
      <c r="J887" t="s">
        <v>591</v>
      </c>
      <c r="L887" t="s">
        <v>592</v>
      </c>
      <c r="M887" t="s">
        <v>593</v>
      </c>
      <c r="N887" t="s">
        <v>594</v>
      </c>
      <c r="O887">
        <v>5952427</v>
      </c>
      <c r="P887" t="s">
        <v>249</v>
      </c>
      <c r="Q887" t="s">
        <v>596</v>
      </c>
      <c r="R887" t="s">
        <v>392</v>
      </c>
      <c r="S887" t="s">
        <v>52</v>
      </c>
      <c r="T887" t="s">
        <v>252</v>
      </c>
      <c r="U887">
        <v>888930</v>
      </c>
      <c r="V887" s="3">
        <v>46055.37777777778</v>
      </c>
      <c r="W887" t="s">
        <v>597</v>
      </c>
      <c r="X887" t="s">
        <v>598</v>
      </c>
      <c r="Y887" t="str">
        <f>"0432677728"</f>
        <v>0432677728</v>
      </c>
      <c r="Z887" t="s">
        <v>1201</v>
      </c>
      <c r="AA887" s="1">
        <v>46054</v>
      </c>
      <c r="AB887" t="s">
        <v>599</v>
      </c>
      <c r="AC887" t="s">
        <v>600</v>
      </c>
      <c r="AD887" t="s">
        <v>41</v>
      </c>
      <c r="AE887" t="s">
        <v>600</v>
      </c>
      <c r="AF887">
        <v>4610</v>
      </c>
      <c r="AG887" t="s">
        <v>601</v>
      </c>
      <c r="AI887" t="s">
        <v>59</v>
      </c>
      <c r="AJ887" t="str">
        <f>"0050075752"</f>
        <v>0050075752</v>
      </c>
      <c r="AN887" s="3">
        <v>46055.37777777778</v>
      </c>
      <c r="AO887" t="s">
        <v>392</v>
      </c>
    </row>
    <row r="888" spans="1:41" x14ac:dyDescent="0.3">
      <c r="A888" t="s">
        <v>168</v>
      </c>
      <c r="B888" t="s">
        <v>607</v>
      </c>
      <c r="C888" t="s">
        <v>267</v>
      </c>
      <c r="D888" t="s">
        <v>268</v>
      </c>
      <c r="E888" s="1">
        <v>46048</v>
      </c>
      <c r="F888" t="s">
        <v>569</v>
      </c>
      <c r="G888" t="s">
        <v>45</v>
      </c>
      <c r="H888" s="2">
        <v>0.60416666666666663</v>
      </c>
      <c r="I888" s="2">
        <v>0.95833333333333337</v>
      </c>
      <c r="J888" t="s">
        <v>269</v>
      </c>
      <c r="K888" t="s">
        <v>608</v>
      </c>
      <c r="L888" t="s">
        <v>609</v>
      </c>
      <c r="M888" t="s">
        <v>610</v>
      </c>
      <c r="N888" t="s">
        <v>611</v>
      </c>
      <c r="O888">
        <v>5952121</v>
      </c>
      <c r="P888" t="s">
        <v>249</v>
      </c>
      <c r="Q888" t="s">
        <v>612</v>
      </c>
      <c r="R888" t="s">
        <v>613</v>
      </c>
      <c r="S888" t="s">
        <v>52</v>
      </c>
      <c r="T888" t="s">
        <v>252</v>
      </c>
      <c r="U888">
        <v>888936</v>
      </c>
      <c r="V888" s="3">
        <v>46055.4</v>
      </c>
      <c r="W888" t="s">
        <v>613</v>
      </c>
      <c r="X888" t="s">
        <v>614</v>
      </c>
      <c r="Y888" t="str">
        <f>"0412297150"</f>
        <v>0412297150</v>
      </c>
      <c r="Z888" t="s">
        <v>1201</v>
      </c>
      <c r="AA888" s="1">
        <v>46077</v>
      </c>
      <c r="AB888" t="s">
        <v>615</v>
      </c>
      <c r="AC888" t="s">
        <v>616</v>
      </c>
      <c r="AD888" t="s">
        <v>168</v>
      </c>
      <c r="AE888" t="s">
        <v>617</v>
      </c>
      <c r="AF888">
        <v>5290</v>
      </c>
      <c r="AG888" t="s">
        <v>618</v>
      </c>
      <c r="AI888" t="s">
        <v>59</v>
      </c>
      <c r="AJ888" t="str">
        <f>"0020171780"</f>
        <v>0020171780</v>
      </c>
      <c r="AM888" t="s">
        <v>1696</v>
      </c>
      <c r="AN888" s="3">
        <v>46055.4</v>
      </c>
      <c r="AO888" t="s">
        <v>613</v>
      </c>
    </row>
    <row r="889" spans="1:41" x14ac:dyDescent="0.3">
      <c r="A889" t="s">
        <v>61</v>
      </c>
      <c r="B889" t="s">
        <v>578</v>
      </c>
      <c r="D889" t="s">
        <v>579</v>
      </c>
      <c r="E889" s="1">
        <v>46048</v>
      </c>
      <c r="F889" t="s">
        <v>569</v>
      </c>
      <c r="G889" t="s">
        <v>485</v>
      </c>
      <c r="H889" s="2">
        <v>0.875</v>
      </c>
      <c r="I889" s="2">
        <v>0.3125</v>
      </c>
      <c r="J889" t="s">
        <v>269</v>
      </c>
      <c r="L889" t="s">
        <v>172</v>
      </c>
      <c r="M889" t="s">
        <v>580</v>
      </c>
      <c r="N889" t="s">
        <v>581</v>
      </c>
      <c r="O889">
        <v>5951721</v>
      </c>
      <c r="P889" t="s">
        <v>571</v>
      </c>
      <c r="Q889" t="s">
        <v>582</v>
      </c>
      <c r="R889" t="s">
        <v>573</v>
      </c>
      <c r="S889" t="s">
        <v>52</v>
      </c>
      <c r="T889" t="s">
        <v>252</v>
      </c>
      <c r="U889">
        <v>889781</v>
      </c>
      <c r="V889" s="3">
        <v>46062.513888888891</v>
      </c>
      <c r="W889" t="s">
        <v>583</v>
      </c>
      <c r="X889" t="s">
        <v>584</v>
      </c>
      <c r="Y889" t="str">
        <f>"0456677559"</f>
        <v>0456677559</v>
      </c>
      <c r="Z889" t="s">
        <v>585</v>
      </c>
      <c r="AA889" s="1">
        <v>46066</v>
      </c>
      <c r="AB889" t="s">
        <v>586</v>
      </c>
      <c r="AD889" t="s">
        <v>61</v>
      </c>
      <c r="AE889" t="s">
        <v>587</v>
      </c>
      <c r="AF889">
        <v>2320</v>
      </c>
      <c r="AG889" t="s">
        <v>588</v>
      </c>
      <c r="AI889" t="s">
        <v>59</v>
      </c>
      <c r="AJ889" t="str">
        <f>"0010193654"</f>
        <v>0010193654</v>
      </c>
      <c r="AN889" s="3">
        <v>46062.513888888891</v>
      </c>
      <c r="AO889" t="s">
        <v>573</v>
      </c>
    </row>
    <row r="890" spans="1:41" x14ac:dyDescent="0.3">
      <c r="A890" t="s">
        <v>61</v>
      </c>
      <c r="B890" t="s">
        <v>182</v>
      </c>
      <c r="C890" t="s">
        <v>183</v>
      </c>
      <c r="D890" t="s">
        <v>184</v>
      </c>
      <c r="E890" s="1">
        <v>46079</v>
      </c>
      <c r="F890" t="s">
        <v>621</v>
      </c>
      <c r="G890" t="s">
        <v>45</v>
      </c>
      <c r="H890" s="2">
        <v>0.27083333333333331</v>
      </c>
      <c r="I890" s="2">
        <v>0.70833333333333337</v>
      </c>
      <c r="J890" t="s">
        <v>185</v>
      </c>
      <c r="L890" t="s">
        <v>47</v>
      </c>
      <c r="M890" t="s">
        <v>1295</v>
      </c>
      <c r="N890" t="s">
        <v>1296</v>
      </c>
      <c r="O890">
        <v>21188</v>
      </c>
      <c r="Q890" t="s">
        <v>189</v>
      </c>
      <c r="R890" t="s">
        <v>67</v>
      </c>
      <c r="S890" t="s">
        <v>52</v>
      </c>
      <c r="U890">
        <v>891925</v>
      </c>
      <c r="V890" s="3">
        <v>46078.493750000001</v>
      </c>
      <c r="W890" t="s">
        <v>1297</v>
      </c>
      <c r="X890" t="s">
        <v>1298</v>
      </c>
      <c r="Y890" t="str">
        <f>"0412228277"</f>
        <v>0412228277</v>
      </c>
      <c r="Z890" t="s">
        <v>70</v>
      </c>
      <c r="AB890" t="s">
        <v>193</v>
      </c>
      <c r="AD890" t="s">
        <v>61</v>
      </c>
      <c r="AE890" t="s">
        <v>194</v>
      </c>
      <c r="AF890">
        <v>2229</v>
      </c>
      <c r="AG890" t="s">
        <v>189</v>
      </c>
      <c r="AI890" t="s">
        <v>59</v>
      </c>
      <c r="AL890" t="s">
        <v>3120</v>
      </c>
      <c r="AN890" s="3">
        <v>46079.81527777778</v>
      </c>
      <c r="AO890" t="s">
        <v>1297</v>
      </c>
    </row>
    <row r="891" spans="1:41" x14ac:dyDescent="0.3">
      <c r="A891" t="s">
        <v>41</v>
      </c>
      <c r="B891" t="s">
        <v>1168</v>
      </c>
      <c r="D891" t="s">
        <v>246</v>
      </c>
      <c r="E891" s="1">
        <v>46079</v>
      </c>
      <c r="F891" t="s">
        <v>621</v>
      </c>
      <c r="G891" t="s">
        <v>45</v>
      </c>
      <c r="H891" s="2">
        <v>0.27083333333333331</v>
      </c>
      <c r="I891" s="2">
        <v>0.625</v>
      </c>
      <c r="J891" t="s">
        <v>296</v>
      </c>
      <c r="L891" t="s">
        <v>1169</v>
      </c>
      <c r="M891" t="s">
        <v>1170</v>
      </c>
      <c r="N891" t="s">
        <v>1171</v>
      </c>
      <c r="O891">
        <v>5952274</v>
      </c>
      <c r="Q891" t="s">
        <v>1172</v>
      </c>
      <c r="R891" t="s">
        <v>1173</v>
      </c>
      <c r="S891" t="s">
        <v>52</v>
      </c>
      <c r="T891" t="s">
        <v>252</v>
      </c>
      <c r="U891">
        <v>892212</v>
      </c>
      <c r="V891" s="3">
        <v>46083.459722222222</v>
      </c>
      <c r="W891" t="s">
        <v>1173</v>
      </c>
      <c r="X891" t="s">
        <v>1174</v>
      </c>
      <c r="Y891" t="str">
        <f>"0432261353"</f>
        <v>0432261353</v>
      </c>
      <c r="Z891" t="s">
        <v>254</v>
      </c>
      <c r="AA891" s="1">
        <v>46083</v>
      </c>
      <c r="AB891" t="s">
        <v>1175</v>
      </c>
      <c r="AD891" t="s">
        <v>41</v>
      </c>
      <c r="AE891" t="s">
        <v>1176</v>
      </c>
      <c r="AF891">
        <v>4680</v>
      </c>
      <c r="AG891" t="s">
        <v>1177</v>
      </c>
      <c r="AI891" t="s">
        <v>59</v>
      </c>
      <c r="AJ891" t="str">
        <f>"0050076336"</f>
        <v>0050076336</v>
      </c>
      <c r="AN891" s="3">
        <v>46083.459722222222</v>
      </c>
      <c r="AO891" t="s">
        <v>1173</v>
      </c>
    </row>
    <row r="892" spans="1:41" x14ac:dyDescent="0.3">
      <c r="A892" t="s">
        <v>168</v>
      </c>
      <c r="B892" t="s">
        <v>409</v>
      </c>
      <c r="C892" t="s">
        <v>1869</v>
      </c>
      <c r="D892" t="s">
        <v>309</v>
      </c>
      <c r="E892" s="1">
        <v>46079</v>
      </c>
      <c r="F892" t="s">
        <v>621</v>
      </c>
      <c r="G892" t="s">
        <v>45</v>
      </c>
      <c r="H892" s="2">
        <v>0.27083333333333331</v>
      </c>
      <c r="I892" s="2">
        <v>0.60416666666666663</v>
      </c>
      <c r="J892" t="s">
        <v>1728</v>
      </c>
      <c r="K892" t="s">
        <v>1022</v>
      </c>
      <c r="L892" t="s">
        <v>3121</v>
      </c>
      <c r="M892" t="s">
        <v>3122</v>
      </c>
      <c r="N892" t="s">
        <v>925</v>
      </c>
      <c r="O892">
        <v>5951805</v>
      </c>
      <c r="Q892" t="s">
        <v>705</v>
      </c>
      <c r="R892" t="s">
        <v>500</v>
      </c>
      <c r="S892" t="s">
        <v>119</v>
      </c>
      <c r="T892" t="s">
        <v>1932</v>
      </c>
      <c r="U892">
        <v>892179</v>
      </c>
      <c r="V892" s="3">
        <v>46078.749305555553</v>
      </c>
      <c r="W892" t="s">
        <v>3123</v>
      </c>
      <c r="X892" t="s">
        <v>3124</v>
      </c>
      <c r="Y892" t="str">
        <f>"0434321277"</f>
        <v>0434321277</v>
      </c>
      <c r="Z892" t="s">
        <v>70</v>
      </c>
      <c r="AB892" t="s">
        <v>417</v>
      </c>
      <c r="AD892" t="s">
        <v>168</v>
      </c>
      <c r="AE892" t="s">
        <v>384</v>
      </c>
      <c r="AF892">
        <v>5000</v>
      </c>
      <c r="AI892" t="s">
        <v>59</v>
      </c>
      <c r="AL892" t="s">
        <v>1729</v>
      </c>
      <c r="AM892" t="s">
        <v>3125</v>
      </c>
      <c r="AN892" s="3">
        <v>46078.918055555558</v>
      </c>
      <c r="AO892" t="s">
        <v>500</v>
      </c>
    </row>
    <row r="893" spans="1:41" x14ac:dyDescent="0.3">
      <c r="A893" t="s">
        <v>168</v>
      </c>
      <c r="B893" t="s">
        <v>376</v>
      </c>
      <c r="C893" t="s">
        <v>43</v>
      </c>
      <c r="D893" t="s">
        <v>127</v>
      </c>
      <c r="E893" s="1">
        <v>46079</v>
      </c>
      <c r="F893" t="s">
        <v>621</v>
      </c>
      <c r="G893" t="s">
        <v>45</v>
      </c>
      <c r="H893" s="2">
        <v>0.27083333333333331</v>
      </c>
      <c r="I893" s="2">
        <v>0.54097222222222219</v>
      </c>
      <c r="J893" t="s">
        <v>185</v>
      </c>
      <c r="L893" t="s">
        <v>186</v>
      </c>
      <c r="M893" t="s">
        <v>867</v>
      </c>
      <c r="N893" t="s">
        <v>868</v>
      </c>
      <c r="O893">
        <v>5951869</v>
      </c>
      <c r="Q893" t="s">
        <v>670</v>
      </c>
      <c r="R893" t="s">
        <v>231</v>
      </c>
      <c r="S893" t="s">
        <v>52</v>
      </c>
      <c r="U893">
        <v>891882</v>
      </c>
      <c r="V893" s="3">
        <v>46055.394444444442</v>
      </c>
      <c r="W893" t="s">
        <v>870</v>
      </c>
      <c r="X893" t="s">
        <v>871</v>
      </c>
      <c r="Y893" t="str">
        <f>"0435211342"</f>
        <v>0435211342</v>
      </c>
      <c r="Z893" t="s">
        <v>673</v>
      </c>
      <c r="AB893" t="s">
        <v>383</v>
      </c>
      <c r="AD893" t="s">
        <v>168</v>
      </c>
      <c r="AE893" t="s">
        <v>384</v>
      </c>
      <c r="AF893">
        <v>5000</v>
      </c>
      <c r="AG893" t="s">
        <v>674</v>
      </c>
      <c r="AI893" t="s">
        <v>59</v>
      </c>
      <c r="AL893" t="s">
        <v>3126</v>
      </c>
      <c r="AM893" t="s">
        <v>3127</v>
      </c>
      <c r="AN893" s="3">
        <v>46079.618055555555</v>
      </c>
      <c r="AO893" t="s">
        <v>870</v>
      </c>
    </row>
    <row r="894" spans="1:41" x14ac:dyDescent="0.3">
      <c r="A894" t="s">
        <v>168</v>
      </c>
      <c r="B894" t="s">
        <v>215</v>
      </c>
      <c r="C894" t="s">
        <v>43</v>
      </c>
      <c r="D894" t="s">
        <v>127</v>
      </c>
      <c r="E894" s="1">
        <v>46079</v>
      </c>
      <c r="F894" t="s">
        <v>621</v>
      </c>
      <c r="G894" t="s">
        <v>45</v>
      </c>
      <c r="H894" s="2">
        <v>0.27083333333333331</v>
      </c>
      <c r="I894" s="2">
        <v>0.58333333333333337</v>
      </c>
      <c r="J894" t="s">
        <v>258</v>
      </c>
      <c r="K894" t="s">
        <v>259</v>
      </c>
      <c r="L894" t="s">
        <v>186</v>
      </c>
      <c r="M894" t="s">
        <v>798</v>
      </c>
      <c r="N894" t="s">
        <v>799</v>
      </c>
      <c r="O894">
        <v>20875</v>
      </c>
      <c r="Q894" t="s">
        <v>219</v>
      </c>
      <c r="R894" t="s">
        <v>556</v>
      </c>
      <c r="S894" t="s">
        <v>52</v>
      </c>
      <c r="U894">
        <v>891881</v>
      </c>
      <c r="V894" s="3">
        <v>46057.085416666669</v>
      </c>
      <c r="W894" t="s">
        <v>800</v>
      </c>
      <c r="X894" t="s">
        <v>801</v>
      </c>
      <c r="Y894" t="str">
        <f>"0417001267"</f>
        <v>0417001267</v>
      </c>
      <c r="Z894" t="s">
        <v>70</v>
      </c>
      <c r="AA894" s="1">
        <v>46079</v>
      </c>
      <c r="AB894" t="s">
        <v>222</v>
      </c>
      <c r="AD894" t="s">
        <v>168</v>
      </c>
      <c r="AE894" t="s">
        <v>223</v>
      </c>
      <c r="AF894">
        <v>5069</v>
      </c>
      <c r="AG894" t="s">
        <v>219</v>
      </c>
      <c r="AI894" t="s">
        <v>59</v>
      </c>
      <c r="AL894" t="s">
        <v>1417</v>
      </c>
      <c r="AN894" s="3">
        <v>46079.613194444442</v>
      </c>
      <c r="AO894" t="s">
        <v>800</v>
      </c>
    </row>
    <row r="895" spans="1:41" x14ac:dyDescent="0.3">
      <c r="A895" t="s">
        <v>61</v>
      </c>
      <c r="B895" t="s">
        <v>655</v>
      </c>
      <c r="C895" t="s">
        <v>43</v>
      </c>
      <c r="D895" t="s">
        <v>656</v>
      </c>
      <c r="E895" s="1">
        <v>46079</v>
      </c>
      <c r="F895" t="s">
        <v>621</v>
      </c>
      <c r="G895" t="s">
        <v>45</v>
      </c>
      <c r="H895" s="2">
        <v>0.28125</v>
      </c>
      <c r="I895" s="2">
        <v>0.99861111111111112</v>
      </c>
      <c r="J895" t="s">
        <v>101</v>
      </c>
      <c r="L895" t="s">
        <v>47</v>
      </c>
      <c r="M895" t="s">
        <v>785</v>
      </c>
      <c r="N895" t="s">
        <v>905</v>
      </c>
      <c r="O895">
        <v>5950885</v>
      </c>
      <c r="Q895" t="s">
        <v>665</v>
      </c>
      <c r="R895" t="s">
        <v>67</v>
      </c>
      <c r="S895" t="s">
        <v>52</v>
      </c>
      <c r="U895">
        <v>891898</v>
      </c>
      <c r="V895" s="3">
        <v>46042.432638888888</v>
      </c>
      <c r="W895" t="s">
        <v>906</v>
      </c>
      <c r="X895" t="s">
        <v>907</v>
      </c>
      <c r="Y895" t="str">
        <f>"0421650139"</f>
        <v>0421650139</v>
      </c>
      <c r="Z895" t="s">
        <v>3128</v>
      </c>
      <c r="AB895" t="s">
        <v>662</v>
      </c>
      <c r="AC895" t="s">
        <v>663</v>
      </c>
      <c r="AD895" t="s">
        <v>61</v>
      </c>
      <c r="AE895" t="s">
        <v>664</v>
      </c>
      <c r="AF895">
        <v>2067</v>
      </c>
      <c r="AG895" t="s">
        <v>665</v>
      </c>
      <c r="AI895" t="s">
        <v>59</v>
      </c>
      <c r="AL895" t="s">
        <v>3129</v>
      </c>
      <c r="AN895" s="3">
        <v>46079.711805555555</v>
      </c>
      <c r="AO895" t="s">
        <v>906</v>
      </c>
    </row>
    <row r="896" spans="1:41" x14ac:dyDescent="0.3">
      <c r="A896" t="s">
        <v>168</v>
      </c>
      <c r="B896" t="s">
        <v>1199</v>
      </c>
      <c r="C896" t="s">
        <v>100</v>
      </c>
      <c r="D896" t="s">
        <v>127</v>
      </c>
      <c r="E896" s="1">
        <v>46079</v>
      </c>
      <c r="F896" t="s">
        <v>621</v>
      </c>
      <c r="G896" t="s">
        <v>45</v>
      </c>
      <c r="H896" s="2">
        <v>0.29166666666666669</v>
      </c>
      <c r="I896" s="2">
        <v>0.58333333333333337</v>
      </c>
      <c r="J896" t="s">
        <v>100</v>
      </c>
      <c r="L896" t="s">
        <v>100</v>
      </c>
      <c r="M896" t="s">
        <v>2279</v>
      </c>
      <c r="N896" t="s">
        <v>2280</v>
      </c>
      <c r="O896">
        <v>5951984</v>
      </c>
      <c r="Q896" t="s">
        <v>3130</v>
      </c>
      <c r="R896" t="s">
        <v>176</v>
      </c>
      <c r="S896" t="s">
        <v>52</v>
      </c>
      <c r="U896">
        <v>891877</v>
      </c>
      <c r="V896" s="3">
        <v>46069.550694444442</v>
      </c>
      <c r="W896" t="s">
        <v>2282</v>
      </c>
      <c r="X896" t="s">
        <v>2283</v>
      </c>
      <c r="Y896" t="str">
        <f>"0421440269"</f>
        <v>0421440269</v>
      </c>
      <c r="Z896" t="s">
        <v>70</v>
      </c>
      <c r="AA896" s="1">
        <v>46079</v>
      </c>
      <c r="AB896" t="s">
        <v>1202</v>
      </c>
      <c r="AD896" t="s">
        <v>168</v>
      </c>
      <c r="AE896" t="s">
        <v>1203</v>
      </c>
      <c r="AF896">
        <v>5152</v>
      </c>
      <c r="AG896" t="s">
        <v>3130</v>
      </c>
      <c r="AI896" t="s">
        <v>59</v>
      </c>
      <c r="AL896" t="s">
        <v>1417</v>
      </c>
      <c r="AN896" s="3">
        <v>46079.577777777777</v>
      </c>
      <c r="AO896" t="s">
        <v>2282</v>
      </c>
    </row>
    <row r="897" spans="1:41" x14ac:dyDescent="0.3">
      <c r="A897" t="s">
        <v>61</v>
      </c>
      <c r="B897" t="s">
        <v>768</v>
      </c>
      <c r="C897" t="s">
        <v>2308</v>
      </c>
      <c r="D897" t="s">
        <v>769</v>
      </c>
      <c r="E897" s="1">
        <v>46079</v>
      </c>
      <c r="F897" t="s">
        <v>621</v>
      </c>
      <c r="G897" t="s">
        <v>128</v>
      </c>
      <c r="H897" s="2">
        <v>0.29166666666666669</v>
      </c>
      <c r="I897" s="2">
        <v>0.79166666666666663</v>
      </c>
      <c r="J897" t="s">
        <v>185</v>
      </c>
      <c r="L897" t="s">
        <v>186</v>
      </c>
      <c r="M897" t="s">
        <v>2309</v>
      </c>
      <c r="N897" t="s">
        <v>2310</v>
      </c>
      <c r="O897">
        <v>5952011</v>
      </c>
      <c r="Q897" t="s">
        <v>2571</v>
      </c>
      <c r="R897" t="s">
        <v>67</v>
      </c>
      <c r="S897" t="s">
        <v>52</v>
      </c>
      <c r="T897" t="s">
        <v>1437</v>
      </c>
      <c r="U897">
        <v>891865</v>
      </c>
      <c r="V897" s="3">
        <v>46071.626388888886</v>
      </c>
      <c r="W897" t="s">
        <v>2312</v>
      </c>
      <c r="X897" t="s">
        <v>2313</v>
      </c>
      <c r="Y897" t="str">
        <f>"0410412022"</f>
        <v>0410412022</v>
      </c>
      <c r="Z897" t="s">
        <v>585</v>
      </c>
      <c r="AB897" t="s">
        <v>775</v>
      </c>
      <c r="AD897" t="s">
        <v>61</v>
      </c>
      <c r="AE897" t="s">
        <v>776</v>
      </c>
      <c r="AF897">
        <v>2076</v>
      </c>
      <c r="AG897" t="s">
        <v>2311</v>
      </c>
      <c r="AI897" t="s">
        <v>59</v>
      </c>
      <c r="AL897" t="s">
        <v>3131</v>
      </c>
      <c r="AN897" s="3">
        <v>46082.481944444444</v>
      </c>
      <c r="AO897" t="s">
        <v>759</v>
      </c>
    </row>
    <row r="898" spans="1:41" x14ac:dyDescent="0.3">
      <c r="A898" t="s">
        <v>61</v>
      </c>
      <c r="B898" t="s">
        <v>507</v>
      </c>
      <c r="D898" t="s">
        <v>63</v>
      </c>
      <c r="E898" s="1">
        <v>46079</v>
      </c>
      <c r="F898" t="s">
        <v>621</v>
      </c>
      <c r="G898" t="s">
        <v>128</v>
      </c>
      <c r="H898" s="2">
        <v>0.29166666666666669</v>
      </c>
      <c r="I898" s="2">
        <v>0.8125</v>
      </c>
      <c r="J898" t="s">
        <v>296</v>
      </c>
      <c r="L898" t="s">
        <v>713</v>
      </c>
      <c r="M898" t="s">
        <v>3132</v>
      </c>
      <c r="N898" t="s">
        <v>3133</v>
      </c>
      <c r="O898">
        <v>5952470</v>
      </c>
      <c r="Q898" t="s">
        <v>353</v>
      </c>
      <c r="R898" t="s">
        <v>67</v>
      </c>
      <c r="S898" t="s">
        <v>52</v>
      </c>
      <c r="T898" t="s">
        <v>1437</v>
      </c>
      <c r="U898">
        <v>891918</v>
      </c>
      <c r="V898" s="3">
        <v>46070.411111111112</v>
      </c>
      <c r="W898" t="s">
        <v>3134</v>
      </c>
      <c r="X898" t="s">
        <v>3135</v>
      </c>
      <c r="Y898" t="str">
        <f>"0409669602"</f>
        <v>0409669602</v>
      </c>
      <c r="Z898" t="s">
        <v>734</v>
      </c>
      <c r="AB898" t="s">
        <v>514</v>
      </c>
      <c r="AD898" t="s">
        <v>61</v>
      </c>
      <c r="AE898" t="s">
        <v>515</v>
      </c>
      <c r="AF898">
        <v>2086</v>
      </c>
      <c r="AG898" t="s">
        <v>516</v>
      </c>
      <c r="AI898" t="s">
        <v>59</v>
      </c>
      <c r="AL898" t="s">
        <v>3136</v>
      </c>
      <c r="AN898" s="3">
        <v>46082.484027777777</v>
      </c>
      <c r="AO898" t="s">
        <v>759</v>
      </c>
    </row>
    <row r="899" spans="1:41" x14ac:dyDescent="0.3">
      <c r="A899" t="s">
        <v>61</v>
      </c>
      <c r="B899" t="s">
        <v>507</v>
      </c>
      <c r="D899" t="s">
        <v>63</v>
      </c>
      <c r="E899" s="1">
        <v>46079</v>
      </c>
      <c r="F899" t="s">
        <v>621</v>
      </c>
      <c r="G899" t="s">
        <v>45</v>
      </c>
      <c r="H899" s="2">
        <v>0.29166666666666669</v>
      </c>
      <c r="I899" s="2">
        <v>0.625</v>
      </c>
      <c r="J899" t="s">
        <v>464</v>
      </c>
      <c r="L899" t="s">
        <v>1996</v>
      </c>
      <c r="M899" t="s">
        <v>1997</v>
      </c>
      <c r="N899" t="s">
        <v>933</v>
      </c>
      <c r="O899">
        <v>5952317</v>
      </c>
      <c r="Q899" t="s">
        <v>1310</v>
      </c>
      <c r="R899" t="s">
        <v>132</v>
      </c>
      <c r="S899" t="s">
        <v>119</v>
      </c>
      <c r="T899" t="s">
        <v>414</v>
      </c>
      <c r="U899">
        <v>892415</v>
      </c>
      <c r="V899" s="3">
        <v>46079.279166666667</v>
      </c>
      <c r="W899" t="s">
        <v>1998</v>
      </c>
      <c r="X899" t="s">
        <v>1999</v>
      </c>
      <c r="Y899" t="str">
        <f>"1111111111"</f>
        <v>1111111111</v>
      </c>
      <c r="Z899" t="s">
        <v>70</v>
      </c>
      <c r="AA899" s="1">
        <v>46079</v>
      </c>
      <c r="AB899" t="s">
        <v>514</v>
      </c>
      <c r="AD899" t="s">
        <v>61</v>
      </c>
      <c r="AE899" t="s">
        <v>515</v>
      </c>
      <c r="AF899">
        <v>2086</v>
      </c>
      <c r="AG899" t="s">
        <v>1310</v>
      </c>
      <c r="AI899" t="s">
        <v>59</v>
      </c>
      <c r="AL899" t="s">
        <v>3137</v>
      </c>
      <c r="AN899" s="3">
        <v>46079.294444444444</v>
      </c>
      <c r="AO899" t="s">
        <v>132</v>
      </c>
    </row>
    <row r="900" spans="1:41" x14ac:dyDescent="0.3">
      <c r="A900" t="s">
        <v>168</v>
      </c>
      <c r="B900" t="s">
        <v>336</v>
      </c>
      <c r="C900" t="s">
        <v>602</v>
      </c>
      <c r="D900" t="s">
        <v>268</v>
      </c>
      <c r="E900" s="1">
        <v>46079</v>
      </c>
      <c r="F900" t="s">
        <v>621</v>
      </c>
      <c r="G900" t="s">
        <v>45</v>
      </c>
      <c r="H900" s="2">
        <v>0.29166666666666669</v>
      </c>
      <c r="I900" s="2">
        <v>0.60416666666666663</v>
      </c>
      <c r="J900" t="s">
        <v>269</v>
      </c>
      <c r="K900" t="s">
        <v>712</v>
      </c>
      <c r="L900" t="s">
        <v>713</v>
      </c>
      <c r="M900" t="s">
        <v>476</v>
      </c>
      <c r="N900" t="s">
        <v>714</v>
      </c>
      <c r="O900">
        <v>5951199</v>
      </c>
      <c r="P900" t="s">
        <v>712</v>
      </c>
      <c r="Q900" t="s">
        <v>3138</v>
      </c>
      <c r="R900" t="s">
        <v>176</v>
      </c>
      <c r="S900" t="s">
        <v>52</v>
      </c>
      <c r="U900">
        <v>891884</v>
      </c>
      <c r="V900" s="3">
        <v>46063.561805555553</v>
      </c>
      <c r="W900" t="s">
        <v>715</v>
      </c>
      <c r="X900" t="s">
        <v>716</v>
      </c>
      <c r="Y900" t="str">
        <f>"0426611875"</f>
        <v>0426611875</v>
      </c>
      <c r="Z900" t="s">
        <v>483</v>
      </c>
      <c r="AB900" t="s">
        <v>346</v>
      </c>
      <c r="AD900" t="s">
        <v>168</v>
      </c>
      <c r="AE900" t="s">
        <v>347</v>
      </c>
      <c r="AF900">
        <v>5042</v>
      </c>
      <c r="AG900" t="s">
        <v>342</v>
      </c>
      <c r="AI900" t="s">
        <v>59</v>
      </c>
      <c r="AL900" t="s">
        <v>3139</v>
      </c>
      <c r="AM900" t="s">
        <v>349</v>
      </c>
      <c r="AN900" s="3">
        <v>46079.618750000001</v>
      </c>
      <c r="AO900" t="s">
        <v>715</v>
      </c>
    </row>
    <row r="901" spans="1:41" x14ac:dyDescent="0.3">
      <c r="A901" t="s">
        <v>41</v>
      </c>
      <c r="B901" t="s">
        <v>1452</v>
      </c>
      <c r="D901" t="s">
        <v>246</v>
      </c>
      <c r="E901" s="1">
        <v>46079</v>
      </c>
      <c r="F901" t="s">
        <v>621</v>
      </c>
      <c r="G901" t="s">
        <v>45</v>
      </c>
      <c r="H901" s="2">
        <v>0.29166666666666669</v>
      </c>
      <c r="I901" s="2">
        <v>0.64583333333333337</v>
      </c>
      <c r="J901" t="s">
        <v>296</v>
      </c>
      <c r="L901" t="s">
        <v>1453</v>
      </c>
      <c r="M901" t="s">
        <v>1454</v>
      </c>
      <c r="N901" t="s">
        <v>1455</v>
      </c>
      <c r="O901">
        <v>5951941</v>
      </c>
      <c r="Q901" t="s">
        <v>1456</v>
      </c>
      <c r="R901" t="s">
        <v>1457</v>
      </c>
      <c r="S901" t="s">
        <v>52</v>
      </c>
      <c r="T901" t="s">
        <v>252</v>
      </c>
      <c r="U901">
        <v>892391</v>
      </c>
      <c r="V901" s="3">
        <v>46084.470138888886</v>
      </c>
      <c r="W901" t="s">
        <v>1457</v>
      </c>
      <c r="X901" t="s">
        <v>1458</v>
      </c>
      <c r="Y901" t="str">
        <f>"0413847722"</f>
        <v>0413847722</v>
      </c>
      <c r="Z901" t="s">
        <v>2417</v>
      </c>
      <c r="AA901" s="1">
        <v>46097</v>
      </c>
      <c r="AB901" t="s">
        <v>1459</v>
      </c>
      <c r="AD901" t="s">
        <v>41</v>
      </c>
      <c r="AE901" t="s">
        <v>1460</v>
      </c>
      <c r="AF901">
        <v>4740</v>
      </c>
      <c r="AG901" t="s">
        <v>1461</v>
      </c>
      <c r="AI901" t="s">
        <v>59</v>
      </c>
      <c r="AJ901" t="str">
        <f>"0050076628"</f>
        <v>0050076628</v>
      </c>
      <c r="AN901" s="3">
        <v>46084.470138888886</v>
      </c>
      <c r="AO901" t="s">
        <v>1457</v>
      </c>
    </row>
    <row r="902" spans="1:41" x14ac:dyDescent="0.3">
      <c r="A902" t="s">
        <v>61</v>
      </c>
      <c r="B902" t="s">
        <v>768</v>
      </c>
      <c r="C902" t="s">
        <v>2308</v>
      </c>
      <c r="D902" t="s">
        <v>769</v>
      </c>
      <c r="E902" s="1">
        <v>46079</v>
      </c>
      <c r="F902" t="s">
        <v>621</v>
      </c>
      <c r="G902" t="s">
        <v>45</v>
      </c>
      <c r="H902" s="2">
        <v>0.29166666666666669</v>
      </c>
      <c r="I902" s="2">
        <v>0.58333333333333337</v>
      </c>
      <c r="J902" t="s">
        <v>185</v>
      </c>
      <c r="L902" t="s">
        <v>186</v>
      </c>
      <c r="M902" t="s">
        <v>1572</v>
      </c>
      <c r="N902" t="s">
        <v>3140</v>
      </c>
      <c r="O902">
        <v>5951715</v>
      </c>
      <c r="Q902" t="s">
        <v>2311</v>
      </c>
      <c r="R902" t="s">
        <v>132</v>
      </c>
      <c r="S902" t="s">
        <v>52</v>
      </c>
      <c r="U902">
        <v>891879</v>
      </c>
      <c r="V902" s="3">
        <v>46064.414583333331</v>
      </c>
      <c r="W902" t="s">
        <v>3141</v>
      </c>
      <c r="X902" t="s">
        <v>3142</v>
      </c>
      <c r="Y902" t="str">
        <f>"0417800140"</f>
        <v>0417800140</v>
      </c>
      <c r="Z902" t="s">
        <v>545</v>
      </c>
      <c r="AA902" s="1">
        <v>46079</v>
      </c>
      <c r="AB902" t="s">
        <v>775</v>
      </c>
      <c r="AD902" t="s">
        <v>61</v>
      </c>
      <c r="AE902" t="s">
        <v>776</v>
      </c>
      <c r="AF902">
        <v>2076</v>
      </c>
      <c r="AG902" t="s">
        <v>2311</v>
      </c>
      <c r="AI902" t="s">
        <v>59</v>
      </c>
      <c r="AL902" t="s">
        <v>3143</v>
      </c>
      <c r="AN902" s="3">
        <v>46079.588888888888</v>
      </c>
      <c r="AO902" t="s">
        <v>3141</v>
      </c>
    </row>
    <row r="903" spans="1:41" x14ac:dyDescent="0.3">
      <c r="A903" t="s">
        <v>61</v>
      </c>
      <c r="B903" t="s">
        <v>62</v>
      </c>
      <c r="C903" t="s">
        <v>43</v>
      </c>
      <c r="D903" t="s">
        <v>63</v>
      </c>
      <c r="E903" s="1">
        <v>46079</v>
      </c>
      <c r="F903" t="s">
        <v>621</v>
      </c>
      <c r="G903" t="s">
        <v>45</v>
      </c>
      <c r="H903" s="2">
        <v>0.29166666666666669</v>
      </c>
      <c r="I903" s="2">
        <v>0.99861111111111112</v>
      </c>
      <c r="J903" t="s">
        <v>185</v>
      </c>
      <c r="L903" t="s">
        <v>186</v>
      </c>
      <c r="M903" t="s">
        <v>1474</v>
      </c>
      <c r="N903" t="s">
        <v>1475</v>
      </c>
      <c r="O903">
        <v>22552</v>
      </c>
      <c r="Q903" t="s">
        <v>66</v>
      </c>
      <c r="R903" t="s">
        <v>67</v>
      </c>
      <c r="S903" t="s">
        <v>52</v>
      </c>
      <c r="U903">
        <v>891880</v>
      </c>
      <c r="V903" s="3">
        <v>46069.605555555558</v>
      </c>
      <c r="W903" t="s">
        <v>1476</v>
      </c>
      <c r="X903" t="s">
        <v>1477</v>
      </c>
      <c r="Y903" t="str">
        <f>"0421669341"</f>
        <v>0421669341</v>
      </c>
      <c r="Z903" t="s">
        <v>795</v>
      </c>
      <c r="AB903" t="s">
        <v>71</v>
      </c>
      <c r="AD903" t="s">
        <v>61</v>
      </c>
      <c r="AE903" t="s">
        <v>72</v>
      </c>
      <c r="AF903">
        <v>2747</v>
      </c>
      <c r="AG903" t="s">
        <v>73</v>
      </c>
      <c r="AI903" t="s">
        <v>59</v>
      </c>
      <c r="AL903" t="s">
        <v>3129</v>
      </c>
      <c r="AN903" s="3">
        <v>46079.598611111112</v>
      </c>
      <c r="AO903" t="s">
        <v>1476</v>
      </c>
    </row>
    <row r="904" spans="1:41" x14ac:dyDescent="0.3">
      <c r="A904" t="s">
        <v>306</v>
      </c>
      <c r="B904" t="s">
        <v>1650</v>
      </c>
      <c r="C904" t="s">
        <v>3144</v>
      </c>
      <c r="D904" t="s">
        <v>754</v>
      </c>
      <c r="E904" s="1">
        <v>46079</v>
      </c>
      <c r="F904" t="s">
        <v>621</v>
      </c>
      <c r="G904" t="s">
        <v>45</v>
      </c>
      <c r="H904" s="2">
        <v>0.29166666666666669</v>
      </c>
      <c r="I904" s="2">
        <v>0.5625</v>
      </c>
      <c r="J904" t="s">
        <v>296</v>
      </c>
      <c r="L904" t="s">
        <v>1753</v>
      </c>
      <c r="M904" t="s">
        <v>1754</v>
      </c>
      <c r="N904" t="s">
        <v>1755</v>
      </c>
      <c r="O904">
        <v>20486</v>
      </c>
      <c r="R904" t="s">
        <v>759</v>
      </c>
      <c r="S904" t="s">
        <v>119</v>
      </c>
      <c r="T904" t="s">
        <v>760</v>
      </c>
      <c r="U904" t="s">
        <v>3145</v>
      </c>
      <c r="V904" s="3">
        <v>46098.572916666664</v>
      </c>
      <c r="W904" t="s">
        <v>1757</v>
      </c>
      <c r="X904" t="s">
        <v>1758</v>
      </c>
      <c r="Y904" t="str">
        <f>"0432381966"</f>
        <v>0432381966</v>
      </c>
      <c r="Z904" t="s">
        <v>70</v>
      </c>
      <c r="AB904" t="s">
        <v>1656</v>
      </c>
      <c r="AD904" t="s">
        <v>306</v>
      </c>
      <c r="AE904" t="s">
        <v>1657</v>
      </c>
      <c r="AF904">
        <v>3170</v>
      </c>
      <c r="AI904" t="s">
        <v>59</v>
      </c>
      <c r="AM904" t="s">
        <v>3146</v>
      </c>
      <c r="AN904" s="3">
        <v>46098.572916666664</v>
      </c>
      <c r="AO904" t="s">
        <v>759</v>
      </c>
    </row>
    <row r="905" spans="1:41" x14ac:dyDescent="0.3">
      <c r="A905" t="s">
        <v>306</v>
      </c>
      <c r="B905" t="s">
        <v>1650</v>
      </c>
      <c r="C905" t="s">
        <v>3144</v>
      </c>
      <c r="D905" t="s">
        <v>754</v>
      </c>
      <c r="E905" s="1">
        <v>46079</v>
      </c>
      <c r="F905" t="s">
        <v>621</v>
      </c>
      <c r="G905" t="s">
        <v>45</v>
      </c>
      <c r="H905" s="2">
        <v>0.29166666666666669</v>
      </c>
      <c r="I905" s="2">
        <v>0.5625</v>
      </c>
      <c r="J905" t="s">
        <v>296</v>
      </c>
      <c r="L905" t="s">
        <v>1753</v>
      </c>
      <c r="M905" t="s">
        <v>1754</v>
      </c>
      <c r="N905" t="s">
        <v>1755</v>
      </c>
      <c r="O905">
        <v>20486</v>
      </c>
      <c r="R905" t="s">
        <v>759</v>
      </c>
      <c r="S905" t="s">
        <v>119</v>
      </c>
      <c r="T905" t="s">
        <v>760</v>
      </c>
      <c r="U905" t="s">
        <v>3147</v>
      </c>
      <c r="V905" s="3">
        <v>46098.573611111111</v>
      </c>
      <c r="W905" t="s">
        <v>1757</v>
      </c>
      <c r="X905" t="s">
        <v>1758</v>
      </c>
      <c r="Y905" t="str">
        <f>"0432381966"</f>
        <v>0432381966</v>
      </c>
      <c r="Z905" t="s">
        <v>70</v>
      </c>
      <c r="AB905" t="s">
        <v>1656</v>
      </c>
      <c r="AD905" t="s">
        <v>306</v>
      </c>
      <c r="AE905" t="s">
        <v>1657</v>
      </c>
      <c r="AF905">
        <v>3170</v>
      </c>
      <c r="AI905" t="s">
        <v>59</v>
      </c>
      <c r="AM905" t="s">
        <v>3146</v>
      </c>
      <c r="AN905" s="3">
        <v>46098.573611111111</v>
      </c>
      <c r="AO905" t="s">
        <v>759</v>
      </c>
    </row>
    <row r="906" spans="1:41" x14ac:dyDescent="0.3">
      <c r="A906" t="s">
        <v>306</v>
      </c>
      <c r="B906" t="s">
        <v>1650</v>
      </c>
      <c r="C906" t="s">
        <v>3144</v>
      </c>
      <c r="D906" t="s">
        <v>754</v>
      </c>
      <c r="E906" s="1">
        <v>46079</v>
      </c>
      <c r="F906" t="s">
        <v>621</v>
      </c>
      <c r="G906" t="s">
        <v>45</v>
      </c>
      <c r="H906" s="2">
        <v>0.29166666666666669</v>
      </c>
      <c r="I906" s="2">
        <v>0.60416666666666663</v>
      </c>
      <c r="J906" t="s">
        <v>296</v>
      </c>
      <c r="L906" t="s">
        <v>1753</v>
      </c>
      <c r="M906" t="s">
        <v>1754</v>
      </c>
      <c r="N906" t="s">
        <v>1755</v>
      </c>
      <c r="O906">
        <v>20486</v>
      </c>
      <c r="Q906" t="s">
        <v>500</v>
      </c>
      <c r="R906" t="s">
        <v>500</v>
      </c>
      <c r="S906" t="s">
        <v>52</v>
      </c>
      <c r="U906">
        <v>891873</v>
      </c>
      <c r="V906" s="3">
        <v>46078.70208333333</v>
      </c>
      <c r="W906" t="s">
        <v>1757</v>
      </c>
      <c r="X906" t="s">
        <v>1758</v>
      </c>
      <c r="Y906" t="str">
        <f>"0432381966"</f>
        <v>0432381966</v>
      </c>
      <c r="Z906" t="s">
        <v>70</v>
      </c>
      <c r="AA906" s="1">
        <v>46079</v>
      </c>
      <c r="AB906" t="s">
        <v>1656</v>
      </c>
      <c r="AD906" t="s">
        <v>306</v>
      </c>
      <c r="AE906" t="s">
        <v>1657</v>
      </c>
      <c r="AF906">
        <v>3170</v>
      </c>
      <c r="AG906" t="s">
        <v>500</v>
      </c>
      <c r="AI906" t="s">
        <v>59</v>
      </c>
      <c r="AL906" t="s">
        <v>3148</v>
      </c>
      <c r="AN906" s="3">
        <v>46079.567361111112</v>
      </c>
      <c r="AO906" t="s">
        <v>1757</v>
      </c>
    </row>
    <row r="907" spans="1:41" x14ac:dyDescent="0.3">
      <c r="A907" t="s">
        <v>41</v>
      </c>
      <c r="B907" t="s">
        <v>1480</v>
      </c>
      <c r="C907" t="s">
        <v>1481</v>
      </c>
      <c r="E907" s="1">
        <v>46079</v>
      </c>
      <c r="F907" t="s">
        <v>621</v>
      </c>
      <c r="G907" t="s">
        <v>45</v>
      </c>
      <c r="H907" s="2">
        <v>0.29166666666666669</v>
      </c>
      <c r="I907" s="2">
        <v>0.625</v>
      </c>
      <c r="J907" t="s">
        <v>1482</v>
      </c>
      <c r="L907" t="s">
        <v>1482</v>
      </c>
      <c r="M907" t="s">
        <v>1483</v>
      </c>
      <c r="N907" t="s">
        <v>1484</v>
      </c>
      <c r="O907">
        <v>402353</v>
      </c>
      <c r="Q907" t="s">
        <v>1485</v>
      </c>
      <c r="R907" t="s">
        <v>1472</v>
      </c>
      <c r="S907" t="s">
        <v>119</v>
      </c>
      <c r="T907" t="s">
        <v>120</v>
      </c>
      <c r="U907">
        <v>892164</v>
      </c>
      <c r="V907" s="3">
        <v>46044.65</v>
      </c>
      <c r="W907" t="s">
        <v>1486</v>
      </c>
      <c r="X907" t="s">
        <v>1487</v>
      </c>
      <c r="Y907" t="str">
        <f>"0407640486"</f>
        <v>0407640486</v>
      </c>
      <c r="Z907" t="s">
        <v>1399</v>
      </c>
      <c r="AB907" t="s">
        <v>1488</v>
      </c>
      <c r="AD907" t="s">
        <v>41</v>
      </c>
      <c r="AE907" t="s">
        <v>1489</v>
      </c>
      <c r="AF907">
        <v>4059</v>
      </c>
      <c r="AG907" t="s">
        <v>1485</v>
      </c>
      <c r="AI907" t="s">
        <v>59</v>
      </c>
      <c r="AN907" s="3">
        <v>46044.65</v>
      </c>
      <c r="AO907" t="s">
        <v>1472</v>
      </c>
    </row>
    <row r="908" spans="1:41" x14ac:dyDescent="0.3">
      <c r="A908" t="s">
        <v>61</v>
      </c>
      <c r="B908" t="s">
        <v>350</v>
      </c>
      <c r="C908" t="s">
        <v>296</v>
      </c>
      <c r="D908" t="s">
        <v>63</v>
      </c>
      <c r="E908" s="1">
        <v>46079</v>
      </c>
      <c r="F908" t="s">
        <v>621</v>
      </c>
      <c r="G908" t="s">
        <v>45</v>
      </c>
      <c r="H908" s="2">
        <v>0.29166666666666669</v>
      </c>
      <c r="I908" s="2">
        <v>0.60416666666666663</v>
      </c>
      <c r="J908" t="s">
        <v>296</v>
      </c>
      <c r="L908" t="s">
        <v>735</v>
      </c>
      <c r="M908" t="s">
        <v>736</v>
      </c>
      <c r="N908" t="s">
        <v>737</v>
      </c>
      <c r="O908">
        <v>5952096</v>
      </c>
      <c r="Q908" t="s">
        <v>3149</v>
      </c>
      <c r="R908" t="s">
        <v>132</v>
      </c>
      <c r="S908" t="s">
        <v>52</v>
      </c>
      <c r="U908">
        <v>891878</v>
      </c>
      <c r="V908" s="3">
        <v>46078.530555555553</v>
      </c>
      <c r="W908" t="s">
        <v>739</v>
      </c>
      <c r="X908" t="s">
        <v>740</v>
      </c>
      <c r="Y908" t="str">
        <f>"0432227593"</f>
        <v>0432227593</v>
      </c>
      <c r="Z908" t="s">
        <v>503</v>
      </c>
      <c r="AA908" s="1">
        <v>46079</v>
      </c>
      <c r="AB908" t="s">
        <v>356</v>
      </c>
      <c r="AD908" t="s">
        <v>61</v>
      </c>
      <c r="AE908" t="s">
        <v>357</v>
      </c>
      <c r="AF908">
        <v>2153</v>
      </c>
      <c r="AG908" t="s">
        <v>3150</v>
      </c>
      <c r="AI908" t="s">
        <v>59</v>
      </c>
      <c r="AL908" t="s">
        <v>3151</v>
      </c>
      <c r="AN908" s="3">
        <v>46079.583333333336</v>
      </c>
      <c r="AO908" t="s">
        <v>739</v>
      </c>
    </row>
    <row r="909" spans="1:41" x14ac:dyDescent="0.3">
      <c r="A909" t="s">
        <v>61</v>
      </c>
      <c r="B909" t="s">
        <v>1271</v>
      </c>
      <c r="C909" t="s">
        <v>1272</v>
      </c>
      <c r="D909" t="s">
        <v>184</v>
      </c>
      <c r="E909" s="1">
        <v>46079</v>
      </c>
      <c r="F909" t="s">
        <v>621</v>
      </c>
      <c r="G909" t="s">
        <v>45</v>
      </c>
      <c r="H909" s="2">
        <v>0.29166666666666669</v>
      </c>
      <c r="I909" s="2">
        <v>0.64583333333333337</v>
      </c>
      <c r="J909" t="s">
        <v>486</v>
      </c>
      <c r="L909" t="s">
        <v>487</v>
      </c>
      <c r="M909" t="s">
        <v>596</v>
      </c>
      <c r="N909" t="s">
        <v>1280</v>
      </c>
      <c r="O909">
        <v>5952187</v>
      </c>
      <c r="Q909" t="s">
        <v>1190</v>
      </c>
      <c r="R909" t="s">
        <v>132</v>
      </c>
      <c r="S909" t="s">
        <v>52</v>
      </c>
      <c r="U909">
        <v>891922</v>
      </c>
      <c r="V909" s="3">
        <v>46057.565972222219</v>
      </c>
      <c r="W909" t="s">
        <v>1281</v>
      </c>
      <c r="X909" t="s">
        <v>1282</v>
      </c>
      <c r="Y909" t="str">
        <f>"0417203844"</f>
        <v>0417203844</v>
      </c>
      <c r="Z909" t="s">
        <v>3152</v>
      </c>
      <c r="AB909" t="s">
        <v>1278</v>
      </c>
      <c r="AD909" t="s">
        <v>61</v>
      </c>
      <c r="AE909" t="s">
        <v>1279</v>
      </c>
      <c r="AF909">
        <v>2145</v>
      </c>
      <c r="AG909" t="s">
        <v>1045</v>
      </c>
      <c r="AI909" t="s">
        <v>59</v>
      </c>
      <c r="AL909" t="s">
        <v>3129</v>
      </c>
      <c r="AN909" s="3">
        <v>46079.808333333334</v>
      </c>
      <c r="AO909" t="s">
        <v>1281</v>
      </c>
    </row>
    <row r="910" spans="1:41" x14ac:dyDescent="0.3">
      <c r="A910" t="s">
        <v>61</v>
      </c>
      <c r="B910" t="s">
        <v>753</v>
      </c>
      <c r="C910" t="s">
        <v>484</v>
      </c>
      <c r="D910" t="s">
        <v>754</v>
      </c>
      <c r="E910" s="1">
        <v>46079</v>
      </c>
      <c r="F910" t="s">
        <v>621</v>
      </c>
      <c r="G910" t="s">
        <v>128</v>
      </c>
      <c r="H910" s="2">
        <v>0.29166666666666669</v>
      </c>
      <c r="I910" s="2">
        <v>0.8125</v>
      </c>
      <c r="J910" t="s">
        <v>389</v>
      </c>
      <c r="L910" t="s">
        <v>755</v>
      </c>
      <c r="M910" t="s">
        <v>756</v>
      </c>
      <c r="N910" t="s">
        <v>757</v>
      </c>
      <c r="O910">
        <v>5951482</v>
      </c>
      <c r="Q910" t="s">
        <v>2438</v>
      </c>
      <c r="R910" t="s">
        <v>132</v>
      </c>
      <c r="S910" t="s">
        <v>52</v>
      </c>
      <c r="T910" t="s">
        <v>1437</v>
      </c>
      <c r="U910">
        <v>891923</v>
      </c>
      <c r="V910" s="3">
        <v>46069.347222222219</v>
      </c>
      <c r="W910" t="s">
        <v>762</v>
      </c>
      <c r="X910" t="s">
        <v>763</v>
      </c>
      <c r="Y910" t="str">
        <f>"0418119924"</f>
        <v>0418119924</v>
      </c>
      <c r="Z910" t="s">
        <v>503</v>
      </c>
      <c r="AB910" t="s">
        <v>764</v>
      </c>
      <c r="AD910" t="s">
        <v>61</v>
      </c>
      <c r="AE910" t="s">
        <v>765</v>
      </c>
      <c r="AF910">
        <v>2220</v>
      </c>
      <c r="AG910" t="s">
        <v>758</v>
      </c>
      <c r="AI910" t="s">
        <v>59</v>
      </c>
      <c r="AL910" t="s">
        <v>3153</v>
      </c>
      <c r="AN910" s="3">
        <v>46082.484027777777</v>
      </c>
      <c r="AO910" t="s">
        <v>759</v>
      </c>
    </row>
    <row r="911" spans="1:41" x14ac:dyDescent="0.3">
      <c r="A911" t="s">
        <v>306</v>
      </c>
      <c r="B911" t="s">
        <v>2407</v>
      </c>
      <c r="C911" t="s">
        <v>3118</v>
      </c>
      <c r="D911" t="s">
        <v>184</v>
      </c>
      <c r="E911" s="1">
        <v>46079</v>
      </c>
      <c r="F911" t="s">
        <v>621</v>
      </c>
      <c r="G911" t="s">
        <v>45</v>
      </c>
      <c r="H911" s="2">
        <v>0.29166666666666669</v>
      </c>
      <c r="I911" s="2">
        <v>0.625</v>
      </c>
      <c r="J911" t="s">
        <v>1314</v>
      </c>
      <c r="L911" t="s">
        <v>1260</v>
      </c>
      <c r="M911" t="s">
        <v>239</v>
      </c>
      <c r="N911" t="s">
        <v>1261</v>
      </c>
      <c r="O911">
        <v>5952100</v>
      </c>
      <c r="Q911" t="s">
        <v>413</v>
      </c>
      <c r="R911" t="s">
        <v>1248</v>
      </c>
      <c r="S911" t="s">
        <v>119</v>
      </c>
      <c r="T911" t="s">
        <v>414</v>
      </c>
      <c r="U911">
        <v>892203</v>
      </c>
      <c r="V911" s="3">
        <v>46078.837500000001</v>
      </c>
      <c r="W911" t="s">
        <v>1262</v>
      </c>
      <c r="X911" t="s">
        <v>1263</v>
      </c>
      <c r="Y911" t="str">
        <f>"0420517034"</f>
        <v>0420517034</v>
      </c>
      <c r="Z911" t="s">
        <v>70</v>
      </c>
      <c r="AB911" t="s">
        <v>2408</v>
      </c>
      <c r="AD911" t="s">
        <v>306</v>
      </c>
      <c r="AE911" t="s">
        <v>2409</v>
      </c>
      <c r="AF911">
        <v>3149</v>
      </c>
      <c r="AI911" t="s">
        <v>59</v>
      </c>
      <c r="AL911" t="s">
        <v>2686</v>
      </c>
      <c r="AM911" t="s">
        <v>3154</v>
      </c>
      <c r="AN911" s="3">
        <v>46078.839583333334</v>
      </c>
      <c r="AO911" t="s">
        <v>1248</v>
      </c>
    </row>
    <row r="912" spans="1:41" x14ac:dyDescent="0.3">
      <c r="A912" t="s">
        <v>168</v>
      </c>
      <c r="B912" t="s">
        <v>409</v>
      </c>
      <c r="C912" t="s">
        <v>1727</v>
      </c>
      <c r="D912" t="s">
        <v>309</v>
      </c>
      <c r="E912" s="1">
        <v>46079</v>
      </c>
      <c r="F912" t="s">
        <v>621</v>
      </c>
      <c r="G912" t="s">
        <v>45</v>
      </c>
      <c r="H912" s="2">
        <v>0.29166666666666669</v>
      </c>
      <c r="I912" s="2">
        <v>0.45833333333333331</v>
      </c>
      <c r="J912" t="s">
        <v>170</v>
      </c>
      <c r="K912" t="s">
        <v>171</v>
      </c>
      <c r="M912" t="s">
        <v>1541</v>
      </c>
      <c r="N912" t="s">
        <v>1542</v>
      </c>
      <c r="O912">
        <v>5952200</v>
      </c>
      <c r="Q912" t="s">
        <v>413</v>
      </c>
      <c r="R912" t="s">
        <v>231</v>
      </c>
      <c r="S912" t="s">
        <v>52</v>
      </c>
      <c r="U912">
        <v>891864</v>
      </c>
      <c r="V912" s="3">
        <v>46078.515277777777</v>
      </c>
      <c r="W912" t="s">
        <v>1543</v>
      </c>
      <c r="X912" t="s">
        <v>1544</v>
      </c>
      <c r="Y912" t="str">
        <f>"0450971472"</f>
        <v>0450971472</v>
      </c>
      <c r="Z912" t="s">
        <v>70</v>
      </c>
      <c r="AA912" s="1">
        <v>46079</v>
      </c>
      <c r="AB912" t="s">
        <v>417</v>
      </c>
      <c r="AD912" t="s">
        <v>168</v>
      </c>
      <c r="AE912" t="s">
        <v>384</v>
      </c>
      <c r="AF912">
        <v>5000</v>
      </c>
      <c r="AI912" t="s">
        <v>59</v>
      </c>
      <c r="AL912" t="s">
        <v>3155</v>
      </c>
      <c r="AM912" t="s">
        <v>3156</v>
      </c>
      <c r="AN912" s="3">
        <v>46079.474999999999</v>
      </c>
      <c r="AO912" t="s">
        <v>1543</v>
      </c>
    </row>
    <row r="913" spans="1:41" x14ac:dyDescent="0.3">
      <c r="A913" t="s">
        <v>61</v>
      </c>
      <c r="B913" t="s">
        <v>158</v>
      </c>
      <c r="C913" t="s">
        <v>43</v>
      </c>
      <c r="D913" t="s">
        <v>127</v>
      </c>
      <c r="E913" s="1">
        <v>46079</v>
      </c>
      <c r="F913" t="s">
        <v>621</v>
      </c>
      <c r="G913" t="s">
        <v>128</v>
      </c>
      <c r="H913" s="2">
        <v>0.29166666666666669</v>
      </c>
      <c r="I913" s="2">
        <v>0.54166666666666663</v>
      </c>
      <c r="J913" t="s">
        <v>185</v>
      </c>
      <c r="L913" t="s">
        <v>186</v>
      </c>
      <c r="M913" t="s">
        <v>1291</v>
      </c>
      <c r="N913" t="s">
        <v>1292</v>
      </c>
      <c r="O913">
        <v>5952161</v>
      </c>
      <c r="Q913" t="s">
        <v>162</v>
      </c>
      <c r="R913" t="s">
        <v>759</v>
      </c>
      <c r="S913" t="s">
        <v>119</v>
      </c>
      <c r="T913" t="s">
        <v>760</v>
      </c>
      <c r="U913" t="s">
        <v>3157</v>
      </c>
      <c r="V913" s="3">
        <v>46090.593055555553</v>
      </c>
      <c r="W913" t="s">
        <v>1293</v>
      </c>
      <c r="X913" t="s">
        <v>1294</v>
      </c>
      <c r="Y913" t="str">
        <f>"0403798895"</f>
        <v>0403798895</v>
      </c>
      <c r="Z913" t="s">
        <v>70</v>
      </c>
      <c r="AB913" t="s">
        <v>166</v>
      </c>
      <c r="AD913" t="s">
        <v>61</v>
      </c>
      <c r="AE913" t="s">
        <v>167</v>
      </c>
      <c r="AF913">
        <v>2011</v>
      </c>
      <c r="AG913" t="s">
        <v>162</v>
      </c>
      <c r="AI913" t="s">
        <v>59</v>
      </c>
      <c r="AM913" t="s">
        <v>3158</v>
      </c>
      <c r="AN913" s="3">
        <v>46090.593055555553</v>
      </c>
      <c r="AO913" t="s">
        <v>759</v>
      </c>
    </row>
    <row r="914" spans="1:41" x14ac:dyDescent="0.3">
      <c r="A914" t="s">
        <v>61</v>
      </c>
      <c r="B914" t="s">
        <v>158</v>
      </c>
      <c r="C914" t="s">
        <v>43</v>
      </c>
      <c r="D914" t="s">
        <v>127</v>
      </c>
      <c r="E914" s="1">
        <v>46079</v>
      </c>
      <c r="F914" t="s">
        <v>621</v>
      </c>
      <c r="G914" t="s">
        <v>128</v>
      </c>
      <c r="H914" s="2">
        <v>0.29166666666666669</v>
      </c>
      <c r="I914" s="2">
        <v>0.54166666666666663</v>
      </c>
      <c r="J914" t="s">
        <v>185</v>
      </c>
      <c r="L914" t="s">
        <v>186</v>
      </c>
      <c r="M914" t="s">
        <v>1291</v>
      </c>
      <c r="N914" t="s">
        <v>1292</v>
      </c>
      <c r="O914">
        <v>5952161</v>
      </c>
      <c r="Q914" t="s">
        <v>162</v>
      </c>
      <c r="R914" t="s">
        <v>759</v>
      </c>
      <c r="S914" t="s">
        <v>119</v>
      </c>
      <c r="T914" t="s">
        <v>760</v>
      </c>
      <c r="U914" t="s">
        <v>3159</v>
      </c>
      <c r="V914" s="3">
        <v>46090.593055555553</v>
      </c>
      <c r="W914" t="s">
        <v>1293</v>
      </c>
      <c r="X914" t="s">
        <v>1294</v>
      </c>
      <c r="Y914" t="str">
        <f>"0403798895"</f>
        <v>0403798895</v>
      </c>
      <c r="Z914" t="s">
        <v>70</v>
      </c>
      <c r="AB914" t="s">
        <v>166</v>
      </c>
      <c r="AD914" t="s">
        <v>61</v>
      </c>
      <c r="AE914" t="s">
        <v>167</v>
      </c>
      <c r="AF914">
        <v>2011</v>
      </c>
      <c r="AG914" t="s">
        <v>162</v>
      </c>
      <c r="AI914" t="s">
        <v>59</v>
      </c>
      <c r="AM914" t="s">
        <v>3158</v>
      </c>
      <c r="AN914" s="3">
        <v>46090.593055555553</v>
      </c>
      <c r="AO914" t="s">
        <v>759</v>
      </c>
    </row>
    <row r="915" spans="1:41" x14ac:dyDescent="0.3">
      <c r="A915" t="s">
        <v>61</v>
      </c>
      <c r="B915" t="s">
        <v>768</v>
      </c>
      <c r="C915" t="s">
        <v>296</v>
      </c>
      <c r="D915" t="s">
        <v>769</v>
      </c>
      <c r="E915" s="1">
        <v>46079</v>
      </c>
      <c r="F915" t="s">
        <v>621</v>
      </c>
      <c r="G915" t="s">
        <v>45</v>
      </c>
      <c r="H915" s="2">
        <v>0.3125</v>
      </c>
      <c r="I915" s="2">
        <v>0.625</v>
      </c>
      <c r="J915" t="s">
        <v>296</v>
      </c>
      <c r="L915" t="s">
        <v>298</v>
      </c>
      <c r="M915" t="s">
        <v>770</v>
      </c>
      <c r="N915" t="s">
        <v>771</v>
      </c>
      <c r="O915">
        <v>5952291</v>
      </c>
      <c r="Q915" t="s">
        <v>772</v>
      </c>
      <c r="R915" t="s">
        <v>67</v>
      </c>
      <c r="S915" t="s">
        <v>52</v>
      </c>
      <c r="U915">
        <v>891891</v>
      </c>
      <c r="V915" s="3">
        <v>46070.444444444445</v>
      </c>
      <c r="W915" t="s">
        <v>773</v>
      </c>
      <c r="X915" t="s">
        <v>774</v>
      </c>
      <c r="Y915" t="str">
        <f>"0432174467"</f>
        <v>0432174467</v>
      </c>
      <c r="Z915" t="s">
        <v>458</v>
      </c>
      <c r="AB915" t="s">
        <v>775</v>
      </c>
      <c r="AD915" t="s">
        <v>61</v>
      </c>
      <c r="AE915" t="s">
        <v>776</v>
      </c>
      <c r="AF915">
        <v>2076</v>
      </c>
      <c r="AG915" t="s">
        <v>772</v>
      </c>
      <c r="AI915" t="s">
        <v>59</v>
      </c>
      <c r="AL915" t="s">
        <v>3129</v>
      </c>
      <c r="AN915" s="3">
        <v>46079.633333333331</v>
      </c>
      <c r="AO915" t="s">
        <v>773</v>
      </c>
    </row>
    <row r="916" spans="1:41" x14ac:dyDescent="0.3">
      <c r="A916" t="s">
        <v>306</v>
      </c>
      <c r="B916" t="s">
        <v>820</v>
      </c>
      <c r="C916" t="s">
        <v>100</v>
      </c>
      <c r="D916" t="s">
        <v>127</v>
      </c>
      <c r="E916" s="1">
        <v>46079</v>
      </c>
      <c r="F916" t="s">
        <v>621</v>
      </c>
      <c r="G916" t="s">
        <v>128</v>
      </c>
      <c r="H916" s="2">
        <v>0.3125</v>
      </c>
      <c r="I916" s="2">
        <v>0.75</v>
      </c>
      <c r="J916" t="s">
        <v>451</v>
      </c>
      <c r="L916" t="s">
        <v>452</v>
      </c>
      <c r="M916" t="s">
        <v>821</v>
      </c>
      <c r="N916" t="s">
        <v>822</v>
      </c>
      <c r="O916">
        <v>20712</v>
      </c>
      <c r="Q916" t="s">
        <v>823</v>
      </c>
      <c r="R916" t="s">
        <v>476</v>
      </c>
      <c r="S916" t="s">
        <v>52</v>
      </c>
      <c r="T916" t="s">
        <v>1437</v>
      </c>
      <c r="U916">
        <v>891892</v>
      </c>
      <c r="V916" s="3">
        <v>46070.488888888889</v>
      </c>
      <c r="W916" t="s">
        <v>824</v>
      </c>
      <c r="X916" t="s">
        <v>825</v>
      </c>
      <c r="Y916" t="str">
        <f>"0439419256"</f>
        <v>0439419256</v>
      </c>
      <c r="Z916" t="s">
        <v>70</v>
      </c>
      <c r="AA916" s="1">
        <v>46079</v>
      </c>
      <c r="AB916" t="s">
        <v>826</v>
      </c>
      <c r="AD916" t="s">
        <v>306</v>
      </c>
      <c r="AE916" t="s">
        <v>827</v>
      </c>
      <c r="AF916">
        <v>3181</v>
      </c>
      <c r="AG916" t="s">
        <v>823</v>
      </c>
      <c r="AI916" t="s">
        <v>59</v>
      </c>
      <c r="AL916" t="s">
        <v>2482</v>
      </c>
      <c r="AN916" s="3">
        <v>46082.478472222225</v>
      </c>
      <c r="AO916" t="s">
        <v>759</v>
      </c>
    </row>
    <row r="917" spans="1:41" x14ac:dyDescent="0.3">
      <c r="A917" t="s">
        <v>306</v>
      </c>
      <c r="B917" t="s">
        <v>2789</v>
      </c>
      <c r="C917" t="s">
        <v>43</v>
      </c>
      <c r="D917" t="s">
        <v>90</v>
      </c>
      <c r="E917" s="1">
        <v>46079</v>
      </c>
      <c r="F917" t="s">
        <v>621</v>
      </c>
      <c r="G917" t="s">
        <v>128</v>
      </c>
      <c r="H917" s="2">
        <v>0.3125</v>
      </c>
      <c r="I917" s="2">
        <v>0.75</v>
      </c>
      <c r="J917" t="s">
        <v>701</v>
      </c>
      <c r="L917" t="s">
        <v>702</v>
      </c>
      <c r="M917" t="s">
        <v>703</v>
      </c>
      <c r="N917" t="s">
        <v>704</v>
      </c>
      <c r="O917">
        <v>20947</v>
      </c>
      <c r="Q917" t="s">
        <v>1245</v>
      </c>
      <c r="R917" t="s">
        <v>314</v>
      </c>
      <c r="S917" t="s">
        <v>52</v>
      </c>
      <c r="T917" t="s">
        <v>1437</v>
      </c>
      <c r="U917">
        <v>891895</v>
      </c>
      <c r="V917" s="3">
        <v>46078.583333333336</v>
      </c>
      <c r="W917" t="s">
        <v>706</v>
      </c>
      <c r="X917" t="s">
        <v>707</v>
      </c>
      <c r="Y917" t="str">
        <f>"0437759431"</f>
        <v>0437759431</v>
      </c>
      <c r="Z917" t="s">
        <v>70</v>
      </c>
      <c r="AA917" s="1">
        <v>46079</v>
      </c>
      <c r="AB917" t="s">
        <v>2790</v>
      </c>
      <c r="AD917" t="s">
        <v>306</v>
      </c>
      <c r="AE917" t="s">
        <v>1520</v>
      </c>
      <c r="AF917">
        <v>3002</v>
      </c>
      <c r="AG917" t="s">
        <v>1245</v>
      </c>
      <c r="AI917" t="s">
        <v>59</v>
      </c>
      <c r="AL917" t="s">
        <v>3160</v>
      </c>
      <c r="AN917" s="3">
        <v>46082.479166666664</v>
      </c>
      <c r="AO917" t="s">
        <v>759</v>
      </c>
    </row>
    <row r="918" spans="1:41" x14ac:dyDescent="0.3">
      <c r="A918" t="s">
        <v>61</v>
      </c>
      <c r="B918" t="s">
        <v>62</v>
      </c>
      <c r="C918" t="s">
        <v>43</v>
      </c>
      <c r="D918" t="s">
        <v>63</v>
      </c>
      <c r="E918" s="1">
        <v>46079</v>
      </c>
      <c r="F918" t="s">
        <v>621</v>
      </c>
      <c r="G918" t="s">
        <v>45</v>
      </c>
      <c r="H918" s="2">
        <v>0.3125</v>
      </c>
      <c r="I918" s="2">
        <v>0.99861111111111112</v>
      </c>
      <c r="J918" t="s">
        <v>185</v>
      </c>
      <c r="L918" t="s">
        <v>790</v>
      </c>
      <c r="M918" t="s">
        <v>791</v>
      </c>
      <c r="N918" t="s">
        <v>792</v>
      </c>
      <c r="O918">
        <v>5952334</v>
      </c>
      <c r="Q918" t="s">
        <v>73</v>
      </c>
      <c r="R918" t="s">
        <v>1302</v>
      </c>
      <c r="S918" t="s">
        <v>52</v>
      </c>
      <c r="U918">
        <v>891894</v>
      </c>
      <c r="V918" s="3">
        <v>46073.811111111114</v>
      </c>
      <c r="W918" t="s">
        <v>793</v>
      </c>
      <c r="X918" t="s">
        <v>794</v>
      </c>
      <c r="Y918" t="str">
        <f>"0422273393"</f>
        <v>0422273393</v>
      </c>
      <c r="Z918" t="s">
        <v>70</v>
      </c>
      <c r="AA918" s="1">
        <v>46079</v>
      </c>
      <c r="AB918" t="s">
        <v>71</v>
      </c>
      <c r="AD918" t="s">
        <v>61</v>
      </c>
      <c r="AE918" t="s">
        <v>72</v>
      </c>
      <c r="AF918">
        <v>2747</v>
      </c>
      <c r="AG918" t="s">
        <v>73</v>
      </c>
      <c r="AI918" t="s">
        <v>59</v>
      </c>
      <c r="AL918" t="s">
        <v>3161</v>
      </c>
      <c r="AN918" s="3">
        <v>46079.678472222222</v>
      </c>
      <c r="AO918" t="s">
        <v>793</v>
      </c>
    </row>
    <row r="919" spans="1:41" x14ac:dyDescent="0.3">
      <c r="A919" t="s">
        <v>168</v>
      </c>
      <c r="B919" t="s">
        <v>1205</v>
      </c>
      <c r="C919" t="s">
        <v>216</v>
      </c>
      <c r="D919" t="s">
        <v>127</v>
      </c>
      <c r="E919" s="1">
        <v>46079</v>
      </c>
      <c r="F919" t="s">
        <v>621</v>
      </c>
      <c r="G919" t="s">
        <v>45</v>
      </c>
      <c r="H919" s="2">
        <v>0.3125</v>
      </c>
      <c r="I919" s="2">
        <v>0.52083333333333337</v>
      </c>
      <c r="J919" t="s">
        <v>101</v>
      </c>
      <c r="L919" t="s">
        <v>159</v>
      </c>
      <c r="M919" t="s">
        <v>2318</v>
      </c>
      <c r="N919" t="s">
        <v>2319</v>
      </c>
      <c r="O919">
        <v>5950670</v>
      </c>
      <c r="Q919" t="s">
        <v>1208</v>
      </c>
      <c r="R919" t="s">
        <v>231</v>
      </c>
      <c r="S919" t="s">
        <v>52</v>
      </c>
      <c r="U919">
        <v>891866</v>
      </c>
      <c r="V919" s="3">
        <v>46077.415972222225</v>
      </c>
      <c r="W919" t="s">
        <v>2321</v>
      </c>
      <c r="X919" t="s">
        <v>2322</v>
      </c>
      <c r="Y919" t="str">
        <f>"0401640102"</f>
        <v>0401640102</v>
      </c>
      <c r="Z919" t="s">
        <v>123</v>
      </c>
      <c r="AB919" t="s">
        <v>1211</v>
      </c>
      <c r="AD919" t="s">
        <v>168</v>
      </c>
      <c r="AE919" t="s">
        <v>1212</v>
      </c>
      <c r="AF919">
        <v>5045</v>
      </c>
      <c r="AG919" t="s">
        <v>1208</v>
      </c>
      <c r="AI919" t="s">
        <v>59</v>
      </c>
      <c r="AL919" t="s">
        <v>3162</v>
      </c>
      <c r="AN919" s="3">
        <v>46079.509722222225</v>
      </c>
      <c r="AO919" t="s">
        <v>2321</v>
      </c>
    </row>
    <row r="920" spans="1:41" x14ac:dyDescent="0.3">
      <c r="A920" t="s">
        <v>168</v>
      </c>
      <c r="B920" t="s">
        <v>282</v>
      </c>
      <c r="C920" t="s">
        <v>216</v>
      </c>
      <c r="D920" t="s">
        <v>283</v>
      </c>
      <c r="E920" s="1">
        <v>46079</v>
      </c>
      <c r="F920" t="s">
        <v>621</v>
      </c>
      <c r="G920" t="s">
        <v>45</v>
      </c>
      <c r="H920" s="2">
        <v>0.3125</v>
      </c>
      <c r="I920" s="2">
        <v>0.52083333333333337</v>
      </c>
      <c r="J920" t="s">
        <v>101</v>
      </c>
      <c r="L920" t="s">
        <v>743</v>
      </c>
      <c r="M920" t="s">
        <v>1886</v>
      </c>
      <c r="N920" t="s">
        <v>1887</v>
      </c>
      <c r="O920">
        <v>5952367</v>
      </c>
      <c r="Q920" t="s">
        <v>287</v>
      </c>
      <c r="R920" t="s">
        <v>231</v>
      </c>
      <c r="S920" t="s">
        <v>52</v>
      </c>
      <c r="U920">
        <v>891867</v>
      </c>
      <c r="V920" s="3">
        <v>46077.53402777778</v>
      </c>
      <c r="W920" t="s">
        <v>1888</v>
      </c>
      <c r="X920" t="s">
        <v>1889</v>
      </c>
      <c r="Y920" t="str">
        <f>"0468596772"</f>
        <v>0468596772</v>
      </c>
      <c r="Z920" t="s">
        <v>3163</v>
      </c>
      <c r="AA920" s="1">
        <v>46079</v>
      </c>
      <c r="AB920" t="s">
        <v>291</v>
      </c>
      <c r="AC920" t="s">
        <v>292</v>
      </c>
      <c r="AD920" t="s">
        <v>168</v>
      </c>
      <c r="AE920" t="s">
        <v>293</v>
      </c>
      <c r="AF920">
        <v>5037</v>
      </c>
      <c r="AG920" t="s">
        <v>287</v>
      </c>
      <c r="AI920" t="s">
        <v>59</v>
      </c>
      <c r="AL920" t="s">
        <v>3164</v>
      </c>
      <c r="AN920" s="3">
        <v>46079.517361111109</v>
      </c>
      <c r="AO920" t="s">
        <v>1888</v>
      </c>
    </row>
    <row r="921" spans="1:41" x14ac:dyDescent="0.3">
      <c r="A921" t="s">
        <v>41</v>
      </c>
      <c r="B921" t="s">
        <v>426</v>
      </c>
      <c r="C921" t="s">
        <v>43</v>
      </c>
      <c r="D921" t="s">
        <v>246</v>
      </c>
      <c r="E921" s="1">
        <v>46079</v>
      </c>
      <c r="F921" t="s">
        <v>621</v>
      </c>
      <c r="G921" t="s">
        <v>45</v>
      </c>
      <c r="H921" s="2">
        <v>0.32291666666666669</v>
      </c>
      <c r="I921" s="2">
        <v>0.71875</v>
      </c>
      <c r="J921" t="s">
        <v>185</v>
      </c>
      <c r="K921" t="s">
        <v>427</v>
      </c>
      <c r="L921" t="s">
        <v>815</v>
      </c>
      <c r="M921" t="s">
        <v>816</v>
      </c>
      <c r="N921" t="s">
        <v>817</v>
      </c>
      <c r="O921">
        <v>22501</v>
      </c>
      <c r="Q921" t="s">
        <v>249</v>
      </c>
      <c r="R921" t="s">
        <v>51</v>
      </c>
      <c r="S921" t="s">
        <v>52</v>
      </c>
      <c r="U921">
        <v>891913</v>
      </c>
      <c r="V921" s="3">
        <v>46076.363194444442</v>
      </c>
      <c r="W921" t="s">
        <v>818</v>
      </c>
      <c r="X921" t="s">
        <v>819</v>
      </c>
      <c r="Y921" t="str">
        <f>"0432588228"</f>
        <v>0432588228</v>
      </c>
      <c r="Z921" t="s">
        <v>687</v>
      </c>
      <c r="AB921" t="s">
        <v>434</v>
      </c>
      <c r="AD921" t="s">
        <v>41</v>
      </c>
      <c r="AE921" t="s">
        <v>435</v>
      </c>
      <c r="AF921">
        <v>4163</v>
      </c>
      <c r="AG921" t="s">
        <v>249</v>
      </c>
      <c r="AI921" t="s">
        <v>59</v>
      </c>
      <c r="AL921" t="s">
        <v>249</v>
      </c>
      <c r="AN921" s="3">
        <v>46079.780555555553</v>
      </c>
      <c r="AO921" t="s">
        <v>818</v>
      </c>
    </row>
    <row r="922" spans="1:41" x14ac:dyDescent="0.3">
      <c r="A922" t="s">
        <v>41</v>
      </c>
      <c r="B922" t="s">
        <v>965</v>
      </c>
      <c r="C922" t="s">
        <v>43</v>
      </c>
      <c r="D922" t="s">
        <v>966</v>
      </c>
      <c r="E922" s="1">
        <v>46079</v>
      </c>
      <c r="F922" t="s">
        <v>621</v>
      </c>
      <c r="G922" t="s">
        <v>45</v>
      </c>
      <c r="H922" s="2">
        <v>0.33333333333333331</v>
      </c>
      <c r="I922" s="2">
        <v>0.72916666666666663</v>
      </c>
      <c r="J922" t="s">
        <v>46</v>
      </c>
      <c r="L922" t="s">
        <v>298</v>
      </c>
      <c r="M922" t="s">
        <v>1578</v>
      </c>
      <c r="N922" t="s">
        <v>1579</v>
      </c>
      <c r="O922">
        <v>5952061</v>
      </c>
      <c r="Q922" t="s">
        <v>1580</v>
      </c>
      <c r="R922" t="s">
        <v>51</v>
      </c>
      <c r="S922" t="s">
        <v>52</v>
      </c>
      <c r="U922">
        <v>891909</v>
      </c>
      <c r="V922" s="3">
        <v>46071.365972222222</v>
      </c>
      <c r="W922" t="s">
        <v>1581</v>
      </c>
      <c r="X922" t="s">
        <v>1582</v>
      </c>
      <c r="Y922" t="str">
        <f>"0401803081"</f>
        <v>0401803081</v>
      </c>
      <c r="Z922" t="s">
        <v>1399</v>
      </c>
      <c r="AB922" t="s">
        <v>972</v>
      </c>
      <c r="AD922" t="s">
        <v>41</v>
      </c>
      <c r="AE922" t="s">
        <v>973</v>
      </c>
      <c r="AF922">
        <v>4068</v>
      </c>
      <c r="AG922" t="s">
        <v>2507</v>
      </c>
      <c r="AI922" t="s">
        <v>59</v>
      </c>
      <c r="AL922" t="s">
        <v>3165</v>
      </c>
      <c r="AN922" s="3">
        <v>46079.760416666664</v>
      </c>
      <c r="AO922" t="s">
        <v>1581</v>
      </c>
    </row>
    <row r="923" spans="1:41" x14ac:dyDescent="0.3">
      <c r="A923" t="s">
        <v>168</v>
      </c>
      <c r="B923" t="s">
        <v>282</v>
      </c>
      <c r="C923" t="s">
        <v>170</v>
      </c>
      <c r="D923" t="s">
        <v>283</v>
      </c>
      <c r="E923" s="1">
        <v>46079</v>
      </c>
      <c r="F923" t="s">
        <v>621</v>
      </c>
      <c r="G923" t="s">
        <v>45</v>
      </c>
      <c r="H923" s="2">
        <v>0.33333333333333331</v>
      </c>
      <c r="I923" s="2">
        <v>0.5</v>
      </c>
      <c r="J923" t="s">
        <v>170</v>
      </c>
      <c r="K923" t="s">
        <v>77</v>
      </c>
      <c r="L923" t="s">
        <v>47</v>
      </c>
      <c r="M923" t="s">
        <v>1089</v>
      </c>
      <c r="N923" t="s">
        <v>1024</v>
      </c>
      <c r="O923">
        <v>20963</v>
      </c>
      <c r="Q923" t="s">
        <v>287</v>
      </c>
      <c r="R923" t="s">
        <v>231</v>
      </c>
      <c r="S923" t="s">
        <v>52</v>
      </c>
      <c r="U923">
        <v>891868</v>
      </c>
      <c r="V923" s="3">
        <v>46077.53402777778</v>
      </c>
      <c r="W923" t="s">
        <v>1091</v>
      </c>
      <c r="X923" t="s">
        <v>1092</v>
      </c>
      <c r="Y923" t="str">
        <f>"0430222501"</f>
        <v>0430222501</v>
      </c>
      <c r="Z923" t="s">
        <v>919</v>
      </c>
      <c r="AA923" s="1">
        <v>46079</v>
      </c>
      <c r="AB923" t="s">
        <v>291</v>
      </c>
      <c r="AC923" t="s">
        <v>292</v>
      </c>
      <c r="AD923" t="s">
        <v>168</v>
      </c>
      <c r="AE923" t="s">
        <v>293</v>
      </c>
      <c r="AF923">
        <v>5037</v>
      </c>
      <c r="AG923" t="s">
        <v>287</v>
      </c>
      <c r="AI923" t="s">
        <v>59</v>
      </c>
      <c r="AL923" t="s">
        <v>3166</v>
      </c>
      <c r="AN923" s="3">
        <v>46079.518750000003</v>
      </c>
      <c r="AO923" t="s">
        <v>1091</v>
      </c>
    </row>
    <row r="924" spans="1:41" x14ac:dyDescent="0.3">
      <c r="A924" t="s">
        <v>168</v>
      </c>
      <c r="B924" t="s">
        <v>266</v>
      </c>
      <c r="C924" t="s">
        <v>43</v>
      </c>
      <c r="D924" t="s">
        <v>268</v>
      </c>
      <c r="E924" s="1">
        <v>46079</v>
      </c>
      <c r="F924" t="s">
        <v>621</v>
      </c>
      <c r="G924" t="s">
        <v>45</v>
      </c>
      <c r="H924" s="2">
        <v>0.35416666666666669</v>
      </c>
      <c r="I924" s="2">
        <v>0.52083333333333337</v>
      </c>
      <c r="J924" t="s">
        <v>185</v>
      </c>
      <c r="L924" t="s">
        <v>186</v>
      </c>
      <c r="M924" t="s">
        <v>285</v>
      </c>
      <c r="N924" t="s">
        <v>286</v>
      </c>
      <c r="O924">
        <v>5951416</v>
      </c>
      <c r="Q924" t="s">
        <v>869</v>
      </c>
      <c r="R924" t="s">
        <v>231</v>
      </c>
      <c r="S924" t="s">
        <v>52</v>
      </c>
      <c r="U924">
        <v>891871</v>
      </c>
      <c r="V924" s="3">
        <v>46076.57916666667</v>
      </c>
      <c r="W924" t="s">
        <v>288</v>
      </c>
      <c r="X924" t="s">
        <v>289</v>
      </c>
      <c r="Y924" t="str">
        <f>"0423562542"</f>
        <v>0423562542</v>
      </c>
      <c r="Z924" t="s">
        <v>550</v>
      </c>
      <c r="AB924" t="s">
        <v>277</v>
      </c>
      <c r="AC924" t="s">
        <v>278</v>
      </c>
      <c r="AD924" t="s">
        <v>168</v>
      </c>
      <c r="AE924" t="s">
        <v>279</v>
      </c>
      <c r="AF924">
        <v>5092</v>
      </c>
      <c r="AG924" t="s">
        <v>869</v>
      </c>
      <c r="AI924" t="s">
        <v>59</v>
      </c>
      <c r="AL924" t="s">
        <v>3167</v>
      </c>
      <c r="AM924" t="s">
        <v>3168</v>
      </c>
      <c r="AN924" s="3">
        <v>46079.546527777777</v>
      </c>
      <c r="AO924" t="s">
        <v>288</v>
      </c>
    </row>
    <row r="925" spans="1:41" x14ac:dyDescent="0.3">
      <c r="A925" t="s">
        <v>168</v>
      </c>
      <c r="B925" t="s">
        <v>847</v>
      </c>
      <c r="C925" t="s">
        <v>848</v>
      </c>
      <c r="D925" t="s">
        <v>268</v>
      </c>
      <c r="E925" s="1">
        <v>46079</v>
      </c>
      <c r="F925" t="s">
        <v>621</v>
      </c>
      <c r="G925" t="s">
        <v>45</v>
      </c>
      <c r="H925" s="2">
        <v>0.35416666666666669</v>
      </c>
      <c r="I925" s="2">
        <v>0.70833333333333337</v>
      </c>
      <c r="J925" t="s">
        <v>101</v>
      </c>
      <c r="K925" t="s">
        <v>849</v>
      </c>
      <c r="L925" t="s">
        <v>159</v>
      </c>
      <c r="M925" t="s">
        <v>1552</v>
      </c>
      <c r="N925" t="s">
        <v>1553</v>
      </c>
      <c r="O925">
        <v>5951790</v>
      </c>
      <c r="Q925" t="s">
        <v>857</v>
      </c>
      <c r="R925" t="s">
        <v>231</v>
      </c>
      <c r="S925" t="s">
        <v>52</v>
      </c>
      <c r="U925">
        <v>891899</v>
      </c>
      <c r="V925" s="3">
        <v>46035.581250000003</v>
      </c>
      <c r="W925" t="s">
        <v>1554</v>
      </c>
      <c r="X925" t="s">
        <v>1555</v>
      </c>
      <c r="Y925" t="str">
        <f>"0402115073"</f>
        <v>0402115073</v>
      </c>
      <c r="Z925" t="s">
        <v>673</v>
      </c>
      <c r="AB925" t="s">
        <v>847</v>
      </c>
      <c r="AC925" t="s">
        <v>855</v>
      </c>
      <c r="AD925" t="s">
        <v>168</v>
      </c>
      <c r="AE925" t="s">
        <v>856</v>
      </c>
      <c r="AF925">
        <v>5112</v>
      </c>
      <c r="AG925" t="s">
        <v>857</v>
      </c>
      <c r="AI925" t="s">
        <v>59</v>
      </c>
      <c r="AL925" t="s">
        <v>1556</v>
      </c>
      <c r="AN925" s="3">
        <v>46079.718055555553</v>
      </c>
      <c r="AO925" t="s">
        <v>1554</v>
      </c>
    </row>
    <row r="926" spans="1:41" x14ac:dyDescent="0.3">
      <c r="A926" t="s">
        <v>41</v>
      </c>
      <c r="B926" t="s">
        <v>1849</v>
      </c>
      <c r="C926" t="s">
        <v>1850</v>
      </c>
      <c r="E926" s="1">
        <v>46079</v>
      </c>
      <c r="F926" t="s">
        <v>621</v>
      </c>
      <c r="G926" t="s">
        <v>45</v>
      </c>
      <c r="H926" s="2">
        <v>0.35416666666666669</v>
      </c>
      <c r="I926" s="2">
        <v>0.6875</v>
      </c>
      <c r="J926" t="s">
        <v>1850</v>
      </c>
      <c r="L926" t="s">
        <v>141</v>
      </c>
      <c r="M926" t="s">
        <v>142</v>
      </c>
      <c r="N926" t="s">
        <v>143</v>
      </c>
      <c r="O926">
        <v>22649</v>
      </c>
      <c r="Q926" t="s">
        <v>3169</v>
      </c>
      <c r="R926" t="s">
        <v>723</v>
      </c>
      <c r="S926" t="s">
        <v>52</v>
      </c>
      <c r="U926">
        <v>891902</v>
      </c>
      <c r="V926" s="3">
        <v>46077.398611111108</v>
      </c>
      <c r="W926" t="s">
        <v>146</v>
      </c>
      <c r="X926" t="s">
        <v>147</v>
      </c>
      <c r="Y926" t="str">
        <f>"0407039143"</f>
        <v>0407039143</v>
      </c>
      <c r="Z926" t="s">
        <v>70</v>
      </c>
      <c r="AA926" s="1">
        <v>46079</v>
      </c>
      <c r="AB926" t="s">
        <v>1852</v>
      </c>
      <c r="AD926" t="s">
        <v>41</v>
      </c>
      <c r="AE926" t="s">
        <v>1853</v>
      </c>
      <c r="AF926">
        <v>4007</v>
      </c>
      <c r="AG926" t="s">
        <v>3169</v>
      </c>
      <c r="AI926" t="s">
        <v>59</v>
      </c>
      <c r="AL926" t="s">
        <v>3170</v>
      </c>
      <c r="AN926" s="3">
        <v>46079.729166666664</v>
      </c>
      <c r="AO926" t="s">
        <v>146</v>
      </c>
    </row>
    <row r="927" spans="1:41" x14ac:dyDescent="0.3">
      <c r="A927" t="s">
        <v>61</v>
      </c>
      <c r="B927" t="s">
        <v>655</v>
      </c>
      <c r="C927" t="s">
        <v>43</v>
      </c>
      <c r="D927" t="s">
        <v>656</v>
      </c>
      <c r="E927" s="1">
        <v>46079</v>
      </c>
      <c r="F927" t="s">
        <v>621</v>
      </c>
      <c r="G927" t="s">
        <v>45</v>
      </c>
      <c r="H927" s="2">
        <v>0.35416666666666669</v>
      </c>
      <c r="I927" s="2">
        <v>0.70833333333333337</v>
      </c>
      <c r="J927" t="s">
        <v>100</v>
      </c>
      <c r="L927" t="s">
        <v>100</v>
      </c>
      <c r="M927" t="s">
        <v>1566</v>
      </c>
      <c r="N927" t="s">
        <v>1567</v>
      </c>
      <c r="O927">
        <v>20900</v>
      </c>
      <c r="Q927" t="s">
        <v>665</v>
      </c>
      <c r="R927" t="s">
        <v>500</v>
      </c>
      <c r="S927" t="s">
        <v>52</v>
      </c>
      <c r="U927">
        <v>891897</v>
      </c>
      <c r="V927" s="3">
        <v>46050.688194444447</v>
      </c>
      <c r="W927" t="s">
        <v>1569</v>
      </c>
      <c r="X927" t="s">
        <v>1570</v>
      </c>
      <c r="Y927" t="str">
        <f>"0411393136"</f>
        <v>0411393136</v>
      </c>
      <c r="Z927" t="s">
        <v>3171</v>
      </c>
      <c r="AB927" t="s">
        <v>662</v>
      </c>
      <c r="AC927" t="s">
        <v>663</v>
      </c>
      <c r="AD927" t="s">
        <v>61</v>
      </c>
      <c r="AE927" t="s">
        <v>664</v>
      </c>
      <c r="AF927">
        <v>2067</v>
      </c>
      <c r="AG927" t="s">
        <v>665</v>
      </c>
      <c r="AI927" t="s">
        <v>59</v>
      </c>
      <c r="AL927" t="s">
        <v>3129</v>
      </c>
      <c r="AN927" s="3">
        <v>46079.704861111109</v>
      </c>
      <c r="AO927" t="s">
        <v>1569</v>
      </c>
    </row>
    <row r="928" spans="1:41" x14ac:dyDescent="0.3">
      <c r="A928" t="s">
        <v>168</v>
      </c>
      <c r="B928" t="s">
        <v>282</v>
      </c>
      <c r="C928" t="s">
        <v>170</v>
      </c>
      <c r="D928" t="s">
        <v>283</v>
      </c>
      <c r="E928" s="1">
        <v>46079</v>
      </c>
      <c r="F928" t="s">
        <v>621</v>
      </c>
      <c r="G928" t="s">
        <v>45</v>
      </c>
      <c r="H928" s="2">
        <v>0.35416666666666669</v>
      </c>
      <c r="I928" s="2">
        <v>0.54166666666666663</v>
      </c>
      <c r="J928" t="s">
        <v>170</v>
      </c>
      <c r="K928" t="s">
        <v>203</v>
      </c>
      <c r="L928" t="s">
        <v>204</v>
      </c>
      <c r="M928" t="s">
        <v>3172</v>
      </c>
      <c r="N928" t="s">
        <v>3173</v>
      </c>
      <c r="O928">
        <v>21451</v>
      </c>
      <c r="Q928" t="s">
        <v>287</v>
      </c>
      <c r="R928" t="s">
        <v>231</v>
      </c>
      <c r="S928" t="s">
        <v>52</v>
      </c>
      <c r="U928">
        <v>891869</v>
      </c>
      <c r="V928" s="3">
        <v>46077.53402777778</v>
      </c>
      <c r="W928" t="s">
        <v>3174</v>
      </c>
      <c r="X928" t="s">
        <v>3175</v>
      </c>
      <c r="Y928" t="str">
        <f>"0431975305"</f>
        <v>0431975305</v>
      </c>
      <c r="Z928" t="s">
        <v>964</v>
      </c>
      <c r="AA928" s="1">
        <v>46079</v>
      </c>
      <c r="AB928" t="s">
        <v>291</v>
      </c>
      <c r="AC928" t="s">
        <v>292</v>
      </c>
      <c r="AD928" t="s">
        <v>168</v>
      </c>
      <c r="AE928" t="s">
        <v>293</v>
      </c>
      <c r="AF928">
        <v>5037</v>
      </c>
      <c r="AG928" t="s">
        <v>287</v>
      </c>
      <c r="AI928" t="s">
        <v>59</v>
      </c>
      <c r="AL928" t="s">
        <v>3176</v>
      </c>
      <c r="AN928" s="3">
        <v>46079.542361111111</v>
      </c>
      <c r="AO928" t="s">
        <v>3174</v>
      </c>
    </row>
    <row r="929" spans="1:41" x14ac:dyDescent="0.3">
      <c r="A929" t="s">
        <v>61</v>
      </c>
      <c r="B929" t="s">
        <v>655</v>
      </c>
      <c r="C929" t="s">
        <v>43</v>
      </c>
      <c r="D929" t="s">
        <v>656</v>
      </c>
      <c r="E929" s="1">
        <v>46079</v>
      </c>
      <c r="F929" t="s">
        <v>621</v>
      </c>
      <c r="G929" t="s">
        <v>45</v>
      </c>
      <c r="H929" s="2">
        <v>0.35416666666666669</v>
      </c>
      <c r="I929" s="2">
        <v>0.99861111111111112</v>
      </c>
      <c r="J929" t="s">
        <v>46</v>
      </c>
      <c r="K929" t="s">
        <v>2537</v>
      </c>
      <c r="L929" t="s">
        <v>47</v>
      </c>
      <c r="M929" t="s">
        <v>91</v>
      </c>
      <c r="N929" t="s">
        <v>92</v>
      </c>
      <c r="O929">
        <v>5950650</v>
      </c>
      <c r="Q929" t="s">
        <v>665</v>
      </c>
      <c r="R929" t="s">
        <v>67</v>
      </c>
      <c r="S929" t="s">
        <v>52</v>
      </c>
      <c r="U929">
        <v>892216</v>
      </c>
      <c r="V929" s="3">
        <v>46064.560416666667</v>
      </c>
      <c r="W929" t="s">
        <v>94</v>
      </c>
      <c r="X929" t="s">
        <v>95</v>
      </c>
      <c r="Y929" t="str">
        <f>"0493332534"</f>
        <v>0493332534</v>
      </c>
      <c r="Z929" t="s">
        <v>123</v>
      </c>
      <c r="AB929" t="s">
        <v>662</v>
      </c>
      <c r="AC929" t="s">
        <v>663</v>
      </c>
      <c r="AD929" t="s">
        <v>61</v>
      </c>
      <c r="AE929" t="s">
        <v>664</v>
      </c>
      <c r="AF929">
        <v>2067</v>
      </c>
      <c r="AG929" t="s">
        <v>3177</v>
      </c>
      <c r="AI929" t="s">
        <v>59</v>
      </c>
      <c r="AL929" t="s">
        <v>3129</v>
      </c>
      <c r="AN929" s="3">
        <v>46083.465277777781</v>
      </c>
      <c r="AO929" t="s">
        <v>94</v>
      </c>
    </row>
    <row r="930" spans="1:41" x14ac:dyDescent="0.3">
      <c r="A930" t="s">
        <v>874</v>
      </c>
      <c r="B930" t="s">
        <v>875</v>
      </c>
      <c r="D930" t="s">
        <v>388</v>
      </c>
      <c r="E930" s="1">
        <v>46079</v>
      </c>
      <c r="F930" t="s">
        <v>621</v>
      </c>
      <c r="G930" t="s">
        <v>45</v>
      </c>
      <c r="H930" s="2">
        <v>0.35416666666666669</v>
      </c>
      <c r="I930" s="2">
        <v>0.70833333333333337</v>
      </c>
      <c r="J930" t="s">
        <v>876</v>
      </c>
      <c r="L930" t="s">
        <v>877</v>
      </c>
      <c r="M930" t="s">
        <v>878</v>
      </c>
      <c r="N930" t="s">
        <v>879</v>
      </c>
      <c r="O930">
        <v>5951689</v>
      </c>
      <c r="P930" t="s">
        <v>249</v>
      </c>
      <c r="Q930" t="s">
        <v>880</v>
      </c>
      <c r="R930" t="s">
        <v>392</v>
      </c>
      <c r="S930" t="s">
        <v>52</v>
      </c>
      <c r="T930" t="s">
        <v>252</v>
      </c>
      <c r="U930">
        <v>892246</v>
      </c>
      <c r="V930" s="3">
        <v>46083.556944444441</v>
      </c>
      <c r="W930" t="s">
        <v>881</v>
      </c>
      <c r="X930" t="s">
        <v>882</v>
      </c>
      <c r="Y930" t="str">
        <f>"0474765680"</f>
        <v>0474765680</v>
      </c>
      <c r="Z930" t="s">
        <v>290</v>
      </c>
      <c r="AA930" s="1">
        <v>46110</v>
      </c>
      <c r="AB930" t="s">
        <v>883</v>
      </c>
      <c r="AD930" t="s">
        <v>397</v>
      </c>
      <c r="AE930" t="s">
        <v>884</v>
      </c>
      <c r="AG930" t="s">
        <v>880</v>
      </c>
      <c r="AI930" t="s">
        <v>59</v>
      </c>
      <c r="AJ930" t="str">
        <f>"0090000061"</f>
        <v>0090000061</v>
      </c>
      <c r="AN930" s="3">
        <v>46083.556944444441</v>
      </c>
      <c r="AO930" t="s">
        <v>392</v>
      </c>
    </row>
    <row r="931" spans="1:41" x14ac:dyDescent="0.3">
      <c r="A931" t="s">
        <v>61</v>
      </c>
      <c r="B931" t="s">
        <v>655</v>
      </c>
      <c r="C931" t="s">
        <v>43</v>
      </c>
      <c r="D931" t="s">
        <v>656</v>
      </c>
      <c r="E931" s="1">
        <v>46079</v>
      </c>
      <c r="F931" t="s">
        <v>621</v>
      </c>
      <c r="G931" t="s">
        <v>45</v>
      </c>
      <c r="H931" s="2">
        <v>0.375</v>
      </c>
      <c r="I931" s="2">
        <v>0.75</v>
      </c>
      <c r="J931" t="s">
        <v>100</v>
      </c>
      <c r="L931" t="s">
        <v>100</v>
      </c>
      <c r="M931" t="s">
        <v>1645</v>
      </c>
      <c r="N931" t="s">
        <v>2538</v>
      </c>
      <c r="O931">
        <v>5952287</v>
      </c>
      <c r="Q931" t="s">
        <v>665</v>
      </c>
      <c r="R931" t="s">
        <v>500</v>
      </c>
      <c r="S931" t="s">
        <v>52</v>
      </c>
      <c r="U931">
        <v>891906</v>
      </c>
      <c r="V931" s="3">
        <v>46078.688194444447</v>
      </c>
      <c r="W931" t="s">
        <v>2539</v>
      </c>
      <c r="X931" t="s">
        <v>2540</v>
      </c>
      <c r="Y931" t="str">
        <f>"0447679827"</f>
        <v>0447679827</v>
      </c>
      <c r="Z931" t="s">
        <v>70</v>
      </c>
      <c r="AB931" t="s">
        <v>662</v>
      </c>
      <c r="AC931" t="s">
        <v>663</v>
      </c>
      <c r="AD931" t="s">
        <v>61</v>
      </c>
      <c r="AE931" t="s">
        <v>664</v>
      </c>
      <c r="AF931">
        <v>2067</v>
      </c>
      <c r="AG931" t="s">
        <v>665</v>
      </c>
      <c r="AI931" t="s">
        <v>59</v>
      </c>
      <c r="AL931" t="s">
        <v>3178</v>
      </c>
      <c r="AN931" s="3">
        <v>46079.751388888886</v>
      </c>
      <c r="AO931" t="s">
        <v>2539</v>
      </c>
    </row>
    <row r="932" spans="1:41" x14ac:dyDescent="0.3">
      <c r="A932" t="s">
        <v>168</v>
      </c>
      <c r="B932" t="s">
        <v>1178</v>
      </c>
      <c r="C932" t="s">
        <v>100</v>
      </c>
      <c r="D932" t="s">
        <v>127</v>
      </c>
      <c r="E932" s="1">
        <v>46079</v>
      </c>
      <c r="F932" t="s">
        <v>621</v>
      </c>
      <c r="G932" t="s">
        <v>45</v>
      </c>
      <c r="H932" s="2">
        <v>0.375</v>
      </c>
      <c r="I932" s="2">
        <v>0.70833333333333337</v>
      </c>
      <c r="J932" t="s">
        <v>100</v>
      </c>
      <c r="L932" t="s">
        <v>100</v>
      </c>
      <c r="M932" t="s">
        <v>2716</v>
      </c>
      <c r="N932" t="s">
        <v>2717</v>
      </c>
      <c r="O932">
        <v>5950873</v>
      </c>
      <c r="Q932" t="s">
        <v>3179</v>
      </c>
      <c r="R932" t="s">
        <v>176</v>
      </c>
      <c r="S932" t="s">
        <v>52</v>
      </c>
      <c r="U932">
        <v>891903</v>
      </c>
      <c r="V932" s="3">
        <v>46078.636805555558</v>
      </c>
      <c r="W932" t="s">
        <v>2718</v>
      </c>
      <c r="X932" t="s">
        <v>2719</v>
      </c>
      <c r="Y932" t="str">
        <f>"61401208429"</f>
        <v>61401208429</v>
      </c>
      <c r="Z932" t="s">
        <v>84</v>
      </c>
      <c r="AB932" t="s">
        <v>1184</v>
      </c>
      <c r="AD932" t="s">
        <v>168</v>
      </c>
      <c r="AE932" t="s">
        <v>1185</v>
      </c>
      <c r="AF932">
        <v>5066</v>
      </c>
      <c r="AG932" t="s">
        <v>3180</v>
      </c>
      <c r="AI932" t="s">
        <v>59</v>
      </c>
      <c r="AL932" t="s">
        <v>87</v>
      </c>
      <c r="AN932" s="3">
        <v>46079.731249999997</v>
      </c>
      <c r="AO932" t="s">
        <v>2718</v>
      </c>
    </row>
    <row r="933" spans="1:41" x14ac:dyDescent="0.3">
      <c r="A933" t="s">
        <v>168</v>
      </c>
      <c r="B933" t="s">
        <v>689</v>
      </c>
      <c r="C933" t="s">
        <v>43</v>
      </c>
      <c r="D933" t="s">
        <v>268</v>
      </c>
      <c r="E933" s="1">
        <v>46079</v>
      </c>
      <c r="F933" t="s">
        <v>621</v>
      </c>
      <c r="G933" t="s">
        <v>45</v>
      </c>
      <c r="H933" s="2">
        <v>0.375</v>
      </c>
      <c r="I933" s="2">
        <v>0.72916666666666663</v>
      </c>
      <c r="J933" t="s">
        <v>101</v>
      </c>
      <c r="L933" t="s">
        <v>159</v>
      </c>
      <c r="M933" t="s">
        <v>690</v>
      </c>
      <c r="N933" t="s">
        <v>691</v>
      </c>
      <c r="O933">
        <v>5950774</v>
      </c>
      <c r="P933" t="s">
        <v>249</v>
      </c>
      <c r="Q933" t="s">
        <v>692</v>
      </c>
      <c r="R933" t="s">
        <v>693</v>
      </c>
      <c r="S933" t="s">
        <v>52</v>
      </c>
      <c r="T933" t="s">
        <v>252</v>
      </c>
      <c r="U933">
        <v>892207</v>
      </c>
      <c r="V933" s="3">
        <v>46083.38958333333</v>
      </c>
      <c r="W933" t="s">
        <v>693</v>
      </c>
      <c r="X933" t="s">
        <v>694</v>
      </c>
      <c r="Y933" t="str">
        <f>"0404019300"</f>
        <v>0404019300</v>
      </c>
      <c r="Z933" t="s">
        <v>290</v>
      </c>
      <c r="AA933" s="1">
        <v>46117</v>
      </c>
      <c r="AB933" t="s">
        <v>695</v>
      </c>
      <c r="AD933" t="s">
        <v>168</v>
      </c>
      <c r="AE933" t="s">
        <v>696</v>
      </c>
      <c r="AF933">
        <v>5606</v>
      </c>
      <c r="AG933" t="s">
        <v>1585</v>
      </c>
      <c r="AI933" t="s">
        <v>59</v>
      </c>
      <c r="AJ933" t="str">
        <f>"0020188040"</f>
        <v>0020188040</v>
      </c>
      <c r="AN933" s="3">
        <v>46083.38958333333</v>
      </c>
      <c r="AO933" t="s">
        <v>693</v>
      </c>
    </row>
    <row r="934" spans="1:41" x14ac:dyDescent="0.3">
      <c r="A934" t="s">
        <v>75</v>
      </c>
      <c r="B934" t="s">
        <v>895</v>
      </c>
      <c r="C934" t="s">
        <v>896</v>
      </c>
      <c r="D934" t="s">
        <v>184</v>
      </c>
      <c r="E934" s="1">
        <v>46079</v>
      </c>
      <c r="F934" t="s">
        <v>621</v>
      </c>
      <c r="G934" t="s">
        <v>45</v>
      </c>
      <c r="H934" s="2">
        <v>0.375</v>
      </c>
      <c r="I934" s="2">
        <v>0.58333333333333337</v>
      </c>
      <c r="J934" t="s">
        <v>46</v>
      </c>
      <c r="K934" t="s">
        <v>77</v>
      </c>
      <c r="L934" t="s">
        <v>47</v>
      </c>
      <c r="M934" t="s">
        <v>897</v>
      </c>
      <c r="N934" t="s">
        <v>898</v>
      </c>
      <c r="O934">
        <v>22938</v>
      </c>
      <c r="Q934" t="s">
        <v>1835</v>
      </c>
      <c r="R934" t="s">
        <v>926</v>
      </c>
      <c r="S934" t="s">
        <v>52</v>
      </c>
      <c r="U934">
        <v>891896</v>
      </c>
      <c r="V934" s="3">
        <v>46077.675694444442</v>
      </c>
      <c r="W934" t="s">
        <v>900</v>
      </c>
      <c r="X934" t="s">
        <v>901</v>
      </c>
      <c r="Y934" t="str">
        <f>"0412336670"</f>
        <v>0412336670</v>
      </c>
      <c r="Z934" t="s">
        <v>70</v>
      </c>
      <c r="AB934" t="s">
        <v>902</v>
      </c>
      <c r="AD934" t="s">
        <v>75</v>
      </c>
      <c r="AE934" t="s">
        <v>903</v>
      </c>
      <c r="AF934">
        <v>6009</v>
      </c>
      <c r="AG934" t="s">
        <v>3181</v>
      </c>
      <c r="AI934" t="s">
        <v>59</v>
      </c>
      <c r="AL934" t="s">
        <v>3182</v>
      </c>
      <c r="AN934" s="3">
        <v>46079.700694444444</v>
      </c>
      <c r="AO934" t="s">
        <v>900</v>
      </c>
    </row>
    <row r="935" spans="1:41" x14ac:dyDescent="0.3">
      <c r="A935" t="s">
        <v>168</v>
      </c>
      <c r="B935" t="s">
        <v>225</v>
      </c>
      <c r="C935" t="s">
        <v>202</v>
      </c>
      <c r="D935" t="s">
        <v>227</v>
      </c>
      <c r="E935" s="1">
        <v>46079</v>
      </c>
      <c r="F935" t="s">
        <v>621</v>
      </c>
      <c r="G935" t="s">
        <v>45</v>
      </c>
      <c r="H935" s="2">
        <v>0.375</v>
      </c>
      <c r="I935" s="2">
        <v>0.70833333333333337</v>
      </c>
      <c r="J935" t="s">
        <v>46</v>
      </c>
      <c r="L935" t="s">
        <v>204</v>
      </c>
      <c r="M935" t="s">
        <v>205</v>
      </c>
      <c r="N935" t="s">
        <v>206</v>
      </c>
      <c r="O935">
        <v>21706</v>
      </c>
      <c r="Q935" t="s">
        <v>230</v>
      </c>
      <c r="R935" t="s">
        <v>176</v>
      </c>
      <c r="S935" t="s">
        <v>52</v>
      </c>
      <c r="U935">
        <v>891905</v>
      </c>
      <c r="V935" s="3">
        <v>46077.509027777778</v>
      </c>
      <c r="W935" t="s">
        <v>209</v>
      </c>
      <c r="X935" t="s">
        <v>210</v>
      </c>
      <c r="Y935" t="str">
        <f>"0415862070"</f>
        <v>0415862070</v>
      </c>
      <c r="Z935" t="s">
        <v>70</v>
      </c>
      <c r="AA935" s="1">
        <v>46079</v>
      </c>
      <c r="AB935" t="s">
        <v>235</v>
      </c>
      <c r="AD935" t="s">
        <v>168</v>
      </c>
      <c r="AE935" t="s">
        <v>236</v>
      </c>
      <c r="AF935">
        <v>5087</v>
      </c>
      <c r="AG935" t="s">
        <v>230</v>
      </c>
      <c r="AI935" t="s">
        <v>59</v>
      </c>
      <c r="AL935" t="s">
        <v>3183</v>
      </c>
      <c r="AN935" s="3">
        <v>46079.739583333336</v>
      </c>
      <c r="AO935" t="s">
        <v>209</v>
      </c>
    </row>
    <row r="936" spans="1:41" x14ac:dyDescent="0.3">
      <c r="A936" t="s">
        <v>168</v>
      </c>
      <c r="B936" t="s">
        <v>689</v>
      </c>
      <c r="C936" t="s">
        <v>1496</v>
      </c>
      <c r="D936" t="s">
        <v>268</v>
      </c>
      <c r="E936" s="1">
        <v>46079</v>
      </c>
      <c r="F936" t="s">
        <v>621</v>
      </c>
      <c r="G936" t="s">
        <v>45</v>
      </c>
      <c r="H936" s="2">
        <v>0.375</v>
      </c>
      <c r="I936" s="2">
        <v>0.72916666666666663</v>
      </c>
      <c r="J936" t="s">
        <v>46</v>
      </c>
      <c r="L936" t="s">
        <v>47</v>
      </c>
      <c r="M936" t="s">
        <v>1497</v>
      </c>
      <c r="N936" t="s">
        <v>465</v>
      </c>
      <c r="O936">
        <v>5950806</v>
      </c>
      <c r="P936" t="s">
        <v>249</v>
      </c>
      <c r="Q936" t="s">
        <v>692</v>
      </c>
      <c r="R936" t="s">
        <v>1498</v>
      </c>
      <c r="S936" t="s">
        <v>52</v>
      </c>
      <c r="T936" t="s">
        <v>252</v>
      </c>
      <c r="U936">
        <v>892229</v>
      </c>
      <c r="V936" s="3">
        <v>46083.493750000001</v>
      </c>
      <c r="W936" t="s">
        <v>1498</v>
      </c>
      <c r="X936" t="s">
        <v>1499</v>
      </c>
      <c r="Y936" t="str">
        <f>"0425332962"</f>
        <v>0425332962</v>
      </c>
      <c r="Z936" t="s">
        <v>290</v>
      </c>
      <c r="AA936" s="1">
        <v>46117</v>
      </c>
      <c r="AB936" t="s">
        <v>695</v>
      </c>
      <c r="AD936" t="s">
        <v>168</v>
      </c>
      <c r="AE936" t="s">
        <v>696</v>
      </c>
      <c r="AF936">
        <v>5606</v>
      </c>
      <c r="AG936" t="s">
        <v>1500</v>
      </c>
      <c r="AI936" t="s">
        <v>59</v>
      </c>
      <c r="AJ936" t="str">
        <f>"0020188039"</f>
        <v>0020188039</v>
      </c>
      <c r="AN936" s="3">
        <v>46083.493750000001</v>
      </c>
      <c r="AO936" t="s">
        <v>1498</v>
      </c>
    </row>
    <row r="937" spans="1:41" x14ac:dyDescent="0.3">
      <c r="A937" t="s">
        <v>306</v>
      </c>
      <c r="B937" t="s">
        <v>450</v>
      </c>
      <c r="C937" t="s">
        <v>100</v>
      </c>
      <c r="D937" t="s">
        <v>63</v>
      </c>
      <c r="E937" s="1">
        <v>46079</v>
      </c>
      <c r="F937" t="s">
        <v>621</v>
      </c>
      <c r="G937" t="s">
        <v>45</v>
      </c>
      <c r="H937" s="2">
        <v>0.375</v>
      </c>
      <c r="I937" s="2">
        <v>0.625</v>
      </c>
      <c r="J937" t="s">
        <v>100</v>
      </c>
      <c r="L937" t="s">
        <v>100</v>
      </c>
      <c r="M937" t="s">
        <v>1046</v>
      </c>
      <c r="N937" t="s">
        <v>1047</v>
      </c>
      <c r="O937">
        <v>5951333</v>
      </c>
      <c r="Q937" t="s">
        <v>1048</v>
      </c>
      <c r="R937" t="s">
        <v>132</v>
      </c>
      <c r="S937" t="s">
        <v>52</v>
      </c>
      <c r="U937">
        <v>891887</v>
      </c>
      <c r="V937" s="3">
        <v>46072.5</v>
      </c>
      <c r="W937" t="s">
        <v>1049</v>
      </c>
      <c r="X937" t="s">
        <v>1050</v>
      </c>
      <c r="Y937" t="str">
        <f>"0404089564"</f>
        <v>0404089564</v>
      </c>
      <c r="Z937" t="s">
        <v>1013</v>
      </c>
      <c r="AB937" t="s">
        <v>459</v>
      </c>
      <c r="AD937" t="s">
        <v>306</v>
      </c>
      <c r="AE937" t="s">
        <v>460</v>
      </c>
      <c r="AF937">
        <v>3058</v>
      </c>
      <c r="AG937" t="s">
        <v>2397</v>
      </c>
      <c r="AI937" t="s">
        <v>59</v>
      </c>
      <c r="AL937" t="s">
        <v>87</v>
      </c>
      <c r="AN937" s="3">
        <v>46079.620833333334</v>
      </c>
      <c r="AO937" t="s">
        <v>1049</v>
      </c>
    </row>
    <row r="938" spans="1:41" x14ac:dyDescent="0.3">
      <c r="A938" t="s">
        <v>61</v>
      </c>
      <c r="B938" t="s">
        <v>62</v>
      </c>
      <c r="C938" t="s">
        <v>43</v>
      </c>
      <c r="D938" t="s">
        <v>63</v>
      </c>
      <c r="E938" s="1">
        <v>46079</v>
      </c>
      <c r="F938" t="s">
        <v>621</v>
      </c>
      <c r="G938" t="s">
        <v>45</v>
      </c>
      <c r="H938" s="2">
        <v>0.39583333333333331</v>
      </c>
      <c r="I938" s="2">
        <v>0.66666666666666663</v>
      </c>
      <c r="J938" t="s">
        <v>46</v>
      </c>
      <c r="L938" t="s">
        <v>47</v>
      </c>
      <c r="M938" t="s">
        <v>610</v>
      </c>
      <c r="N938" t="s">
        <v>3184</v>
      </c>
      <c r="O938">
        <v>5950775</v>
      </c>
      <c r="Q938" t="s">
        <v>66</v>
      </c>
      <c r="R938" t="s">
        <v>67</v>
      </c>
      <c r="S938" t="s">
        <v>52</v>
      </c>
      <c r="U938">
        <v>891893</v>
      </c>
      <c r="V938" s="3">
        <v>46077.400694444441</v>
      </c>
      <c r="W938" t="s">
        <v>3185</v>
      </c>
      <c r="X938" t="s">
        <v>3186</v>
      </c>
      <c r="Y938" t="str">
        <f>"0406883932"</f>
        <v>0406883932</v>
      </c>
      <c r="Z938" t="s">
        <v>70</v>
      </c>
      <c r="AB938" t="s">
        <v>71</v>
      </c>
      <c r="AD938" t="s">
        <v>61</v>
      </c>
      <c r="AE938" t="s">
        <v>72</v>
      </c>
      <c r="AF938">
        <v>2747</v>
      </c>
      <c r="AG938" t="s">
        <v>73</v>
      </c>
      <c r="AI938" t="s">
        <v>59</v>
      </c>
      <c r="AL938" t="s">
        <v>3187</v>
      </c>
      <c r="AN938" s="3">
        <v>46079.672222222223</v>
      </c>
      <c r="AO938" t="s">
        <v>3185</v>
      </c>
    </row>
    <row r="939" spans="1:41" x14ac:dyDescent="0.3">
      <c r="A939" t="s">
        <v>61</v>
      </c>
      <c r="B939" t="s">
        <v>62</v>
      </c>
      <c r="C939" t="s">
        <v>100</v>
      </c>
      <c r="D939" t="s">
        <v>63</v>
      </c>
      <c r="E939" s="1">
        <v>46079</v>
      </c>
      <c r="F939" t="s">
        <v>621</v>
      </c>
      <c r="G939" t="s">
        <v>45</v>
      </c>
      <c r="H939" s="2">
        <v>0.41666666666666669</v>
      </c>
      <c r="I939" s="2">
        <v>0.77083333333333337</v>
      </c>
      <c r="J939" t="s">
        <v>100</v>
      </c>
      <c r="L939" t="s">
        <v>100</v>
      </c>
      <c r="M939" t="s">
        <v>101</v>
      </c>
      <c r="N939" t="s">
        <v>102</v>
      </c>
      <c r="O939">
        <v>27</v>
      </c>
      <c r="Q939" t="s">
        <v>1051</v>
      </c>
      <c r="R939" t="s">
        <v>132</v>
      </c>
      <c r="S939" t="s">
        <v>52</v>
      </c>
      <c r="U939">
        <v>891908</v>
      </c>
      <c r="V939" s="3">
        <v>46052.632638888892</v>
      </c>
      <c r="W939" t="s">
        <v>104</v>
      </c>
      <c r="X939" t="s">
        <v>105</v>
      </c>
      <c r="Y939" t="str">
        <f>"0403748369"</f>
        <v>0403748369</v>
      </c>
      <c r="Z939" t="s">
        <v>1044</v>
      </c>
      <c r="AB939" t="s">
        <v>71</v>
      </c>
      <c r="AD939" t="s">
        <v>61</v>
      </c>
      <c r="AE939" t="s">
        <v>72</v>
      </c>
      <c r="AF939">
        <v>2747</v>
      </c>
      <c r="AG939" t="s">
        <v>1051</v>
      </c>
      <c r="AI939" t="s">
        <v>59</v>
      </c>
      <c r="AL939" t="s">
        <v>3129</v>
      </c>
      <c r="AN939" s="3">
        <v>46079.759722222225</v>
      </c>
      <c r="AO939" t="s">
        <v>104</v>
      </c>
    </row>
    <row r="940" spans="1:41" x14ac:dyDescent="0.3">
      <c r="A940" t="s">
        <v>61</v>
      </c>
      <c r="B940" t="s">
        <v>3103</v>
      </c>
      <c r="C940" t="s">
        <v>43</v>
      </c>
      <c r="D940" t="s">
        <v>127</v>
      </c>
      <c r="E940" s="1">
        <v>46079</v>
      </c>
      <c r="F940" t="s">
        <v>621</v>
      </c>
      <c r="G940" t="s">
        <v>128</v>
      </c>
      <c r="H940" s="2">
        <v>0.41666666666666669</v>
      </c>
      <c r="I940" s="2">
        <v>0.77083333333333337</v>
      </c>
      <c r="J940" t="s">
        <v>46</v>
      </c>
      <c r="L940" t="s">
        <v>298</v>
      </c>
      <c r="M940" t="s">
        <v>960</v>
      </c>
      <c r="N940" t="s">
        <v>961</v>
      </c>
      <c r="O940">
        <v>5952208</v>
      </c>
      <c r="Q940" t="s">
        <v>3188</v>
      </c>
      <c r="R940" t="s">
        <v>132</v>
      </c>
      <c r="S940" t="s">
        <v>52</v>
      </c>
      <c r="T940" t="s">
        <v>1437</v>
      </c>
      <c r="U940">
        <v>891910</v>
      </c>
      <c r="V940" s="3">
        <v>46073.664583333331</v>
      </c>
      <c r="W940" t="s">
        <v>962</v>
      </c>
      <c r="X940" t="s">
        <v>963</v>
      </c>
      <c r="Y940" t="str">
        <f>"0427301257"</f>
        <v>0427301257</v>
      </c>
      <c r="Z940" t="s">
        <v>70</v>
      </c>
      <c r="AA940" s="1">
        <v>46079</v>
      </c>
      <c r="AB940" t="s">
        <v>3106</v>
      </c>
      <c r="AD940" t="s">
        <v>61</v>
      </c>
      <c r="AE940" t="s">
        <v>3107</v>
      </c>
      <c r="AF940">
        <v>2050</v>
      </c>
      <c r="AG940" t="s">
        <v>3188</v>
      </c>
      <c r="AI940" t="s">
        <v>59</v>
      </c>
      <c r="AL940" t="s">
        <v>3189</v>
      </c>
      <c r="AN940" s="3">
        <v>46082.481249999997</v>
      </c>
      <c r="AO940" t="s">
        <v>759</v>
      </c>
    </row>
    <row r="941" spans="1:41" x14ac:dyDescent="0.3">
      <c r="A941" t="s">
        <v>168</v>
      </c>
      <c r="B941" t="s">
        <v>225</v>
      </c>
      <c r="C941" t="s">
        <v>170</v>
      </c>
      <c r="D941" t="s">
        <v>227</v>
      </c>
      <c r="E941" s="1">
        <v>46079</v>
      </c>
      <c r="F941" t="s">
        <v>621</v>
      </c>
      <c r="G941" t="s">
        <v>128</v>
      </c>
      <c r="H941" s="2">
        <v>0.4375</v>
      </c>
      <c r="I941" s="2">
        <v>0.77083333333333337</v>
      </c>
      <c r="J941" t="s">
        <v>170</v>
      </c>
      <c r="K941" t="s">
        <v>2266</v>
      </c>
      <c r="L941" t="s">
        <v>172</v>
      </c>
      <c r="M941" t="s">
        <v>173</v>
      </c>
      <c r="N941" t="s">
        <v>174</v>
      </c>
      <c r="O941">
        <v>300006</v>
      </c>
      <c r="Q941" t="s">
        <v>230</v>
      </c>
      <c r="R941" t="s">
        <v>231</v>
      </c>
      <c r="S941" t="s">
        <v>52</v>
      </c>
      <c r="T941" t="s">
        <v>1437</v>
      </c>
      <c r="U941">
        <v>891917</v>
      </c>
      <c r="V941" s="3">
        <v>46079.36041666667</v>
      </c>
      <c r="W941" t="s">
        <v>177</v>
      </c>
      <c r="X941" t="s">
        <v>178</v>
      </c>
      <c r="Y941" t="str">
        <f>"0430966876"</f>
        <v>0430966876</v>
      </c>
      <c r="Z941" t="s">
        <v>70</v>
      </c>
      <c r="AA941" s="1">
        <v>46079</v>
      </c>
      <c r="AB941" t="s">
        <v>235</v>
      </c>
      <c r="AD941" t="s">
        <v>168</v>
      </c>
      <c r="AE941" t="s">
        <v>236</v>
      </c>
      <c r="AF941">
        <v>5087</v>
      </c>
      <c r="AG941" t="s">
        <v>230</v>
      </c>
      <c r="AI941" t="s">
        <v>59</v>
      </c>
      <c r="AL941" t="s">
        <v>3190</v>
      </c>
      <c r="AN941" s="3">
        <v>46082.480555555558</v>
      </c>
      <c r="AO941" t="s">
        <v>759</v>
      </c>
    </row>
    <row r="942" spans="1:41" x14ac:dyDescent="0.3">
      <c r="A942" t="s">
        <v>61</v>
      </c>
      <c r="B942" t="s">
        <v>62</v>
      </c>
      <c r="C942" t="s">
        <v>43</v>
      </c>
      <c r="D942" t="s">
        <v>63</v>
      </c>
      <c r="E942" s="1">
        <v>46079</v>
      </c>
      <c r="F942" t="s">
        <v>621</v>
      </c>
      <c r="G942" t="s">
        <v>128</v>
      </c>
      <c r="H942" s="2">
        <v>0.5</v>
      </c>
      <c r="I942" s="2">
        <v>0.99861111111111112</v>
      </c>
      <c r="J942" t="s">
        <v>101</v>
      </c>
      <c r="L942" t="s">
        <v>159</v>
      </c>
      <c r="M942" t="s">
        <v>645</v>
      </c>
      <c r="N942" t="s">
        <v>646</v>
      </c>
      <c r="O942">
        <v>5950942</v>
      </c>
      <c r="Q942" t="s">
        <v>66</v>
      </c>
      <c r="R942" t="s">
        <v>67</v>
      </c>
      <c r="S942" t="s">
        <v>52</v>
      </c>
      <c r="U942">
        <v>891958</v>
      </c>
      <c r="V942" s="3">
        <v>46069.605555555558</v>
      </c>
      <c r="W942" t="s">
        <v>647</v>
      </c>
      <c r="X942" t="s">
        <v>648</v>
      </c>
      <c r="Y942" t="str">
        <f>"0411463760"</f>
        <v>0411463760</v>
      </c>
      <c r="Z942" t="s">
        <v>2927</v>
      </c>
      <c r="AB942" t="s">
        <v>71</v>
      </c>
      <c r="AD942" t="s">
        <v>61</v>
      </c>
      <c r="AE942" t="s">
        <v>72</v>
      </c>
      <c r="AF942">
        <v>2747</v>
      </c>
      <c r="AG942" t="s">
        <v>73</v>
      </c>
      <c r="AI942" t="s">
        <v>59</v>
      </c>
      <c r="AL942" t="s">
        <v>3191</v>
      </c>
      <c r="AN942" s="3">
        <v>46079.870833333334</v>
      </c>
      <c r="AO942" t="s">
        <v>647</v>
      </c>
    </row>
    <row r="943" spans="1:41" x14ac:dyDescent="0.3">
      <c r="A943" t="s">
        <v>75</v>
      </c>
      <c r="B943" t="s">
        <v>76</v>
      </c>
      <c r="C943" t="s">
        <v>43</v>
      </c>
      <c r="D943" t="s">
        <v>63</v>
      </c>
      <c r="E943" s="1">
        <v>46079</v>
      </c>
      <c r="F943" t="s">
        <v>621</v>
      </c>
      <c r="G943" t="s">
        <v>128</v>
      </c>
      <c r="H943" s="2">
        <v>0.5</v>
      </c>
      <c r="I943" s="2">
        <v>0.89583333333333337</v>
      </c>
      <c r="J943" t="s">
        <v>46</v>
      </c>
      <c r="K943" t="s">
        <v>77</v>
      </c>
      <c r="L943" t="s">
        <v>47</v>
      </c>
      <c r="M943" t="s">
        <v>954</v>
      </c>
      <c r="N943" t="s">
        <v>955</v>
      </c>
      <c r="O943">
        <v>5952037</v>
      </c>
      <c r="Q943" t="s">
        <v>1059</v>
      </c>
      <c r="R943" t="s">
        <v>500</v>
      </c>
      <c r="S943" t="s">
        <v>52</v>
      </c>
      <c r="U943">
        <v>891968</v>
      </c>
      <c r="V943" s="3">
        <v>46076.847916666666</v>
      </c>
      <c r="W943" t="s">
        <v>957</v>
      </c>
      <c r="X943" t="s">
        <v>958</v>
      </c>
      <c r="Y943" t="str">
        <f>"0452457162"</f>
        <v>0452457162</v>
      </c>
      <c r="Z943" t="s">
        <v>254</v>
      </c>
      <c r="AB943" t="s">
        <v>85</v>
      </c>
      <c r="AD943" t="s">
        <v>75</v>
      </c>
      <c r="AE943" t="s">
        <v>86</v>
      </c>
      <c r="AF943">
        <v>6000</v>
      </c>
      <c r="AG943" t="s">
        <v>197</v>
      </c>
      <c r="AI943" t="s">
        <v>59</v>
      </c>
      <c r="AL943" t="s">
        <v>3192</v>
      </c>
      <c r="AN943" s="3">
        <v>46079.972916666666</v>
      </c>
      <c r="AO943" t="s">
        <v>957</v>
      </c>
    </row>
    <row r="944" spans="1:41" x14ac:dyDescent="0.3">
      <c r="A944" t="s">
        <v>61</v>
      </c>
      <c r="B944" t="s">
        <v>912</v>
      </c>
      <c r="C944" t="s">
        <v>913</v>
      </c>
      <c r="D944" t="s">
        <v>184</v>
      </c>
      <c r="E944" s="1">
        <v>46079</v>
      </c>
      <c r="F944" t="s">
        <v>621</v>
      </c>
      <c r="G944" t="s">
        <v>128</v>
      </c>
      <c r="H944" s="2">
        <v>0.5</v>
      </c>
      <c r="I944" s="2">
        <v>0.99861111111111112</v>
      </c>
      <c r="J944" t="s">
        <v>46</v>
      </c>
      <c r="L944" t="s">
        <v>47</v>
      </c>
      <c r="M944" t="s">
        <v>603</v>
      </c>
      <c r="N944" t="s">
        <v>604</v>
      </c>
      <c r="O944">
        <v>80</v>
      </c>
      <c r="Q944" t="s">
        <v>916</v>
      </c>
      <c r="R944" t="s">
        <v>67</v>
      </c>
      <c r="S944" t="s">
        <v>52</v>
      </c>
      <c r="U944">
        <v>891916</v>
      </c>
      <c r="V944" s="3">
        <v>46078.423611111109</v>
      </c>
      <c r="W944" t="s">
        <v>605</v>
      </c>
      <c r="X944" t="s">
        <v>606</v>
      </c>
      <c r="Y944" t="str">
        <f>"0414330986"</f>
        <v>0414330986</v>
      </c>
      <c r="Z944" t="s">
        <v>70</v>
      </c>
      <c r="AA944" s="1">
        <v>46079</v>
      </c>
      <c r="AB944" t="s">
        <v>920</v>
      </c>
      <c r="AC944" t="s">
        <v>921</v>
      </c>
      <c r="AD944" t="s">
        <v>61</v>
      </c>
      <c r="AE944" t="s">
        <v>922</v>
      </c>
      <c r="AF944">
        <v>2228</v>
      </c>
      <c r="AG944" t="s">
        <v>916</v>
      </c>
      <c r="AI944" t="s">
        <v>59</v>
      </c>
      <c r="AL944" t="s">
        <v>87</v>
      </c>
      <c r="AN944" s="3">
        <v>46079.790972222225</v>
      </c>
      <c r="AO944" t="s">
        <v>605</v>
      </c>
    </row>
    <row r="945" spans="1:41" x14ac:dyDescent="0.3">
      <c r="A945" t="s">
        <v>168</v>
      </c>
      <c r="B945" t="s">
        <v>215</v>
      </c>
      <c r="C945" t="s">
        <v>43</v>
      </c>
      <c r="D945" t="s">
        <v>127</v>
      </c>
      <c r="E945" s="1">
        <v>46079</v>
      </c>
      <c r="F945" t="s">
        <v>621</v>
      </c>
      <c r="G945" t="s">
        <v>128</v>
      </c>
      <c r="H945" s="2">
        <v>0.52083333333333337</v>
      </c>
      <c r="I945" s="2">
        <v>0.85416666666666663</v>
      </c>
      <c r="J945" t="s">
        <v>258</v>
      </c>
      <c r="K945" t="s">
        <v>259</v>
      </c>
      <c r="L945" t="s">
        <v>186</v>
      </c>
      <c r="M945" t="s">
        <v>1117</v>
      </c>
      <c r="N945" t="s">
        <v>1118</v>
      </c>
      <c r="O945">
        <v>5952419</v>
      </c>
      <c r="Q945" t="s">
        <v>219</v>
      </c>
      <c r="R945" t="s">
        <v>556</v>
      </c>
      <c r="S945" t="s">
        <v>52</v>
      </c>
      <c r="U945">
        <v>891921</v>
      </c>
      <c r="V945" s="3">
        <v>46057.085416666669</v>
      </c>
      <c r="W945" t="s">
        <v>1119</v>
      </c>
      <c r="X945" t="s">
        <v>1120</v>
      </c>
      <c r="Y945" t="str">
        <f>"0433820679"</f>
        <v>0433820679</v>
      </c>
      <c r="Z945" t="s">
        <v>70</v>
      </c>
      <c r="AA945" s="1">
        <v>46079</v>
      </c>
      <c r="AB945" t="s">
        <v>222</v>
      </c>
      <c r="AD945" t="s">
        <v>168</v>
      </c>
      <c r="AE945" t="s">
        <v>223</v>
      </c>
      <c r="AF945">
        <v>5069</v>
      </c>
      <c r="AG945" t="s">
        <v>219</v>
      </c>
      <c r="AI945" t="s">
        <v>59</v>
      </c>
      <c r="AL945" t="s">
        <v>1417</v>
      </c>
      <c r="AN945" s="3">
        <v>46079.804861111108</v>
      </c>
      <c r="AO945" t="s">
        <v>1119</v>
      </c>
    </row>
    <row r="946" spans="1:41" x14ac:dyDescent="0.3">
      <c r="A946" t="s">
        <v>61</v>
      </c>
      <c r="B946" t="s">
        <v>158</v>
      </c>
      <c r="C946" t="s">
        <v>43</v>
      </c>
      <c r="D946" t="s">
        <v>127</v>
      </c>
      <c r="E946" s="1">
        <v>46079</v>
      </c>
      <c r="F946" t="s">
        <v>621</v>
      </c>
      <c r="G946" t="s">
        <v>128</v>
      </c>
      <c r="H946" s="2">
        <v>0.52083333333333337</v>
      </c>
      <c r="I946" s="2">
        <v>0.99861111111111112</v>
      </c>
      <c r="J946" t="s">
        <v>185</v>
      </c>
      <c r="K946" t="s">
        <v>238</v>
      </c>
      <c r="L946" t="s">
        <v>3193</v>
      </c>
      <c r="M946" t="s">
        <v>500</v>
      </c>
      <c r="N946" t="s">
        <v>3194</v>
      </c>
      <c r="O946">
        <v>5952198</v>
      </c>
      <c r="Q946" t="s">
        <v>162</v>
      </c>
      <c r="R946" t="s">
        <v>67</v>
      </c>
      <c r="S946" t="s">
        <v>52</v>
      </c>
      <c r="U946">
        <v>891907</v>
      </c>
      <c r="V946" s="3">
        <v>46072.568749999999</v>
      </c>
      <c r="W946" t="s">
        <v>3195</v>
      </c>
      <c r="X946" t="s">
        <v>3196</v>
      </c>
      <c r="Y946" t="str">
        <f>"0421625452"</f>
        <v>0421625452</v>
      </c>
      <c r="Z946" t="s">
        <v>964</v>
      </c>
      <c r="AB946" t="s">
        <v>166</v>
      </c>
      <c r="AD946" t="s">
        <v>61</v>
      </c>
      <c r="AE946" t="s">
        <v>167</v>
      </c>
      <c r="AF946">
        <v>2011</v>
      </c>
      <c r="AG946" t="s">
        <v>162</v>
      </c>
      <c r="AI946" t="s">
        <v>59</v>
      </c>
      <c r="AL946" t="s">
        <v>3129</v>
      </c>
      <c r="AN946" s="3">
        <v>46079.75277777778</v>
      </c>
      <c r="AO946" t="s">
        <v>3195</v>
      </c>
    </row>
    <row r="947" spans="1:41" x14ac:dyDescent="0.3">
      <c r="A947" t="s">
        <v>168</v>
      </c>
      <c r="B947" t="s">
        <v>215</v>
      </c>
      <c r="C947" t="s">
        <v>43</v>
      </c>
      <c r="D947" t="s">
        <v>127</v>
      </c>
      <c r="E947" s="1">
        <v>46079</v>
      </c>
      <c r="F947" t="s">
        <v>621</v>
      </c>
      <c r="G947" t="s">
        <v>128</v>
      </c>
      <c r="H947" s="2">
        <v>0.52083333333333337</v>
      </c>
      <c r="I947" s="2">
        <v>0.85416666666666663</v>
      </c>
      <c r="J947" t="s">
        <v>101</v>
      </c>
      <c r="L947" t="s">
        <v>159</v>
      </c>
      <c r="M947" t="s">
        <v>217</v>
      </c>
      <c r="N947" t="s">
        <v>218</v>
      </c>
      <c r="O947">
        <v>32</v>
      </c>
      <c r="Q947" t="s">
        <v>219</v>
      </c>
      <c r="R947" t="s">
        <v>556</v>
      </c>
      <c r="S947" t="s">
        <v>52</v>
      </c>
      <c r="U947">
        <v>891926</v>
      </c>
      <c r="V947" s="3">
        <v>46057.086111111108</v>
      </c>
      <c r="W947" t="s">
        <v>220</v>
      </c>
      <c r="X947" t="s">
        <v>221</v>
      </c>
      <c r="Y947" t="str">
        <f>"0426797353"</f>
        <v>0426797353</v>
      </c>
      <c r="Z947" t="s">
        <v>70</v>
      </c>
      <c r="AA947" s="1">
        <v>46079</v>
      </c>
      <c r="AB947" t="s">
        <v>222</v>
      </c>
      <c r="AD947" t="s">
        <v>168</v>
      </c>
      <c r="AE947" t="s">
        <v>223</v>
      </c>
      <c r="AF947">
        <v>5069</v>
      </c>
      <c r="AG947" t="s">
        <v>219</v>
      </c>
      <c r="AI947" t="s">
        <v>59</v>
      </c>
      <c r="AL947" t="s">
        <v>1417</v>
      </c>
      <c r="AN947" s="3">
        <v>46079.818749999999</v>
      </c>
      <c r="AO947" t="s">
        <v>220</v>
      </c>
    </row>
    <row r="948" spans="1:41" x14ac:dyDescent="0.3">
      <c r="A948" t="s">
        <v>168</v>
      </c>
      <c r="B948" t="s">
        <v>215</v>
      </c>
      <c r="C948" t="s">
        <v>43</v>
      </c>
      <c r="D948" t="s">
        <v>127</v>
      </c>
      <c r="E948" s="1">
        <v>46079</v>
      </c>
      <c r="F948" t="s">
        <v>621</v>
      </c>
      <c r="G948" t="s">
        <v>128</v>
      </c>
      <c r="H948" s="2">
        <v>0.52083333333333337</v>
      </c>
      <c r="I948" s="2">
        <v>0.85416666666666663</v>
      </c>
      <c r="J948" t="s">
        <v>258</v>
      </c>
      <c r="K948" t="s">
        <v>259</v>
      </c>
      <c r="L948" t="s">
        <v>186</v>
      </c>
      <c r="M948" t="s">
        <v>651</v>
      </c>
      <c r="N948" t="s">
        <v>412</v>
      </c>
      <c r="O948">
        <v>21855</v>
      </c>
      <c r="Q948" t="s">
        <v>219</v>
      </c>
      <c r="R948" t="s">
        <v>556</v>
      </c>
      <c r="S948" t="s">
        <v>52</v>
      </c>
      <c r="U948">
        <v>891904</v>
      </c>
      <c r="V948" s="3">
        <v>46057.085416666669</v>
      </c>
      <c r="W948" t="s">
        <v>652</v>
      </c>
      <c r="X948" t="s">
        <v>653</v>
      </c>
      <c r="Y948" t="str">
        <f>"0407317111"</f>
        <v>0407317111</v>
      </c>
      <c r="Z948" t="s">
        <v>70</v>
      </c>
      <c r="AA948" s="1">
        <v>46079</v>
      </c>
      <c r="AB948" t="s">
        <v>222</v>
      </c>
      <c r="AD948" t="s">
        <v>168</v>
      </c>
      <c r="AE948" t="s">
        <v>223</v>
      </c>
      <c r="AF948">
        <v>5069</v>
      </c>
      <c r="AG948" t="s">
        <v>219</v>
      </c>
      <c r="AI948" t="s">
        <v>59</v>
      </c>
      <c r="AL948" t="s">
        <v>3197</v>
      </c>
      <c r="AN948" s="3">
        <v>46079.732638888891</v>
      </c>
      <c r="AO948" t="s">
        <v>652</v>
      </c>
    </row>
    <row r="949" spans="1:41" x14ac:dyDescent="0.3">
      <c r="A949" t="s">
        <v>168</v>
      </c>
      <c r="B949" t="s">
        <v>326</v>
      </c>
      <c r="C949" t="s">
        <v>1150</v>
      </c>
      <c r="D949" t="s">
        <v>127</v>
      </c>
      <c r="E949" s="1">
        <v>46079</v>
      </c>
      <c r="F949" t="s">
        <v>621</v>
      </c>
      <c r="G949" t="s">
        <v>128</v>
      </c>
      <c r="H949" s="2">
        <v>0.54166666666666663</v>
      </c>
      <c r="I949" s="2">
        <v>0.79166666666666663</v>
      </c>
      <c r="J949" t="s">
        <v>101</v>
      </c>
      <c r="L949" t="s">
        <v>159</v>
      </c>
      <c r="M949" t="s">
        <v>1151</v>
      </c>
      <c r="N949" t="s">
        <v>1152</v>
      </c>
      <c r="O949">
        <v>13</v>
      </c>
      <c r="Q949" t="s">
        <v>676</v>
      </c>
      <c r="R949" t="s">
        <v>1934</v>
      </c>
      <c r="S949" t="s">
        <v>52</v>
      </c>
      <c r="U949">
        <v>891901</v>
      </c>
      <c r="V949" s="3">
        <v>46034.602083333331</v>
      </c>
      <c r="W949" t="s">
        <v>1153</v>
      </c>
      <c r="X949" t="s">
        <v>1154</v>
      </c>
      <c r="Y949" t="str">
        <f>"0424485060"</f>
        <v>0424485060</v>
      </c>
      <c r="Z949" t="s">
        <v>3198</v>
      </c>
      <c r="AB949" t="s">
        <v>333</v>
      </c>
      <c r="AD949" t="s">
        <v>168</v>
      </c>
      <c r="AE949" t="s">
        <v>334</v>
      </c>
      <c r="AF949">
        <v>5034</v>
      </c>
      <c r="AG949" t="s">
        <v>676</v>
      </c>
      <c r="AI949" t="s">
        <v>59</v>
      </c>
      <c r="AL949" t="s">
        <v>1121</v>
      </c>
      <c r="AN949" s="3">
        <v>46079.724305555559</v>
      </c>
      <c r="AO949" t="s">
        <v>1153</v>
      </c>
    </row>
    <row r="950" spans="1:41" x14ac:dyDescent="0.3">
      <c r="A950" t="s">
        <v>306</v>
      </c>
      <c r="B950" t="s">
        <v>307</v>
      </c>
      <c r="C950" t="s">
        <v>308</v>
      </c>
      <c r="D950" t="s">
        <v>309</v>
      </c>
      <c r="E950" s="1">
        <v>46079</v>
      </c>
      <c r="F950" t="s">
        <v>621</v>
      </c>
      <c r="G950" t="s">
        <v>128</v>
      </c>
      <c r="H950" s="2">
        <v>0.54166666666666663</v>
      </c>
      <c r="I950" s="2">
        <v>0.89583333333333337</v>
      </c>
      <c r="J950" t="s">
        <v>296</v>
      </c>
      <c r="K950" t="s">
        <v>750</v>
      </c>
      <c r="L950" t="s">
        <v>2374</v>
      </c>
      <c r="M950" t="s">
        <v>2375</v>
      </c>
      <c r="N950" t="s">
        <v>2376</v>
      </c>
      <c r="O950">
        <v>5952415</v>
      </c>
      <c r="Q950" t="s">
        <v>3199</v>
      </c>
      <c r="R950" t="s">
        <v>1763</v>
      </c>
      <c r="S950" t="s">
        <v>52</v>
      </c>
      <c r="U950">
        <v>891962</v>
      </c>
      <c r="V950" s="3">
        <v>46079.427777777775</v>
      </c>
      <c r="W950" t="s">
        <v>2378</v>
      </c>
      <c r="X950" t="s">
        <v>2379</v>
      </c>
      <c r="Y950" t="str">
        <f>"0422461185"</f>
        <v>0422461185</v>
      </c>
      <c r="Z950" t="s">
        <v>70</v>
      </c>
      <c r="AA950" s="1">
        <v>46079</v>
      </c>
      <c r="AB950" t="s">
        <v>317</v>
      </c>
      <c r="AD950" t="s">
        <v>306</v>
      </c>
      <c r="AE950" t="s">
        <v>318</v>
      </c>
      <c r="AF950">
        <v>3162</v>
      </c>
      <c r="AG950" t="s">
        <v>2380</v>
      </c>
      <c r="AI950" t="s">
        <v>59</v>
      </c>
      <c r="AL950" t="s">
        <v>87</v>
      </c>
      <c r="AN950" s="3">
        <v>46079.890972222223</v>
      </c>
      <c r="AO950" t="s">
        <v>2378</v>
      </c>
    </row>
    <row r="951" spans="1:41" x14ac:dyDescent="0.3">
      <c r="A951" t="s">
        <v>168</v>
      </c>
      <c r="B951" t="s">
        <v>336</v>
      </c>
      <c r="D951" t="s">
        <v>268</v>
      </c>
      <c r="E951" s="1">
        <v>46079</v>
      </c>
      <c r="F951" t="s">
        <v>621</v>
      </c>
      <c r="G951" t="s">
        <v>128</v>
      </c>
      <c r="H951" s="2">
        <v>0.54166666666666663</v>
      </c>
      <c r="I951" s="2">
        <v>0.89583333333333337</v>
      </c>
      <c r="J951" t="s">
        <v>296</v>
      </c>
      <c r="K951" t="s">
        <v>270</v>
      </c>
      <c r="L951" t="s">
        <v>298</v>
      </c>
      <c r="M951" t="s">
        <v>3200</v>
      </c>
      <c r="N951" t="s">
        <v>3201</v>
      </c>
      <c r="O951">
        <v>22818</v>
      </c>
      <c r="Q951" t="s">
        <v>342</v>
      </c>
      <c r="R951" t="s">
        <v>176</v>
      </c>
      <c r="S951" t="s">
        <v>52</v>
      </c>
      <c r="U951">
        <v>891872</v>
      </c>
      <c r="V951" s="3">
        <v>46063.561111111114</v>
      </c>
      <c r="W951" t="s">
        <v>3202</v>
      </c>
      <c r="X951" t="s">
        <v>3203</v>
      </c>
      <c r="Y951" t="str">
        <f>"0419557728"</f>
        <v>0419557728</v>
      </c>
      <c r="Z951" t="s">
        <v>290</v>
      </c>
      <c r="AB951" t="s">
        <v>346</v>
      </c>
      <c r="AD951" t="s">
        <v>168</v>
      </c>
      <c r="AE951" t="s">
        <v>347</v>
      </c>
      <c r="AF951">
        <v>5042</v>
      </c>
      <c r="AG951" t="s">
        <v>342</v>
      </c>
      <c r="AI951" t="s">
        <v>59</v>
      </c>
      <c r="AL951" t="s">
        <v>3204</v>
      </c>
      <c r="AM951" t="s">
        <v>349</v>
      </c>
      <c r="AN951" s="3">
        <v>46079.56527777778</v>
      </c>
      <c r="AO951" t="s">
        <v>3202</v>
      </c>
    </row>
    <row r="952" spans="1:41" x14ac:dyDescent="0.3">
      <c r="A952" t="s">
        <v>168</v>
      </c>
      <c r="B952" t="s">
        <v>326</v>
      </c>
      <c r="C952" t="s">
        <v>43</v>
      </c>
      <c r="D952" t="s">
        <v>127</v>
      </c>
      <c r="E952" s="1">
        <v>46079</v>
      </c>
      <c r="F952" t="s">
        <v>621</v>
      </c>
      <c r="G952" t="s">
        <v>128</v>
      </c>
      <c r="H952" s="2">
        <v>0.54166666666666663</v>
      </c>
      <c r="I952" s="2">
        <v>0.79166666666666663</v>
      </c>
      <c r="J952" t="s">
        <v>185</v>
      </c>
      <c r="L952" t="s">
        <v>186</v>
      </c>
      <c r="M952" t="s">
        <v>835</v>
      </c>
      <c r="N952" t="s">
        <v>836</v>
      </c>
      <c r="O952">
        <v>22947</v>
      </c>
      <c r="Q952" t="s">
        <v>676</v>
      </c>
      <c r="R952" t="s">
        <v>1934</v>
      </c>
      <c r="S952" t="s">
        <v>52</v>
      </c>
      <c r="U952">
        <v>891900</v>
      </c>
      <c r="V952" s="3">
        <v>46034.594444444447</v>
      </c>
      <c r="W952" t="s">
        <v>837</v>
      </c>
      <c r="X952" t="s">
        <v>838</v>
      </c>
      <c r="Y952" t="str">
        <f>"0415626656"</f>
        <v>0415626656</v>
      </c>
      <c r="Z952" t="s">
        <v>3205</v>
      </c>
      <c r="AB952" t="s">
        <v>333</v>
      </c>
      <c r="AD952" t="s">
        <v>168</v>
      </c>
      <c r="AE952" t="s">
        <v>334</v>
      </c>
      <c r="AF952">
        <v>5034</v>
      </c>
      <c r="AG952" t="s">
        <v>676</v>
      </c>
      <c r="AI952" t="s">
        <v>59</v>
      </c>
      <c r="AL952" t="s">
        <v>3206</v>
      </c>
      <c r="AN952" s="3">
        <v>46079.722222222219</v>
      </c>
      <c r="AO952" t="s">
        <v>837</v>
      </c>
    </row>
    <row r="953" spans="1:41" x14ac:dyDescent="0.3">
      <c r="A953" t="s">
        <v>168</v>
      </c>
      <c r="B953" t="s">
        <v>1178</v>
      </c>
      <c r="C953" t="s">
        <v>1150</v>
      </c>
      <c r="D953" t="s">
        <v>127</v>
      </c>
      <c r="E953" s="1">
        <v>46079</v>
      </c>
      <c r="F953" t="s">
        <v>621</v>
      </c>
      <c r="G953" t="s">
        <v>128</v>
      </c>
      <c r="H953" s="2">
        <v>0.54166666666666663</v>
      </c>
      <c r="I953" s="2">
        <v>0.875</v>
      </c>
      <c r="J953" t="s">
        <v>101</v>
      </c>
      <c r="L953" t="s">
        <v>159</v>
      </c>
      <c r="M953" t="s">
        <v>1023</v>
      </c>
      <c r="N953" t="s">
        <v>1024</v>
      </c>
      <c r="O953">
        <v>22730</v>
      </c>
      <c r="P953" t="s">
        <v>2388</v>
      </c>
      <c r="Q953" t="s">
        <v>2389</v>
      </c>
      <c r="R953" t="s">
        <v>231</v>
      </c>
      <c r="S953" t="s">
        <v>52</v>
      </c>
      <c r="U953">
        <v>891960</v>
      </c>
      <c r="V953" s="3">
        <v>46043.511805555558</v>
      </c>
      <c r="W953" t="s">
        <v>1027</v>
      </c>
      <c r="X953" t="s">
        <v>1028</v>
      </c>
      <c r="Y953" t="str">
        <f>"0402354674"</f>
        <v>0402354674</v>
      </c>
      <c r="Z953" t="s">
        <v>984</v>
      </c>
      <c r="AA953" s="1">
        <v>46079</v>
      </c>
      <c r="AB953" t="s">
        <v>1184</v>
      </c>
      <c r="AD953" t="s">
        <v>168</v>
      </c>
      <c r="AE953" t="s">
        <v>1185</v>
      </c>
      <c r="AF953">
        <v>5066</v>
      </c>
      <c r="AG953" t="s">
        <v>2047</v>
      </c>
      <c r="AI953" t="s">
        <v>59</v>
      </c>
      <c r="AL953" t="s">
        <v>1417</v>
      </c>
      <c r="AN953" s="3">
        <v>46079.873611111114</v>
      </c>
      <c r="AO953" t="s">
        <v>1027</v>
      </c>
    </row>
    <row r="954" spans="1:41" x14ac:dyDescent="0.3">
      <c r="A954" t="s">
        <v>168</v>
      </c>
      <c r="B954" t="s">
        <v>376</v>
      </c>
      <c r="C954" t="s">
        <v>43</v>
      </c>
      <c r="D954" t="s">
        <v>127</v>
      </c>
      <c r="E954" s="1">
        <v>46079</v>
      </c>
      <c r="F954" t="s">
        <v>621</v>
      </c>
      <c r="G954" t="s">
        <v>128</v>
      </c>
      <c r="H954" s="2">
        <v>0.54166666666666663</v>
      </c>
      <c r="I954" s="2">
        <v>0.79166666666666663</v>
      </c>
      <c r="J954" t="s">
        <v>185</v>
      </c>
      <c r="K954" t="s">
        <v>667</v>
      </c>
      <c r="L954" t="s">
        <v>186</v>
      </c>
      <c r="M954" t="s">
        <v>2691</v>
      </c>
      <c r="N954" t="s">
        <v>2691</v>
      </c>
      <c r="O954">
        <v>22687</v>
      </c>
      <c r="Q954" t="s">
        <v>681</v>
      </c>
      <c r="R954" t="s">
        <v>231</v>
      </c>
      <c r="S954" t="s">
        <v>52</v>
      </c>
      <c r="U954">
        <v>891924</v>
      </c>
      <c r="V954" s="3">
        <v>46055.645833333336</v>
      </c>
      <c r="W954" t="s">
        <v>2692</v>
      </c>
      <c r="X954" t="s">
        <v>2693</v>
      </c>
      <c r="Y954" t="str">
        <f>"0433922671"</f>
        <v>0433922671</v>
      </c>
      <c r="Z954" t="s">
        <v>3207</v>
      </c>
      <c r="AB954" t="s">
        <v>383</v>
      </c>
      <c r="AD954" t="s">
        <v>168</v>
      </c>
      <c r="AE954" t="s">
        <v>384</v>
      </c>
      <c r="AF954">
        <v>5000</v>
      </c>
      <c r="AG954" t="s">
        <v>674</v>
      </c>
      <c r="AI954" t="s">
        <v>59</v>
      </c>
      <c r="AL954" t="s">
        <v>3208</v>
      </c>
      <c r="AN954" s="3">
        <v>46079.811111111114</v>
      </c>
      <c r="AO954" t="s">
        <v>2692</v>
      </c>
    </row>
    <row r="955" spans="1:41" x14ac:dyDescent="0.3">
      <c r="A955" t="s">
        <v>168</v>
      </c>
      <c r="B955" t="s">
        <v>1178</v>
      </c>
      <c r="C955" t="s">
        <v>1150</v>
      </c>
      <c r="D955" t="s">
        <v>127</v>
      </c>
      <c r="E955" s="1">
        <v>46079</v>
      </c>
      <c r="F955" t="s">
        <v>621</v>
      </c>
      <c r="G955" t="s">
        <v>128</v>
      </c>
      <c r="H955" s="2">
        <v>0.54166666666666663</v>
      </c>
      <c r="I955" s="2">
        <v>0.875</v>
      </c>
      <c r="J955" t="s">
        <v>101</v>
      </c>
      <c r="L955" t="s">
        <v>159</v>
      </c>
      <c r="M955" t="s">
        <v>228</v>
      </c>
      <c r="N955" t="s">
        <v>229</v>
      </c>
      <c r="O955">
        <v>21017</v>
      </c>
      <c r="Q955" t="s">
        <v>2047</v>
      </c>
      <c r="R955" t="s">
        <v>231</v>
      </c>
      <c r="S955" t="s">
        <v>52</v>
      </c>
      <c r="U955">
        <v>891956</v>
      </c>
      <c r="V955" s="3">
        <v>46043.511805555558</v>
      </c>
      <c r="W955" t="s">
        <v>232</v>
      </c>
      <c r="X955" t="s">
        <v>233</v>
      </c>
      <c r="Y955" t="str">
        <f>"0409900497"</f>
        <v>0409900497</v>
      </c>
      <c r="Z955" t="s">
        <v>2036</v>
      </c>
      <c r="AA955" s="1">
        <v>46079</v>
      </c>
      <c r="AB955" t="s">
        <v>1184</v>
      </c>
      <c r="AD955" t="s">
        <v>168</v>
      </c>
      <c r="AE955" t="s">
        <v>1185</v>
      </c>
      <c r="AF955">
        <v>5066</v>
      </c>
      <c r="AG955" t="s">
        <v>2047</v>
      </c>
      <c r="AI955" t="s">
        <v>59</v>
      </c>
      <c r="AL955" t="s">
        <v>1417</v>
      </c>
      <c r="AN955" s="3">
        <v>46079.855555555558</v>
      </c>
      <c r="AO955" t="s">
        <v>232</v>
      </c>
    </row>
    <row r="956" spans="1:41" x14ac:dyDescent="0.3">
      <c r="A956" t="s">
        <v>168</v>
      </c>
      <c r="B956" t="s">
        <v>266</v>
      </c>
      <c r="D956" t="s">
        <v>268</v>
      </c>
      <c r="E956" s="1">
        <v>46079</v>
      </c>
      <c r="F956" t="s">
        <v>621</v>
      </c>
      <c r="G956" t="s">
        <v>128</v>
      </c>
      <c r="H956" s="2">
        <v>0.54166666666666663</v>
      </c>
      <c r="I956" s="2">
        <v>0.89583333333333337</v>
      </c>
      <c r="J956" t="s">
        <v>296</v>
      </c>
      <c r="K956" t="s">
        <v>297</v>
      </c>
      <c r="L956" t="s">
        <v>298</v>
      </c>
      <c r="M956" t="s">
        <v>1194</v>
      </c>
      <c r="N956" t="s">
        <v>1195</v>
      </c>
      <c r="O956">
        <v>5951969</v>
      </c>
      <c r="Q956" t="s">
        <v>3209</v>
      </c>
      <c r="R956" t="s">
        <v>176</v>
      </c>
      <c r="S956" t="s">
        <v>52</v>
      </c>
      <c r="U956">
        <v>891963</v>
      </c>
      <c r="V956" s="3">
        <v>45993.429166666669</v>
      </c>
      <c r="W956" t="s">
        <v>1196</v>
      </c>
      <c r="X956" t="s">
        <v>1197</v>
      </c>
      <c r="Y956" t="str">
        <f>"0431208028"</f>
        <v>0431208028</v>
      </c>
      <c r="Z956" t="s">
        <v>3210</v>
      </c>
      <c r="AB956" t="s">
        <v>277</v>
      </c>
      <c r="AC956" t="s">
        <v>278</v>
      </c>
      <c r="AD956" t="s">
        <v>168</v>
      </c>
      <c r="AE956" t="s">
        <v>279</v>
      </c>
      <c r="AF956">
        <v>5092</v>
      </c>
      <c r="AG956" t="s">
        <v>274</v>
      </c>
      <c r="AI956" t="s">
        <v>59</v>
      </c>
      <c r="AL956" t="s">
        <v>3211</v>
      </c>
      <c r="AM956" t="s">
        <v>281</v>
      </c>
      <c r="AN956" s="3">
        <v>46079.915972222225</v>
      </c>
      <c r="AO956" t="s">
        <v>1196</v>
      </c>
    </row>
    <row r="957" spans="1:41" x14ac:dyDescent="0.3">
      <c r="A957" t="s">
        <v>61</v>
      </c>
      <c r="B957" t="s">
        <v>182</v>
      </c>
      <c r="C957" t="s">
        <v>100</v>
      </c>
      <c r="D957" t="s">
        <v>184</v>
      </c>
      <c r="E957" s="1">
        <v>46079</v>
      </c>
      <c r="F957" t="s">
        <v>621</v>
      </c>
      <c r="G957" t="s">
        <v>128</v>
      </c>
      <c r="H957" s="2">
        <v>0.54166666666666663</v>
      </c>
      <c r="I957" s="2">
        <v>0.89583333333333337</v>
      </c>
      <c r="J957" t="s">
        <v>100</v>
      </c>
      <c r="L957" t="s">
        <v>100</v>
      </c>
      <c r="M957" t="s">
        <v>862</v>
      </c>
      <c r="N957" t="s">
        <v>863</v>
      </c>
      <c r="O957">
        <v>5952375</v>
      </c>
      <c r="Q957" t="s">
        <v>3212</v>
      </c>
      <c r="R957" t="s">
        <v>67</v>
      </c>
      <c r="S957" t="s">
        <v>52</v>
      </c>
      <c r="U957">
        <v>891961</v>
      </c>
      <c r="V957" s="3">
        <v>46044.34097222222</v>
      </c>
      <c r="W957" t="s">
        <v>864</v>
      </c>
      <c r="X957" t="s">
        <v>865</v>
      </c>
      <c r="Y957" t="str">
        <f>"0433092113"</f>
        <v>0433092113</v>
      </c>
      <c r="Z957" t="s">
        <v>3171</v>
      </c>
      <c r="AB957" t="s">
        <v>193</v>
      </c>
      <c r="AD957" t="s">
        <v>61</v>
      </c>
      <c r="AE957" t="s">
        <v>194</v>
      </c>
      <c r="AF957">
        <v>2229</v>
      </c>
      <c r="AG957" t="s">
        <v>1045</v>
      </c>
      <c r="AI957" t="s">
        <v>59</v>
      </c>
      <c r="AL957" t="s">
        <v>3129</v>
      </c>
      <c r="AN957" s="3">
        <v>46079.884722222225</v>
      </c>
      <c r="AO957" t="s">
        <v>864</v>
      </c>
    </row>
    <row r="958" spans="1:41" x14ac:dyDescent="0.3">
      <c r="A958" t="s">
        <v>168</v>
      </c>
      <c r="B958" t="s">
        <v>376</v>
      </c>
      <c r="C958" t="s">
        <v>43</v>
      </c>
      <c r="D958" t="s">
        <v>127</v>
      </c>
      <c r="E958" s="1">
        <v>46079</v>
      </c>
      <c r="F958" t="s">
        <v>621</v>
      </c>
      <c r="G958" t="s">
        <v>128</v>
      </c>
      <c r="H958" s="2">
        <v>0.54166666666666663</v>
      </c>
      <c r="I958" s="2">
        <v>0.875</v>
      </c>
      <c r="J958" t="s">
        <v>185</v>
      </c>
      <c r="L958" t="s">
        <v>186</v>
      </c>
      <c r="M958" t="s">
        <v>867</v>
      </c>
      <c r="N958" t="s">
        <v>868</v>
      </c>
      <c r="O958">
        <v>5951869</v>
      </c>
      <c r="Q958" t="s">
        <v>681</v>
      </c>
      <c r="R958" t="s">
        <v>176</v>
      </c>
      <c r="S958" t="s">
        <v>119</v>
      </c>
      <c r="T958" t="s">
        <v>1932</v>
      </c>
      <c r="U958">
        <v>892237</v>
      </c>
      <c r="V958" s="3">
        <v>46078.777083333334</v>
      </c>
      <c r="W958" t="s">
        <v>870</v>
      </c>
      <c r="X958" t="s">
        <v>871</v>
      </c>
      <c r="Y958" t="str">
        <f>"0435211342"</f>
        <v>0435211342</v>
      </c>
      <c r="Z958" t="s">
        <v>70</v>
      </c>
      <c r="AB958" t="s">
        <v>383</v>
      </c>
      <c r="AD958" t="s">
        <v>168</v>
      </c>
      <c r="AE958" t="s">
        <v>384</v>
      </c>
      <c r="AF958">
        <v>5000</v>
      </c>
      <c r="AG958" t="s">
        <v>674</v>
      </c>
      <c r="AI958" t="s">
        <v>59</v>
      </c>
      <c r="AL958" t="s">
        <v>3213</v>
      </c>
      <c r="AN958" s="3">
        <v>46078.779166666667</v>
      </c>
      <c r="AO958" t="s">
        <v>176</v>
      </c>
    </row>
    <row r="959" spans="1:41" x14ac:dyDescent="0.3">
      <c r="A959" t="s">
        <v>306</v>
      </c>
      <c r="B959" t="s">
        <v>2407</v>
      </c>
      <c r="C959" t="s">
        <v>100</v>
      </c>
      <c r="D959" t="s">
        <v>184</v>
      </c>
      <c r="E959" s="1">
        <v>46079</v>
      </c>
      <c r="F959" t="s">
        <v>621</v>
      </c>
      <c r="G959" t="s">
        <v>128</v>
      </c>
      <c r="H959" s="2">
        <v>0.54166666666666663</v>
      </c>
      <c r="I959" s="2">
        <v>0.875</v>
      </c>
      <c r="J959" t="s">
        <v>1061</v>
      </c>
      <c r="L959" t="s">
        <v>473</v>
      </c>
      <c r="M959" t="s">
        <v>474</v>
      </c>
      <c r="N959" t="s">
        <v>475</v>
      </c>
      <c r="O959">
        <v>5950662</v>
      </c>
      <c r="Q959" t="s">
        <v>3214</v>
      </c>
      <c r="R959" t="s">
        <v>314</v>
      </c>
      <c r="S959" t="s">
        <v>119</v>
      </c>
      <c r="T959" t="s">
        <v>414</v>
      </c>
      <c r="U959">
        <v>892222</v>
      </c>
      <c r="V959" s="3">
        <v>46079.396527777775</v>
      </c>
      <c r="W959" t="s">
        <v>477</v>
      </c>
      <c r="X959" t="s">
        <v>478</v>
      </c>
      <c r="Y959" t="str">
        <f>"0449808311"</f>
        <v>0449808311</v>
      </c>
      <c r="Z959" t="s">
        <v>70</v>
      </c>
      <c r="AB959" t="s">
        <v>2408</v>
      </c>
      <c r="AD959" t="s">
        <v>306</v>
      </c>
      <c r="AE959" t="s">
        <v>2409</v>
      </c>
      <c r="AF959">
        <v>3149</v>
      </c>
      <c r="AI959" t="s">
        <v>59</v>
      </c>
      <c r="AL959" t="s">
        <v>1068</v>
      </c>
      <c r="AM959" t="s">
        <v>3215</v>
      </c>
      <c r="AN959" s="3">
        <v>46079.449305555558</v>
      </c>
      <c r="AO959" t="s">
        <v>314</v>
      </c>
    </row>
    <row r="960" spans="1:41" x14ac:dyDescent="0.3">
      <c r="A960" t="s">
        <v>168</v>
      </c>
      <c r="B960" t="s">
        <v>1205</v>
      </c>
      <c r="C960" t="s">
        <v>216</v>
      </c>
      <c r="D960" t="s">
        <v>127</v>
      </c>
      <c r="E960" s="1">
        <v>46079</v>
      </c>
      <c r="F960" t="s">
        <v>621</v>
      </c>
      <c r="G960" t="s">
        <v>128</v>
      </c>
      <c r="H960" s="2">
        <v>0.54236111111111107</v>
      </c>
      <c r="I960" s="2">
        <v>0.79166666666666663</v>
      </c>
      <c r="J960" t="s">
        <v>101</v>
      </c>
      <c r="L960" t="s">
        <v>159</v>
      </c>
      <c r="M960" t="s">
        <v>720</v>
      </c>
      <c r="N960" t="s">
        <v>3216</v>
      </c>
      <c r="O960">
        <v>5951914</v>
      </c>
      <c r="Q960" t="s">
        <v>1208</v>
      </c>
      <c r="R960" t="s">
        <v>231</v>
      </c>
      <c r="S960" t="s">
        <v>52</v>
      </c>
      <c r="U960">
        <v>891919</v>
      </c>
      <c r="V960" s="3">
        <v>46077.497916666667</v>
      </c>
      <c r="W960" t="s">
        <v>3217</v>
      </c>
      <c r="X960" t="s">
        <v>3218</v>
      </c>
      <c r="Y960" t="str">
        <f>"0413290000"</f>
        <v>0413290000</v>
      </c>
      <c r="Z960" t="s">
        <v>70</v>
      </c>
      <c r="AB960" t="s">
        <v>1211</v>
      </c>
      <c r="AD960" t="s">
        <v>168</v>
      </c>
      <c r="AE960" t="s">
        <v>1212</v>
      </c>
      <c r="AF960">
        <v>5045</v>
      </c>
      <c r="AG960" t="s">
        <v>1208</v>
      </c>
      <c r="AI960" t="s">
        <v>59</v>
      </c>
      <c r="AL960" t="s">
        <v>3219</v>
      </c>
      <c r="AN960" s="3">
        <v>46079.79583333333</v>
      </c>
      <c r="AO960" t="s">
        <v>3217</v>
      </c>
    </row>
    <row r="961" spans="1:41" x14ac:dyDescent="0.3">
      <c r="A961" t="s">
        <v>168</v>
      </c>
      <c r="B961" t="s">
        <v>441</v>
      </c>
      <c r="C961" t="s">
        <v>43</v>
      </c>
      <c r="E961" s="1">
        <v>46079</v>
      </c>
      <c r="F961" t="s">
        <v>621</v>
      </c>
      <c r="G961" t="s">
        <v>128</v>
      </c>
      <c r="H961" s="2">
        <v>0.5625</v>
      </c>
      <c r="I961" s="2">
        <v>0.85416666666666663</v>
      </c>
      <c r="J961" t="s">
        <v>185</v>
      </c>
      <c r="K961" t="s">
        <v>678</v>
      </c>
      <c r="L961" t="s">
        <v>186</v>
      </c>
      <c r="M961" t="s">
        <v>1143</v>
      </c>
      <c r="N961" t="s">
        <v>1144</v>
      </c>
      <c r="O961">
        <v>5951229</v>
      </c>
      <c r="Q961" t="s">
        <v>944</v>
      </c>
      <c r="R961" t="s">
        <v>556</v>
      </c>
      <c r="S961" t="s">
        <v>52</v>
      </c>
      <c r="U961">
        <v>891912</v>
      </c>
      <c r="V961" s="3">
        <v>46051.092361111114</v>
      </c>
      <c r="W961" t="s">
        <v>1146</v>
      </c>
      <c r="X961" t="s">
        <v>1147</v>
      </c>
      <c r="Y961" t="str">
        <f>"0405315721"</f>
        <v>0405315721</v>
      </c>
      <c r="Z961" t="s">
        <v>70</v>
      </c>
      <c r="AB961" t="s">
        <v>448</v>
      </c>
      <c r="AD961" t="s">
        <v>168</v>
      </c>
      <c r="AE961" t="s">
        <v>180</v>
      </c>
      <c r="AF961">
        <v>5063</v>
      </c>
      <c r="AG961" t="s">
        <v>944</v>
      </c>
      <c r="AI961" t="s">
        <v>59</v>
      </c>
      <c r="AL961" t="s">
        <v>2570</v>
      </c>
      <c r="AN961" s="3">
        <v>46079.772916666669</v>
      </c>
      <c r="AO961" t="s">
        <v>1146</v>
      </c>
    </row>
    <row r="962" spans="1:41" x14ac:dyDescent="0.3">
      <c r="A962" t="s">
        <v>61</v>
      </c>
      <c r="B962" t="s">
        <v>1937</v>
      </c>
      <c r="C962" t="s">
        <v>100</v>
      </c>
      <c r="D962" t="s">
        <v>184</v>
      </c>
      <c r="E962" s="1">
        <v>46079</v>
      </c>
      <c r="F962" t="s">
        <v>621</v>
      </c>
      <c r="G962" t="s">
        <v>128</v>
      </c>
      <c r="H962" s="2">
        <v>0.5625</v>
      </c>
      <c r="I962" s="2">
        <v>0.91666666666666663</v>
      </c>
      <c r="J962" t="s">
        <v>100</v>
      </c>
      <c r="L962" t="s">
        <v>100</v>
      </c>
      <c r="M962" t="s">
        <v>1938</v>
      </c>
      <c r="N962" t="s">
        <v>1939</v>
      </c>
      <c r="O962">
        <v>5951653</v>
      </c>
      <c r="Q962" t="s">
        <v>2242</v>
      </c>
      <c r="R962" t="s">
        <v>132</v>
      </c>
      <c r="S962" t="s">
        <v>52</v>
      </c>
      <c r="U962">
        <v>891965</v>
      </c>
      <c r="V962" s="3">
        <v>46064.501388888886</v>
      </c>
      <c r="W962" t="s">
        <v>1940</v>
      </c>
      <c r="X962" t="s">
        <v>1941</v>
      </c>
      <c r="Y962" t="str">
        <f>"0422928911"</f>
        <v>0422928911</v>
      </c>
      <c r="Z962" t="s">
        <v>1935</v>
      </c>
      <c r="AB962" t="s">
        <v>1942</v>
      </c>
      <c r="AD962" t="s">
        <v>61</v>
      </c>
      <c r="AE962" t="s">
        <v>1943</v>
      </c>
      <c r="AF962">
        <v>2065</v>
      </c>
      <c r="AG962" t="s">
        <v>2391</v>
      </c>
      <c r="AI962" t="s">
        <v>59</v>
      </c>
      <c r="AL962" t="s">
        <v>3129</v>
      </c>
      <c r="AN962" s="3">
        <v>46079.931250000001</v>
      </c>
      <c r="AO962" t="s">
        <v>1940</v>
      </c>
    </row>
    <row r="963" spans="1:41" x14ac:dyDescent="0.3">
      <c r="A963" t="s">
        <v>41</v>
      </c>
      <c r="B963" t="s">
        <v>1219</v>
      </c>
      <c r="C963" t="s">
        <v>43</v>
      </c>
      <c r="D963" t="s">
        <v>184</v>
      </c>
      <c r="E963" s="1">
        <v>46079</v>
      </c>
      <c r="F963" t="s">
        <v>621</v>
      </c>
      <c r="G963" t="s">
        <v>128</v>
      </c>
      <c r="H963" s="2">
        <v>0.5625</v>
      </c>
      <c r="I963" s="2">
        <v>0.91666666666666663</v>
      </c>
      <c r="J963" t="s">
        <v>46</v>
      </c>
      <c r="L963" t="s">
        <v>47</v>
      </c>
      <c r="M963" t="s">
        <v>1220</v>
      </c>
      <c r="N963" t="s">
        <v>1221</v>
      </c>
      <c r="O963">
        <v>5950857</v>
      </c>
      <c r="Q963" t="s">
        <v>1222</v>
      </c>
      <c r="R963" t="s">
        <v>723</v>
      </c>
      <c r="S963" t="s">
        <v>52</v>
      </c>
      <c r="U963">
        <v>891959</v>
      </c>
      <c r="V963" s="3">
        <v>46065.433333333334</v>
      </c>
      <c r="W963" t="s">
        <v>1223</v>
      </c>
      <c r="X963" t="s">
        <v>1224</v>
      </c>
      <c r="Y963" t="str">
        <f>"0431426020"</f>
        <v>0431426020</v>
      </c>
      <c r="Z963" t="s">
        <v>1399</v>
      </c>
      <c r="AB963" t="s">
        <v>1226</v>
      </c>
      <c r="AD963" t="s">
        <v>41</v>
      </c>
      <c r="AE963" t="s">
        <v>1227</v>
      </c>
      <c r="AF963">
        <v>4217</v>
      </c>
      <c r="AG963" t="s">
        <v>1222</v>
      </c>
      <c r="AI963" t="s">
        <v>59</v>
      </c>
      <c r="AN963" s="3">
        <v>46079.87222222222</v>
      </c>
      <c r="AO963" t="s">
        <v>1223</v>
      </c>
    </row>
    <row r="964" spans="1:41" x14ac:dyDescent="0.3">
      <c r="A964" t="s">
        <v>168</v>
      </c>
      <c r="B964" t="s">
        <v>1958</v>
      </c>
      <c r="C964" t="s">
        <v>202</v>
      </c>
      <c r="D964" t="s">
        <v>309</v>
      </c>
      <c r="E964" s="1">
        <v>46079</v>
      </c>
      <c r="F964" t="s">
        <v>621</v>
      </c>
      <c r="G964" t="s">
        <v>128</v>
      </c>
      <c r="H964" s="2">
        <v>0.58333333333333337</v>
      </c>
      <c r="I964" s="2">
        <v>0.91666666666666663</v>
      </c>
      <c r="J964" t="s">
        <v>1837</v>
      </c>
      <c r="L964" t="s">
        <v>3220</v>
      </c>
      <c r="M964" t="s">
        <v>78</v>
      </c>
      <c r="N964" t="s">
        <v>3221</v>
      </c>
      <c r="O964">
        <v>5952474</v>
      </c>
      <c r="Q964" t="s">
        <v>413</v>
      </c>
      <c r="R964" t="s">
        <v>231</v>
      </c>
      <c r="S964" t="s">
        <v>119</v>
      </c>
      <c r="T964" t="s">
        <v>414</v>
      </c>
      <c r="U964">
        <v>892180</v>
      </c>
      <c r="V964" s="3">
        <v>46078.510416666664</v>
      </c>
      <c r="W964" t="s">
        <v>3222</v>
      </c>
      <c r="X964" t="s">
        <v>3223</v>
      </c>
      <c r="Y964" t="str">
        <f>"0498234621"</f>
        <v>0498234621</v>
      </c>
      <c r="Z964" t="s">
        <v>70</v>
      </c>
      <c r="AB964" t="s">
        <v>1961</v>
      </c>
      <c r="AD964" t="s">
        <v>168</v>
      </c>
      <c r="AE964" t="s">
        <v>856</v>
      </c>
      <c r="AF964">
        <v>5112</v>
      </c>
      <c r="AI964" t="s">
        <v>59</v>
      </c>
      <c r="AL964" t="s">
        <v>3224</v>
      </c>
      <c r="AM964" t="s">
        <v>3225</v>
      </c>
      <c r="AN964" s="3">
        <v>46078.674305555556</v>
      </c>
      <c r="AO964" t="s">
        <v>176</v>
      </c>
    </row>
    <row r="965" spans="1:41" x14ac:dyDescent="0.3">
      <c r="A965" t="s">
        <v>41</v>
      </c>
      <c r="B965" t="s">
        <v>1284</v>
      </c>
      <c r="C965" t="s">
        <v>296</v>
      </c>
      <c r="D965" t="s">
        <v>1286</v>
      </c>
      <c r="E965" s="1">
        <v>46079</v>
      </c>
      <c r="F965" t="s">
        <v>621</v>
      </c>
      <c r="G965" t="s">
        <v>128</v>
      </c>
      <c r="H965" s="2">
        <v>0.58333333333333337</v>
      </c>
      <c r="I965" s="2">
        <v>0.9375</v>
      </c>
      <c r="J965" t="s">
        <v>296</v>
      </c>
      <c r="L965" t="s">
        <v>1453</v>
      </c>
      <c r="M965" t="s">
        <v>3226</v>
      </c>
      <c r="N965" t="s">
        <v>518</v>
      </c>
      <c r="O965">
        <v>5952424</v>
      </c>
      <c r="Q965" t="s">
        <v>2098</v>
      </c>
      <c r="R965" t="s">
        <v>51</v>
      </c>
      <c r="S965" t="s">
        <v>52</v>
      </c>
      <c r="U965">
        <v>891969</v>
      </c>
      <c r="V965" s="3">
        <v>46070.45208333333</v>
      </c>
      <c r="W965" t="s">
        <v>3227</v>
      </c>
      <c r="X965" t="s">
        <v>3228</v>
      </c>
      <c r="Y965" t="str">
        <f>"0426367609"</f>
        <v>0426367609</v>
      </c>
      <c r="Z965" t="s">
        <v>3229</v>
      </c>
      <c r="AB965" t="s">
        <v>1288</v>
      </c>
      <c r="AD965" t="s">
        <v>41</v>
      </c>
      <c r="AE965" t="s">
        <v>150</v>
      </c>
      <c r="AF965">
        <v>4000</v>
      </c>
      <c r="AG965" t="s">
        <v>2098</v>
      </c>
      <c r="AI965" t="s">
        <v>59</v>
      </c>
      <c r="AL965" t="s">
        <v>1407</v>
      </c>
      <c r="AN965" s="3">
        <v>46079.984027777777</v>
      </c>
      <c r="AO965" t="s">
        <v>3227</v>
      </c>
    </row>
    <row r="966" spans="1:41" x14ac:dyDescent="0.3">
      <c r="A966" t="s">
        <v>168</v>
      </c>
      <c r="B966" t="s">
        <v>282</v>
      </c>
      <c r="C966" t="s">
        <v>170</v>
      </c>
      <c r="D966" t="s">
        <v>283</v>
      </c>
      <c r="E966" s="1">
        <v>46079</v>
      </c>
      <c r="F966" t="s">
        <v>621</v>
      </c>
      <c r="G966" t="s">
        <v>128</v>
      </c>
      <c r="H966" s="2">
        <v>0.58333333333333337</v>
      </c>
      <c r="I966" s="2">
        <v>0.79166666666666663</v>
      </c>
      <c r="J966" t="s">
        <v>170</v>
      </c>
      <c r="K966" t="s">
        <v>77</v>
      </c>
      <c r="L966" t="s">
        <v>47</v>
      </c>
      <c r="M966" t="s">
        <v>1089</v>
      </c>
      <c r="N966" t="s">
        <v>1024</v>
      </c>
      <c r="O966">
        <v>20963</v>
      </c>
      <c r="Q966" t="s">
        <v>287</v>
      </c>
      <c r="R966" t="s">
        <v>231</v>
      </c>
      <c r="S966" t="s">
        <v>52</v>
      </c>
      <c r="U966">
        <v>891911</v>
      </c>
      <c r="V966" s="3">
        <v>46077.53402777778</v>
      </c>
      <c r="W966" t="s">
        <v>1091</v>
      </c>
      <c r="X966" t="s">
        <v>1092</v>
      </c>
      <c r="Y966" t="str">
        <f>"0430222501"</f>
        <v>0430222501</v>
      </c>
      <c r="Z966" t="s">
        <v>2595</v>
      </c>
      <c r="AA966" s="1">
        <v>46079</v>
      </c>
      <c r="AB966" t="s">
        <v>291</v>
      </c>
      <c r="AC966" t="s">
        <v>292</v>
      </c>
      <c r="AD966" t="s">
        <v>168</v>
      </c>
      <c r="AE966" t="s">
        <v>293</v>
      </c>
      <c r="AF966">
        <v>5037</v>
      </c>
      <c r="AG966" t="s">
        <v>287</v>
      </c>
      <c r="AI966" t="s">
        <v>59</v>
      </c>
      <c r="AL966" t="s">
        <v>3230</v>
      </c>
      <c r="AN966" s="3">
        <v>46079.770138888889</v>
      </c>
      <c r="AO966" t="s">
        <v>1091</v>
      </c>
    </row>
    <row r="967" spans="1:41" x14ac:dyDescent="0.3">
      <c r="A967" t="s">
        <v>168</v>
      </c>
      <c r="B967" t="s">
        <v>400</v>
      </c>
      <c r="C967" t="s">
        <v>100</v>
      </c>
      <c r="D967" t="s">
        <v>401</v>
      </c>
      <c r="E967" s="1">
        <v>46079</v>
      </c>
      <c r="F967" t="s">
        <v>621</v>
      </c>
      <c r="G967" t="s">
        <v>128</v>
      </c>
      <c r="H967" s="2">
        <v>0.58333333333333337</v>
      </c>
      <c r="I967" s="2">
        <v>0.91666666666666663</v>
      </c>
      <c r="J967" t="s">
        <v>100</v>
      </c>
      <c r="L967" t="s">
        <v>100</v>
      </c>
      <c r="M967" t="s">
        <v>402</v>
      </c>
      <c r="N967" t="s">
        <v>403</v>
      </c>
      <c r="O967">
        <v>21398</v>
      </c>
      <c r="Q967" t="s">
        <v>3069</v>
      </c>
      <c r="R967" t="s">
        <v>176</v>
      </c>
      <c r="S967" t="s">
        <v>52</v>
      </c>
      <c r="U967">
        <v>891966</v>
      </c>
      <c r="V967" s="3">
        <v>46079.445833333331</v>
      </c>
      <c r="W967" t="s">
        <v>405</v>
      </c>
      <c r="X967" t="s">
        <v>406</v>
      </c>
      <c r="Y967" t="str">
        <f>"0423877972"</f>
        <v>0423877972</v>
      </c>
      <c r="Z967" t="s">
        <v>70</v>
      </c>
      <c r="AA967" s="1">
        <v>46079</v>
      </c>
      <c r="AB967" t="s">
        <v>407</v>
      </c>
      <c r="AD967" t="s">
        <v>168</v>
      </c>
      <c r="AE967" t="s">
        <v>347</v>
      </c>
      <c r="AF967">
        <v>5042</v>
      </c>
      <c r="AG967" t="s">
        <v>3070</v>
      </c>
      <c r="AI967" t="s">
        <v>59</v>
      </c>
      <c r="AL967" t="s">
        <v>3231</v>
      </c>
      <c r="AN967" s="3">
        <v>46079.933333333334</v>
      </c>
      <c r="AO967" t="s">
        <v>405</v>
      </c>
    </row>
    <row r="968" spans="1:41" x14ac:dyDescent="0.3">
      <c r="A968" t="s">
        <v>168</v>
      </c>
      <c r="B968" t="s">
        <v>400</v>
      </c>
      <c r="C968" t="s">
        <v>100</v>
      </c>
      <c r="D968" t="s">
        <v>401</v>
      </c>
      <c r="E968" s="1">
        <v>46079</v>
      </c>
      <c r="F968" t="s">
        <v>621</v>
      </c>
      <c r="G968" t="s">
        <v>128</v>
      </c>
      <c r="H968" s="2">
        <v>0.58333333333333337</v>
      </c>
      <c r="I968" s="2">
        <v>0.91666666666666663</v>
      </c>
      <c r="J968" t="s">
        <v>100</v>
      </c>
      <c r="L968" t="s">
        <v>100</v>
      </c>
      <c r="M968" t="s">
        <v>411</v>
      </c>
      <c r="N968" t="s">
        <v>412</v>
      </c>
      <c r="O968">
        <v>228</v>
      </c>
      <c r="Q968" t="s">
        <v>3069</v>
      </c>
      <c r="R968" t="s">
        <v>176</v>
      </c>
      <c r="S968" t="s">
        <v>52</v>
      </c>
      <c r="U968">
        <v>891967</v>
      </c>
      <c r="V968" s="3">
        <v>46078.541666666664</v>
      </c>
      <c r="W968" t="s">
        <v>415</v>
      </c>
      <c r="X968" t="s">
        <v>416</v>
      </c>
      <c r="Y968" t="str">
        <f>"0414869673"</f>
        <v>0414869673</v>
      </c>
      <c r="Z968" t="s">
        <v>366</v>
      </c>
      <c r="AB968" t="s">
        <v>407</v>
      </c>
      <c r="AD968" t="s">
        <v>168</v>
      </c>
      <c r="AE968" t="s">
        <v>347</v>
      </c>
      <c r="AF968">
        <v>5042</v>
      </c>
      <c r="AG968" t="s">
        <v>3070</v>
      </c>
      <c r="AI968" t="s">
        <v>59</v>
      </c>
      <c r="AL968" t="s">
        <v>3071</v>
      </c>
      <c r="AN968" s="3">
        <v>46079.934027777781</v>
      </c>
      <c r="AO968" t="s">
        <v>415</v>
      </c>
    </row>
    <row r="969" spans="1:41" x14ac:dyDescent="0.3">
      <c r="A969" t="s">
        <v>168</v>
      </c>
      <c r="B969" t="s">
        <v>282</v>
      </c>
      <c r="C969" t="s">
        <v>170</v>
      </c>
      <c r="D969" t="s">
        <v>283</v>
      </c>
      <c r="E969" s="1">
        <v>46079</v>
      </c>
      <c r="F969" t="s">
        <v>621</v>
      </c>
      <c r="G969" t="s">
        <v>128</v>
      </c>
      <c r="H969" s="2">
        <v>0.60416666666666663</v>
      </c>
      <c r="I969" s="2">
        <v>0.8125</v>
      </c>
      <c r="J969" t="s">
        <v>170</v>
      </c>
      <c r="K969" t="s">
        <v>203</v>
      </c>
      <c r="L969" t="s">
        <v>204</v>
      </c>
      <c r="M969" t="s">
        <v>1876</v>
      </c>
      <c r="N969" t="s">
        <v>1877</v>
      </c>
      <c r="O969">
        <v>22978</v>
      </c>
      <c r="Q969" t="s">
        <v>287</v>
      </c>
      <c r="R969" t="s">
        <v>231</v>
      </c>
      <c r="S969" t="s">
        <v>52</v>
      </c>
      <c r="U969">
        <v>891915</v>
      </c>
      <c r="V969" s="3">
        <v>46077.53402777778</v>
      </c>
      <c r="W969" t="s">
        <v>1878</v>
      </c>
      <c r="X969" t="s">
        <v>1879</v>
      </c>
      <c r="Y969" t="str">
        <f>"0401845401"</f>
        <v>0401845401</v>
      </c>
      <c r="Z969" t="s">
        <v>980</v>
      </c>
      <c r="AA969" s="1">
        <v>46079</v>
      </c>
      <c r="AB969" t="s">
        <v>291</v>
      </c>
      <c r="AC969" t="s">
        <v>292</v>
      </c>
      <c r="AD969" t="s">
        <v>168</v>
      </c>
      <c r="AE969" t="s">
        <v>293</v>
      </c>
      <c r="AF969">
        <v>5037</v>
      </c>
      <c r="AG969" t="s">
        <v>287</v>
      </c>
      <c r="AI969" t="s">
        <v>59</v>
      </c>
      <c r="AL969" t="s">
        <v>3232</v>
      </c>
      <c r="AN969" s="3">
        <v>46079.784722222219</v>
      </c>
      <c r="AO969" t="s">
        <v>1878</v>
      </c>
    </row>
    <row r="970" spans="1:41" x14ac:dyDescent="0.3">
      <c r="A970" t="s">
        <v>61</v>
      </c>
      <c r="B970" t="s">
        <v>1462</v>
      </c>
      <c r="C970" t="s">
        <v>484</v>
      </c>
      <c r="D970" t="s">
        <v>90</v>
      </c>
      <c r="E970" s="1">
        <v>46079</v>
      </c>
      <c r="F970" t="s">
        <v>621</v>
      </c>
      <c r="G970" t="s">
        <v>128</v>
      </c>
      <c r="H970" s="2">
        <v>0.60416666666666663</v>
      </c>
      <c r="I970" s="2">
        <v>0.91666666666666663</v>
      </c>
      <c r="J970" t="s">
        <v>486</v>
      </c>
      <c r="L970" t="s">
        <v>487</v>
      </c>
      <c r="M970" t="s">
        <v>1463</v>
      </c>
      <c r="N970" t="s">
        <v>1464</v>
      </c>
      <c r="O970">
        <v>22756</v>
      </c>
      <c r="Q970" t="s">
        <v>2875</v>
      </c>
      <c r="R970" t="s">
        <v>67</v>
      </c>
      <c r="S970" t="s">
        <v>52</v>
      </c>
      <c r="U970">
        <v>891964</v>
      </c>
      <c r="V970" s="3">
        <v>46079.479861111111</v>
      </c>
      <c r="W970" t="s">
        <v>1466</v>
      </c>
      <c r="X970" t="s">
        <v>1467</v>
      </c>
      <c r="Y970" t="str">
        <f>"0416856891"</f>
        <v>0416856891</v>
      </c>
      <c r="Z970" t="s">
        <v>550</v>
      </c>
      <c r="AB970" t="s">
        <v>1468</v>
      </c>
      <c r="AD970" t="s">
        <v>61</v>
      </c>
      <c r="AE970" t="s">
        <v>1469</v>
      </c>
      <c r="AF970">
        <v>2060</v>
      </c>
      <c r="AG970" t="s">
        <v>2875</v>
      </c>
      <c r="AI970" t="s">
        <v>59</v>
      </c>
      <c r="AN970" s="3">
        <v>46079.922222222223</v>
      </c>
      <c r="AO970" t="s">
        <v>1466</v>
      </c>
    </row>
    <row r="971" spans="1:41" x14ac:dyDescent="0.3">
      <c r="A971" t="s">
        <v>41</v>
      </c>
      <c r="B971" t="s">
        <v>2102</v>
      </c>
      <c r="C971" t="s">
        <v>3233</v>
      </c>
      <c r="D971" t="s">
        <v>1286</v>
      </c>
      <c r="E971" s="1">
        <v>46079</v>
      </c>
      <c r="F971" t="s">
        <v>621</v>
      </c>
      <c r="G971" t="s">
        <v>128</v>
      </c>
      <c r="H971" s="2">
        <v>0.60416666666666663</v>
      </c>
      <c r="I971" s="2">
        <v>0.95833333333333337</v>
      </c>
      <c r="J971" t="s">
        <v>463</v>
      </c>
      <c r="L971" t="s">
        <v>464</v>
      </c>
      <c r="M971" t="s">
        <v>465</v>
      </c>
      <c r="N971" t="s">
        <v>466</v>
      </c>
      <c r="O971">
        <v>401722</v>
      </c>
      <c r="Q971" t="s">
        <v>1245</v>
      </c>
      <c r="R971" t="s">
        <v>723</v>
      </c>
      <c r="S971" t="s">
        <v>52</v>
      </c>
      <c r="U971">
        <v>891970</v>
      </c>
      <c r="V971" s="3">
        <v>46079.37777777778</v>
      </c>
      <c r="W971" t="s">
        <v>468</v>
      </c>
      <c r="X971" t="s">
        <v>469</v>
      </c>
      <c r="Y971" t="str">
        <f>"0423030872"</f>
        <v>0423030872</v>
      </c>
      <c r="Z971" t="s">
        <v>70</v>
      </c>
      <c r="AA971" s="1">
        <v>46079</v>
      </c>
      <c r="AB971" t="s">
        <v>2107</v>
      </c>
      <c r="AD971" t="s">
        <v>41</v>
      </c>
      <c r="AE971" t="s">
        <v>2108</v>
      </c>
      <c r="AF971">
        <v>4066</v>
      </c>
      <c r="AG971" t="s">
        <v>98</v>
      </c>
      <c r="AI971" t="s">
        <v>59</v>
      </c>
      <c r="AL971" t="s">
        <v>2726</v>
      </c>
      <c r="AN971" s="3">
        <v>46079.997916666667</v>
      </c>
      <c r="AO971" t="s">
        <v>468</v>
      </c>
    </row>
    <row r="972" spans="1:41" x14ac:dyDescent="0.3">
      <c r="A972" t="s">
        <v>61</v>
      </c>
      <c r="B972" t="s">
        <v>62</v>
      </c>
      <c r="C972" t="s">
        <v>296</v>
      </c>
      <c r="D972" t="s">
        <v>63</v>
      </c>
      <c r="E972" s="1">
        <v>46079</v>
      </c>
      <c r="F972" t="s">
        <v>621</v>
      </c>
      <c r="G972" t="s">
        <v>128</v>
      </c>
      <c r="H972" s="2">
        <v>0.60416666666666663</v>
      </c>
      <c r="I972" s="2">
        <v>0.91666666666666663</v>
      </c>
      <c r="J972" t="s">
        <v>296</v>
      </c>
      <c r="L972" t="s">
        <v>298</v>
      </c>
      <c r="M972" t="s">
        <v>3234</v>
      </c>
      <c r="N972" t="s">
        <v>3235</v>
      </c>
      <c r="O972">
        <v>22273</v>
      </c>
      <c r="Q972" t="s">
        <v>1904</v>
      </c>
      <c r="R972" t="s">
        <v>500</v>
      </c>
      <c r="S972" t="s">
        <v>52</v>
      </c>
      <c r="U972">
        <v>891957</v>
      </c>
      <c r="V972" s="3">
        <v>46078.777777777781</v>
      </c>
      <c r="W972" t="s">
        <v>3236</v>
      </c>
      <c r="X972" t="s">
        <v>3237</v>
      </c>
      <c r="Y972" t="str">
        <f>"0412535472"</f>
        <v>0412535472</v>
      </c>
      <c r="Z972" t="s">
        <v>70</v>
      </c>
      <c r="AA972" s="1">
        <v>46079</v>
      </c>
      <c r="AB972" t="s">
        <v>71</v>
      </c>
      <c r="AD972" t="s">
        <v>61</v>
      </c>
      <c r="AE972" t="s">
        <v>72</v>
      </c>
      <c r="AF972">
        <v>2747</v>
      </c>
      <c r="AG972" t="s">
        <v>1904</v>
      </c>
      <c r="AI972" t="s">
        <v>59</v>
      </c>
      <c r="AL972" t="s">
        <v>3238</v>
      </c>
      <c r="AN972" s="3">
        <v>46079.867361111108</v>
      </c>
      <c r="AO972" t="s">
        <v>3236</v>
      </c>
    </row>
    <row r="973" spans="1:41" x14ac:dyDescent="0.3">
      <c r="A973" t="s">
        <v>41</v>
      </c>
      <c r="B973" t="s">
        <v>551</v>
      </c>
      <c r="C973" t="s">
        <v>296</v>
      </c>
      <c r="D973" t="s">
        <v>246</v>
      </c>
      <c r="E973" s="1">
        <v>46079</v>
      </c>
      <c r="F973" t="s">
        <v>621</v>
      </c>
      <c r="G973" t="s">
        <v>128</v>
      </c>
      <c r="H973" s="2">
        <v>0.625</v>
      </c>
      <c r="I973" s="2">
        <v>0.95833333333333337</v>
      </c>
      <c r="J973" t="s">
        <v>296</v>
      </c>
      <c r="K973" t="s">
        <v>427</v>
      </c>
      <c r="L973" t="s">
        <v>428</v>
      </c>
      <c r="M973" t="s">
        <v>429</v>
      </c>
      <c r="N973" t="s">
        <v>430</v>
      </c>
      <c r="O973">
        <v>5950727</v>
      </c>
      <c r="Q973" t="s">
        <v>2597</v>
      </c>
      <c r="R973" t="s">
        <v>51</v>
      </c>
      <c r="S973" t="s">
        <v>52</v>
      </c>
      <c r="U973">
        <v>891988</v>
      </c>
      <c r="V973" s="3">
        <v>46079.513888888891</v>
      </c>
      <c r="W973" t="s">
        <v>432</v>
      </c>
      <c r="X973" t="s">
        <v>433</v>
      </c>
      <c r="Y973" t="str">
        <f>"0420946792"</f>
        <v>0420946792</v>
      </c>
      <c r="Z973" t="s">
        <v>70</v>
      </c>
      <c r="AA973" s="1">
        <v>46079</v>
      </c>
      <c r="AB973" t="s">
        <v>559</v>
      </c>
      <c r="AD973" t="s">
        <v>41</v>
      </c>
      <c r="AE973" t="s">
        <v>560</v>
      </c>
      <c r="AF973">
        <v>4131</v>
      </c>
      <c r="AG973" t="s">
        <v>2597</v>
      </c>
      <c r="AI973" t="s">
        <v>59</v>
      </c>
      <c r="AL973" t="s">
        <v>87</v>
      </c>
      <c r="AN973" s="3">
        <v>46080.001388888886</v>
      </c>
      <c r="AO973" t="s">
        <v>432</v>
      </c>
    </row>
    <row r="974" spans="1:41" x14ac:dyDescent="0.3">
      <c r="A974" t="s">
        <v>75</v>
      </c>
      <c r="B974" t="s">
        <v>1971</v>
      </c>
      <c r="C974" t="s">
        <v>1972</v>
      </c>
      <c r="D974" t="s">
        <v>1971</v>
      </c>
      <c r="E974" s="1">
        <v>46079</v>
      </c>
      <c r="F974" t="s">
        <v>621</v>
      </c>
      <c r="G974" t="s">
        <v>128</v>
      </c>
      <c r="H974" s="2">
        <v>0.625</v>
      </c>
      <c r="I974" s="2">
        <v>0.79166666666666663</v>
      </c>
      <c r="J974" t="s">
        <v>112</v>
      </c>
      <c r="K974" t="s">
        <v>1973</v>
      </c>
      <c r="L974" t="s">
        <v>114</v>
      </c>
      <c r="M974" t="s">
        <v>1974</v>
      </c>
      <c r="N974" t="s">
        <v>1975</v>
      </c>
      <c r="O974">
        <v>22383</v>
      </c>
      <c r="Q974" t="s">
        <v>1976</v>
      </c>
      <c r="R974" t="s">
        <v>118</v>
      </c>
      <c r="S974" t="s">
        <v>52</v>
      </c>
      <c r="U974">
        <v>891955</v>
      </c>
      <c r="V974" s="3">
        <v>46076.525694444441</v>
      </c>
      <c r="W974" t="s">
        <v>1977</v>
      </c>
      <c r="X974" t="s">
        <v>1978</v>
      </c>
      <c r="Y974" t="str">
        <f>"0405795510"</f>
        <v>0405795510</v>
      </c>
      <c r="Z974" t="s">
        <v>55</v>
      </c>
      <c r="AA974" s="1">
        <v>46079</v>
      </c>
      <c r="AB974" t="s">
        <v>1979</v>
      </c>
      <c r="AD974" t="s">
        <v>75</v>
      </c>
      <c r="AE974" t="s">
        <v>125</v>
      </c>
      <c r="AF974">
        <v>6017</v>
      </c>
      <c r="AG974" t="s">
        <v>1976</v>
      </c>
      <c r="AI974" t="s">
        <v>59</v>
      </c>
      <c r="AN974" s="3">
        <v>46079.85</v>
      </c>
      <c r="AO974" t="s">
        <v>1977</v>
      </c>
    </row>
    <row r="975" spans="1:41" x14ac:dyDescent="0.3">
      <c r="A975" t="s">
        <v>168</v>
      </c>
      <c r="B975" t="s">
        <v>441</v>
      </c>
      <c r="C975" t="s">
        <v>100</v>
      </c>
      <c r="E975" s="1">
        <v>46079</v>
      </c>
      <c r="F975" t="s">
        <v>621</v>
      </c>
      <c r="G975" t="s">
        <v>128</v>
      </c>
      <c r="H975" s="2">
        <v>0.625</v>
      </c>
      <c r="I975" s="2">
        <v>0.83333333333333337</v>
      </c>
      <c r="J975" t="s">
        <v>100</v>
      </c>
      <c r="L975" t="s">
        <v>100</v>
      </c>
      <c r="M975" t="s">
        <v>975</v>
      </c>
      <c r="N975" t="s">
        <v>976</v>
      </c>
      <c r="O975">
        <v>5950948</v>
      </c>
      <c r="Q975" t="s">
        <v>981</v>
      </c>
      <c r="R975" t="s">
        <v>176</v>
      </c>
      <c r="S975" t="s">
        <v>52</v>
      </c>
      <c r="U975">
        <v>891935</v>
      </c>
      <c r="V975" s="3">
        <v>46056.505555555559</v>
      </c>
      <c r="W975" t="s">
        <v>978</v>
      </c>
      <c r="X975" t="s">
        <v>979</v>
      </c>
      <c r="Y975" t="str">
        <f>"0451011613"</f>
        <v>0451011613</v>
      </c>
      <c r="Z975" t="s">
        <v>375</v>
      </c>
      <c r="AA975" s="1">
        <v>46079</v>
      </c>
      <c r="AB975" t="s">
        <v>448</v>
      </c>
      <c r="AD975" t="s">
        <v>168</v>
      </c>
      <c r="AE975" t="s">
        <v>180</v>
      </c>
      <c r="AF975">
        <v>5063</v>
      </c>
      <c r="AG975" t="s">
        <v>981</v>
      </c>
      <c r="AI975" t="s">
        <v>59</v>
      </c>
      <c r="AL975" t="s">
        <v>3239</v>
      </c>
      <c r="AN975" s="3">
        <v>46079.830555555556</v>
      </c>
      <c r="AO975" t="s">
        <v>978</v>
      </c>
    </row>
    <row r="976" spans="1:41" x14ac:dyDescent="0.3">
      <c r="A976" t="s">
        <v>61</v>
      </c>
      <c r="B976" t="s">
        <v>1271</v>
      </c>
      <c r="C976" t="s">
        <v>1272</v>
      </c>
      <c r="D976" t="s">
        <v>184</v>
      </c>
      <c r="E976" s="1">
        <v>46079</v>
      </c>
      <c r="F976" t="s">
        <v>621</v>
      </c>
      <c r="G976" t="s">
        <v>128</v>
      </c>
      <c r="H976" s="2">
        <v>0.625</v>
      </c>
      <c r="I976" s="2">
        <v>0.97916666666666663</v>
      </c>
      <c r="J976" t="s">
        <v>486</v>
      </c>
      <c r="L976" t="s">
        <v>487</v>
      </c>
      <c r="M976" t="s">
        <v>1490</v>
      </c>
      <c r="N976" t="s">
        <v>1491</v>
      </c>
      <c r="O976">
        <v>21218</v>
      </c>
      <c r="Q976" t="s">
        <v>1190</v>
      </c>
      <c r="R976" t="s">
        <v>67</v>
      </c>
      <c r="S976" t="s">
        <v>52</v>
      </c>
      <c r="U976">
        <v>892018</v>
      </c>
      <c r="V976" s="3">
        <v>46069.588888888888</v>
      </c>
      <c r="W976" t="s">
        <v>1493</v>
      </c>
      <c r="X976" t="s">
        <v>1494</v>
      </c>
      <c r="Y976" t="str">
        <f>"0401746606"</f>
        <v>0401746606</v>
      </c>
      <c r="Z976" t="s">
        <v>70</v>
      </c>
      <c r="AB976" t="s">
        <v>1278</v>
      </c>
      <c r="AD976" t="s">
        <v>61</v>
      </c>
      <c r="AE976" t="s">
        <v>1279</v>
      </c>
      <c r="AF976">
        <v>2145</v>
      </c>
      <c r="AG976" t="s">
        <v>1190</v>
      </c>
      <c r="AI976" t="s">
        <v>59</v>
      </c>
      <c r="AL976" t="s">
        <v>3129</v>
      </c>
      <c r="AN976" s="3">
        <v>46080.625694444447</v>
      </c>
      <c r="AO976" t="s">
        <v>1493</v>
      </c>
    </row>
    <row r="977" spans="1:41" x14ac:dyDescent="0.3">
      <c r="A977" t="s">
        <v>306</v>
      </c>
      <c r="B977" t="s">
        <v>1060</v>
      </c>
      <c r="C977" t="s">
        <v>100</v>
      </c>
      <c r="D977" t="s">
        <v>184</v>
      </c>
      <c r="E977" s="1">
        <v>46079</v>
      </c>
      <c r="F977" t="s">
        <v>621</v>
      </c>
      <c r="G977" t="s">
        <v>485</v>
      </c>
      <c r="H977" s="2">
        <v>0.625</v>
      </c>
      <c r="I977" s="2">
        <v>4.1666666666666664E-2</v>
      </c>
      <c r="J977" t="s">
        <v>1061</v>
      </c>
      <c r="L977" t="s">
        <v>452</v>
      </c>
      <c r="M977" t="s">
        <v>1980</v>
      </c>
      <c r="N977" t="s">
        <v>1981</v>
      </c>
      <c r="O977">
        <v>21297</v>
      </c>
      <c r="Q977" t="s">
        <v>3214</v>
      </c>
      <c r="R977" t="s">
        <v>314</v>
      </c>
      <c r="S977" t="s">
        <v>119</v>
      </c>
      <c r="T977" t="s">
        <v>414</v>
      </c>
      <c r="U977">
        <v>892224</v>
      </c>
      <c r="V977" s="3">
        <v>46078.600694444445</v>
      </c>
      <c r="W977" t="s">
        <v>1983</v>
      </c>
      <c r="X977" t="s">
        <v>1984</v>
      </c>
      <c r="Y977" t="str">
        <f>"0434131195"</f>
        <v>0434131195</v>
      </c>
      <c r="Z977" t="s">
        <v>70</v>
      </c>
      <c r="AB977" t="s">
        <v>1066</v>
      </c>
      <c r="AD977" t="s">
        <v>306</v>
      </c>
      <c r="AE977" t="s">
        <v>1067</v>
      </c>
      <c r="AF977">
        <v>3084</v>
      </c>
      <c r="AI977" t="s">
        <v>59</v>
      </c>
      <c r="AL977" t="s">
        <v>1068</v>
      </c>
      <c r="AM977" t="s">
        <v>3240</v>
      </c>
      <c r="AN977" s="3">
        <v>46078.602083333331</v>
      </c>
      <c r="AO977" t="s">
        <v>314</v>
      </c>
    </row>
    <row r="978" spans="1:41" x14ac:dyDescent="0.3">
      <c r="A978" t="s">
        <v>61</v>
      </c>
      <c r="B978" t="s">
        <v>158</v>
      </c>
      <c r="C978" t="s">
        <v>43</v>
      </c>
      <c r="D978" t="s">
        <v>127</v>
      </c>
      <c r="E978" s="1">
        <v>46079</v>
      </c>
      <c r="F978" t="s">
        <v>621</v>
      </c>
      <c r="G978" t="s">
        <v>128</v>
      </c>
      <c r="H978" s="2">
        <v>0.66666666666666663</v>
      </c>
      <c r="I978" s="2">
        <v>0.99861111111111112</v>
      </c>
      <c r="J978" t="s">
        <v>185</v>
      </c>
      <c r="L978" t="s">
        <v>186</v>
      </c>
      <c r="M978" t="s">
        <v>1291</v>
      </c>
      <c r="N978" t="s">
        <v>1292</v>
      </c>
      <c r="O978">
        <v>5952161</v>
      </c>
      <c r="Q978" t="s">
        <v>162</v>
      </c>
      <c r="R978" t="s">
        <v>132</v>
      </c>
      <c r="S978" t="s">
        <v>52</v>
      </c>
      <c r="U978">
        <v>891914</v>
      </c>
      <c r="V978" s="3">
        <v>46078.552777777775</v>
      </c>
      <c r="W978" t="s">
        <v>1293</v>
      </c>
      <c r="X978" t="s">
        <v>1294</v>
      </c>
      <c r="Y978" t="str">
        <f>"0403798895"</f>
        <v>0403798895</v>
      </c>
      <c r="Z978" t="s">
        <v>70</v>
      </c>
      <c r="AA978" s="1">
        <v>46079</v>
      </c>
      <c r="AB978" t="s">
        <v>166</v>
      </c>
      <c r="AD978" t="s">
        <v>61</v>
      </c>
      <c r="AE978" t="s">
        <v>167</v>
      </c>
      <c r="AF978">
        <v>2011</v>
      </c>
      <c r="AG978" t="s">
        <v>162</v>
      </c>
      <c r="AI978" t="s">
        <v>59</v>
      </c>
      <c r="AL978" t="s">
        <v>3241</v>
      </c>
      <c r="AN978" s="3">
        <v>46079.783333333333</v>
      </c>
      <c r="AO978" t="s">
        <v>1293</v>
      </c>
    </row>
    <row r="979" spans="1:41" x14ac:dyDescent="0.3">
      <c r="A979" t="s">
        <v>61</v>
      </c>
      <c r="B979" t="s">
        <v>507</v>
      </c>
      <c r="C979" t="s">
        <v>2889</v>
      </c>
      <c r="D979" t="s">
        <v>63</v>
      </c>
      <c r="E979" s="1">
        <v>46079</v>
      </c>
      <c r="F979" t="s">
        <v>621</v>
      </c>
      <c r="G979" t="s">
        <v>485</v>
      </c>
      <c r="H979" s="2">
        <v>0.79166666666666663</v>
      </c>
      <c r="I979" s="2">
        <v>0.3125</v>
      </c>
      <c r="J979" t="s">
        <v>269</v>
      </c>
      <c r="L979" t="s">
        <v>1169</v>
      </c>
      <c r="M979" t="s">
        <v>2921</v>
      </c>
      <c r="N979" t="s">
        <v>2922</v>
      </c>
      <c r="O979">
        <v>5952135</v>
      </c>
      <c r="Q979" t="s">
        <v>3242</v>
      </c>
      <c r="R979" t="s">
        <v>556</v>
      </c>
      <c r="S979" t="s">
        <v>52</v>
      </c>
      <c r="U979">
        <v>891994</v>
      </c>
      <c r="V979" s="3">
        <v>46063.818749999999</v>
      </c>
      <c r="W979" t="s">
        <v>2923</v>
      </c>
      <c r="X979" t="s">
        <v>2924</v>
      </c>
      <c r="Y979" t="str">
        <f>"0413222098"</f>
        <v>0413222098</v>
      </c>
      <c r="Z979" t="s">
        <v>70</v>
      </c>
      <c r="AA979" s="1">
        <v>46079</v>
      </c>
      <c r="AB979" t="s">
        <v>514</v>
      </c>
      <c r="AD979" t="s">
        <v>61</v>
      </c>
      <c r="AE979" t="s">
        <v>515</v>
      </c>
      <c r="AF979">
        <v>2086</v>
      </c>
      <c r="AG979" t="s">
        <v>2895</v>
      </c>
      <c r="AI979" t="s">
        <v>59</v>
      </c>
      <c r="AL979" t="s">
        <v>3129</v>
      </c>
      <c r="AN979" s="3">
        <v>46080.24722222222</v>
      </c>
      <c r="AO979" t="s">
        <v>2923</v>
      </c>
    </row>
    <row r="980" spans="1:41" x14ac:dyDescent="0.3">
      <c r="A980" t="s">
        <v>61</v>
      </c>
      <c r="B980" t="s">
        <v>3103</v>
      </c>
      <c r="C980" t="s">
        <v>3104</v>
      </c>
      <c r="D980" t="s">
        <v>127</v>
      </c>
      <c r="E980" s="1">
        <v>46079</v>
      </c>
      <c r="F980" t="s">
        <v>621</v>
      </c>
      <c r="G980" t="s">
        <v>485</v>
      </c>
      <c r="H980" s="2">
        <v>0.79166666666666663</v>
      </c>
      <c r="I980" s="2">
        <v>0.3125</v>
      </c>
      <c r="J980" t="s">
        <v>296</v>
      </c>
      <c r="L980" t="s">
        <v>464</v>
      </c>
      <c r="M980" t="s">
        <v>2431</v>
      </c>
      <c r="N980" t="s">
        <v>2432</v>
      </c>
      <c r="O980">
        <v>21966</v>
      </c>
      <c r="Q980" t="s">
        <v>3243</v>
      </c>
      <c r="R980" t="s">
        <v>67</v>
      </c>
      <c r="S980" t="s">
        <v>52</v>
      </c>
      <c r="U980">
        <v>891995</v>
      </c>
      <c r="V980" s="3">
        <v>46079.615972222222</v>
      </c>
      <c r="W980" t="s">
        <v>2433</v>
      </c>
      <c r="X980" t="s">
        <v>2434</v>
      </c>
      <c r="Y980" t="str">
        <f>"0498795565"</f>
        <v>0498795565</v>
      </c>
      <c r="Z980" t="s">
        <v>70</v>
      </c>
      <c r="AA980" s="1">
        <v>46079</v>
      </c>
      <c r="AB980" t="s">
        <v>3106</v>
      </c>
      <c r="AD980" t="s">
        <v>61</v>
      </c>
      <c r="AE980" t="s">
        <v>3107</v>
      </c>
      <c r="AF980">
        <v>2050</v>
      </c>
      <c r="AG980" t="s">
        <v>3243</v>
      </c>
      <c r="AI980" t="s">
        <v>59</v>
      </c>
      <c r="AL980" t="s">
        <v>87</v>
      </c>
      <c r="AN980" s="3">
        <v>46080.284722222219</v>
      </c>
      <c r="AO980" t="s">
        <v>2433</v>
      </c>
    </row>
    <row r="981" spans="1:41" x14ac:dyDescent="0.3">
      <c r="A981" t="s">
        <v>61</v>
      </c>
      <c r="B981" t="s">
        <v>3103</v>
      </c>
      <c r="C981" t="s">
        <v>3244</v>
      </c>
      <c r="D981" t="s">
        <v>127</v>
      </c>
      <c r="E981" s="1">
        <v>46079</v>
      </c>
      <c r="F981" t="s">
        <v>621</v>
      </c>
      <c r="G981" t="s">
        <v>485</v>
      </c>
      <c r="H981" s="2">
        <v>0.79166666666666663</v>
      </c>
      <c r="I981" s="2">
        <v>0.3125</v>
      </c>
      <c r="J981" t="s">
        <v>296</v>
      </c>
      <c r="L981" t="s">
        <v>298</v>
      </c>
      <c r="M981" t="s">
        <v>1179</v>
      </c>
      <c r="N981" t="s">
        <v>3245</v>
      </c>
      <c r="O981">
        <v>5952266</v>
      </c>
      <c r="Q981" t="s">
        <v>3105</v>
      </c>
      <c r="R981" t="s">
        <v>67</v>
      </c>
      <c r="S981" t="s">
        <v>52</v>
      </c>
      <c r="U981">
        <v>892223</v>
      </c>
      <c r="V981" s="3">
        <v>46078.443055555559</v>
      </c>
      <c r="W981" t="s">
        <v>3246</v>
      </c>
      <c r="X981" t="s">
        <v>3247</v>
      </c>
      <c r="Y981" t="str">
        <f>"0433344085"</f>
        <v>0433344085</v>
      </c>
      <c r="Z981" t="s">
        <v>1375</v>
      </c>
      <c r="AB981" t="s">
        <v>3106</v>
      </c>
      <c r="AD981" t="s">
        <v>61</v>
      </c>
      <c r="AE981" t="s">
        <v>3107</v>
      </c>
      <c r="AF981">
        <v>2050</v>
      </c>
      <c r="AG981" t="s">
        <v>3105</v>
      </c>
      <c r="AI981" t="s">
        <v>59</v>
      </c>
      <c r="AL981" t="s">
        <v>370</v>
      </c>
      <c r="AN981" s="3">
        <v>46083.477777777778</v>
      </c>
      <c r="AO981" t="s">
        <v>3246</v>
      </c>
    </row>
    <row r="982" spans="1:41" x14ac:dyDescent="0.3">
      <c r="A982" t="s">
        <v>61</v>
      </c>
      <c r="B982" t="s">
        <v>1271</v>
      </c>
      <c r="C982" t="s">
        <v>1272</v>
      </c>
      <c r="D982" t="s">
        <v>184</v>
      </c>
      <c r="E982" s="1">
        <v>46079</v>
      </c>
      <c r="F982" t="s">
        <v>621</v>
      </c>
      <c r="G982" t="s">
        <v>485</v>
      </c>
      <c r="H982" s="2">
        <v>0.79166666666666663</v>
      </c>
      <c r="I982" s="2">
        <v>0.3125</v>
      </c>
      <c r="J982" t="s">
        <v>389</v>
      </c>
      <c r="L982" t="s">
        <v>487</v>
      </c>
      <c r="M982" t="s">
        <v>2064</v>
      </c>
      <c r="N982" t="s">
        <v>2065</v>
      </c>
      <c r="O982">
        <v>5952410</v>
      </c>
      <c r="Q982" t="s">
        <v>1045</v>
      </c>
      <c r="R982" t="s">
        <v>132</v>
      </c>
      <c r="S982" t="s">
        <v>52</v>
      </c>
      <c r="U982">
        <v>891998</v>
      </c>
      <c r="V982" s="3">
        <v>46057.565972222219</v>
      </c>
      <c r="W982" t="s">
        <v>2067</v>
      </c>
      <c r="X982" t="s">
        <v>2068</v>
      </c>
      <c r="Y982" t="str">
        <f>"0410100247"</f>
        <v>0410100247</v>
      </c>
      <c r="Z982" t="s">
        <v>3248</v>
      </c>
      <c r="AB982" t="s">
        <v>1278</v>
      </c>
      <c r="AD982" t="s">
        <v>61</v>
      </c>
      <c r="AE982" t="s">
        <v>1279</v>
      </c>
      <c r="AF982">
        <v>2145</v>
      </c>
      <c r="AI982" t="s">
        <v>59</v>
      </c>
      <c r="AL982" t="s">
        <v>3249</v>
      </c>
      <c r="AN982" s="3">
        <v>46080.302777777775</v>
      </c>
      <c r="AO982" t="s">
        <v>2067</v>
      </c>
    </row>
    <row r="983" spans="1:41" x14ac:dyDescent="0.3">
      <c r="A983" t="s">
        <v>306</v>
      </c>
      <c r="B983" t="s">
        <v>1060</v>
      </c>
      <c r="C983" t="s">
        <v>3250</v>
      </c>
      <c r="D983" t="s">
        <v>184</v>
      </c>
      <c r="E983" s="1">
        <v>46079</v>
      </c>
      <c r="F983" t="s">
        <v>621</v>
      </c>
      <c r="G983" t="s">
        <v>485</v>
      </c>
      <c r="H983" s="2">
        <v>0.79166666666666663</v>
      </c>
      <c r="I983" s="2">
        <v>0.3125</v>
      </c>
      <c r="J983" t="s">
        <v>529</v>
      </c>
      <c r="K983" t="s">
        <v>530</v>
      </c>
      <c r="L983" t="s">
        <v>531</v>
      </c>
      <c r="M983" t="s">
        <v>532</v>
      </c>
      <c r="N983" t="s">
        <v>533</v>
      </c>
      <c r="O983">
        <v>20495</v>
      </c>
      <c r="Q983" t="s">
        <v>413</v>
      </c>
      <c r="R983" t="s">
        <v>476</v>
      </c>
      <c r="S983" t="s">
        <v>52</v>
      </c>
      <c r="U983">
        <v>891997</v>
      </c>
      <c r="V983" s="3">
        <v>46079.584027777775</v>
      </c>
      <c r="W983" t="s">
        <v>535</v>
      </c>
      <c r="X983" t="s">
        <v>536</v>
      </c>
      <c r="Y983" t="str">
        <f>"0447625522"</f>
        <v>0447625522</v>
      </c>
      <c r="Z983" t="s">
        <v>70</v>
      </c>
      <c r="AA983" s="1">
        <v>46079</v>
      </c>
      <c r="AB983" t="s">
        <v>1066</v>
      </c>
      <c r="AD983" t="s">
        <v>306</v>
      </c>
      <c r="AE983" t="s">
        <v>1067</v>
      </c>
      <c r="AF983">
        <v>3084</v>
      </c>
      <c r="AI983" t="s">
        <v>59</v>
      </c>
      <c r="AL983" t="s">
        <v>3251</v>
      </c>
      <c r="AM983" t="s">
        <v>3252</v>
      </c>
      <c r="AN983" s="3">
        <v>46080.287499999999</v>
      </c>
      <c r="AO983" t="s">
        <v>535</v>
      </c>
    </row>
    <row r="984" spans="1:41" x14ac:dyDescent="0.3">
      <c r="A984" t="s">
        <v>75</v>
      </c>
      <c r="B984" t="s">
        <v>1972</v>
      </c>
      <c r="C984" t="s">
        <v>529</v>
      </c>
      <c r="D984" t="s">
        <v>700</v>
      </c>
      <c r="E984" s="1">
        <v>46079</v>
      </c>
      <c r="F984" t="s">
        <v>621</v>
      </c>
      <c r="G984" t="s">
        <v>485</v>
      </c>
      <c r="H984" s="2">
        <v>0.875</v>
      </c>
      <c r="I984" s="2">
        <v>0.3125</v>
      </c>
      <c r="J984" t="s">
        <v>529</v>
      </c>
      <c r="L984" t="s">
        <v>735</v>
      </c>
      <c r="M984" t="s">
        <v>3253</v>
      </c>
      <c r="N984" t="s">
        <v>454</v>
      </c>
      <c r="O984">
        <v>5952206</v>
      </c>
      <c r="Q984" t="s">
        <v>3254</v>
      </c>
      <c r="R984" t="s">
        <v>926</v>
      </c>
      <c r="S984" t="s">
        <v>52</v>
      </c>
      <c r="U984">
        <v>892007</v>
      </c>
      <c r="V984" s="3">
        <v>46079.712500000001</v>
      </c>
      <c r="W984" t="s">
        <v>3255</v>
      </c>
      <c r="X984" t="s">
        <v>3256</v>
      </c>
      <c r="Y984" t="str">
        <f>"0473640863"</f>
        <v>0473640863</v>
      </c>
      <c r="Z984" t="s">
        <v>70</v>
      </c>
      <c r="AB984" t="s">
        <v>811</v>
      </c>
      <c r="AC984" t="s">
        <v>1992</v>
      </c>
      <c r="AD984" t="s">
        <v>75</v>
      </c>
      <c r="AE984" t="s">
        <v>1993</v>
      </c>
      <c r="AF984">
        <v>6008</v>
      </c>
      <c r="AG984" t="s">
        <v>949</v>
      </c>
      <c r="AI984" t="s">
        <v>59</v>
      </c>
      <c r="AL984" t="s">
        <v>87</v>
      </c>
      <c r="AN984" s="3">
        <v>46080.482638888891</v>
      </c>
      <c r="AO984" t="s">
        <v>3255</v>
      </c>
    </row>
    <row r="985" spans="1:41" x14ac:dyDescent="0.3">
      <c r="A985" t="s">
        <v>61</v>
      </c>
      <c r="B985" t="s">
        <v>1271</v>
      </c>
      <c r="C985" t="s">
        <v>1272</v>
      </c>
      <c r="D985" t="s">
        <v>184</v>
      </c>
      <c r="E985" s="1">
        <v>46057</v>
      </c>
      <c r="F985" t="s">
        <v>44</v>
      </c>
      <c r="G985" t="s">
        <v>45</v>
      </c>
      <c r="H985" s="2">
        <v>0.29166666666666669</v>
      </c>
      <c r="I985" s="2">
        <v>0.64583333333333337</v>
      </c>
      <c r="J985" t="s">
        <v>486</v>
      </c>
      <c r="L985" t="s">
        <v>487</v>
      </c>
      <c r="M985" t="s">
        <v>2323</v>
      </c>
      <c r="N985" t="s">
        <v>2913</v>
      </c>
      <c r="O985">
        <v>5952343</v>
      </c>
      <c r="Q985" t="s">
        <v>1190</v>
      </c>
      <c r="R985" t="s">
        <v>145</v>
      </c>
      <c r="S985" t="s">
        <v>52</v>
      </c>
      <c r="U985">
        <v>889826</v>
      </c>
      <c r="V985" s="3">
        <v>46055.040972222225</v>
      </c>
      <c r="W985" t="s">
        <v>2915</v>
      </c>
      <c r="X985" t="s">
        <v>2916</v>
      </c>
      <c r="Y985" t="str">
        <f>"0416096368"</f>
        <v>0416096368</v>
      </c>
      <c r="Z985" t="s">
        <v>70</v>
      </c>
      <c r="AA985" s="1">
        <v>46057</v>
      </c>
      <c r="AB985" t="s">
        <v>1278</v>
      </c>
      <c r="AD985" t="s">
        <v>61</v>
      </c>
      <c r="AE985" t="s">
        <v>1279</v>
      </c>
      <c r="AF985">
        <v>2145</v>
      </c>
      <c r="AG985" t="s">
        <v>3257</v>
      </c>
      <c r="AI985" t="s">
        <v>59</v>
      </c>
      <c r="AL985" t="s">
        <v>3258</v>
      </c>
      <c r="AN985" s="3">
        <v>46062.701388888891</v>
      </c>
      <c r="AO985" t="s">
        <v>2915</v>
      </c>
    </row>
    <row r="986" spans="1:41" x14ac:dyDescent="0.3">
      <c r="A986" t="s">
        <v>61</v>
      </c>
      <c r="B986" t="s">
        <v>182</v>
      </c>
      <c r="C986" t="s">
        <v>183</v>
      </c>
      <c r="D986" t="s">
        <v>184</v>
      </c>
      <c r="E986" s="1">
        <v>46057</v>
      </c>
      <c r="F986" t="s">
        <v>44</v>
      </c>
      <c r="G986" t="s">
        <v>45</v>
      </c>
      <c r="H986" s="2">
        <v>0.29166666666666669</v>
      </c>
      <c r="I986" s="2">
        <v>0.99861111111111112</v>
      </c>
      <c r="J986" t="s">
        <v>185</v>
      </c>
      <c r="L986" t="s">
        <v>790</v>
      </c>
      <c r="M986" t="s">
        <v>791</v>
      </c>
      <c r="N986" t="s">
        <v>792</v>
      </c>
      <c r="O986">
        <v>5952334</v>
      </c>
      <c r="Q986" t="s">
        <v>189</v>
      </c>
      <c r="R986" t="s">
        <v>132</v>
      </c>
      <c r="S986" t="s">
        <v>52</v>
      </c>
      <c r="U986">
        <v>889338</v>
      </c>
      <c r="V986" s="3">
        <v>46051.450694444444</v>
      </c>
      <c r="W986" t="s">
        <v>793</v>
      </c>
      <c r="X986" t="s">
        <v>794</v>
      </c>
      <c r="Y986" t="str">
        <f>"0422273393"</f>
        <v>0422273393</v>
      </c>
      <c r="Z986" t="s">
        <v>324</v>
      </c>
      <c r="AB986" t="s">
        <v>193</v>
      </c>
      <c r="AD986" t="s">
        <v>61</v>
      </c>
      <c r="AE986" t="s">
        <v>194</v>
      </c>
      <c r="AF986">
        <v>2229</v>
      </c>
      <c r="AG986" t="s">
        <v>189</v>
      </c>
      <c r="AI986" t="s">
        <v>59</v>
      </c>
      <c r="AL986" t="s">
        <v>3259</v>
      </c>
      <c r="AN986" s="3">
        <v>46057.737500000003</v>
      </c>
      <c r="AO986" t="s">
        <v>793</v>
      </c>
    </row>
    <row r="987" spans="1:41" x14ac:dyDescent="0.3">
      <c r="A987" t="s">
        <v>168</v>
      </c>
      <c r="B987" t="s">
        <v>376</v>
      </c>
      <c r="C987" t="s">
        <v>43</v>
      </c>
      <c r="D987" t="s">
        <v>127</v>
      </c>
      <c r="E987" s="1">
        <v>46057</v>
      </c>
      <c r="F987" t="s">
        <v>44</v>
      </c>
      <c r="G987" t="s">
        <v>45</v>
      </c>
      <c r="H987" s="2">
        <v>0.29166666666666669</v>
      </c>
      <c r="I987" s="2">
        <v>0.625</v>
      </c>
      <c r="J987" t="s">
        <v>185</v>
      </c>
      <c r="L987" t="s">
        <v>186</v>
      </c>
      <c r="M987" t="s">
        <v>2691</v>
      </c>
      <c r="N987" t="s">
        <v>2691</v>
      </c>
      <c r="O987">
        <v>22687</v>
      </c>
      <c r="Q987" t="s">
        <v>670</v>
      </c>
      <c r="R987" t="s">
        <v>231</v>
      </c>
      <c r="S987" t="s">
        <v>52</v>
      </c>
      <c r="U987">
        <v>889308</v>
      </c>
      <c r="V987" s="3">
        <v>46008.594444444447</v>
      </c>
      <c r="W987" t="s">
        <v>2692</v>
      </c>
      <c r="X987" t="s">
        <v>2693</v>
      </c>
      <c r="Y987" t="str">
        <f>"0433922671"</f>
        <v>0433922671</v>
      </c>
      <c r="Z987" t="s">
        <v>2531</v>
      </c>
      <c r="AB987" t="s">
        <v>383</v>
      </c>
      <c r="AD987" t="s">
        <v>168</v>
      </c>
      <c r="AE987" t="s">
        <v>384</v>
      </c>
      <c r="AF987">
        <v>5000</v>
      </c>
      <c r="AG987" t="s">
        <v>674</v>
      </c>
      <c r="AI987" t="s">
        <v>59</v>
      </c>
      <c r="AL987" t="s">
        <v>385</v>
      </c>
      <c r="AN987" s="3">
        <v>46057.522916666669</v>
      </c>
      <c r="AO987" t="s">
        <v>2692</v>
      </c>
    </row>
    <row r="988" spans="1:41" x14ac:dyDescent="0.3">
      <c r="A988" t="s">
        <v>61</v>
      </c>
      <c r="B988" t="s">
        <v>1271</v>
      </c>
      <c r="C988" t="s">
        <v>1272</v>
      </c>
      <c r="D988" t="s">
        <v>184</v>
      </c>
      <c r="E988" s="1">
        <v>46057</v>
      </c>
      <c r="F988" t="s">
        <v>44</v>
      </c>
      <c r="G988" t="s">
        <v>45</v>
      </c>
      <c r="H988" s="2">
        <v>0.29166666666666669</v>
      </c>
      <c r="I988" s="2">
        <v>0.8125</v>
      </c>
      <c r="J988" t="s">
        <v>486</v>
      </c>
      <c r="L988" t="s">
        <v>487</v>
      </c>
      <c r="M988" t="s">
        <v>1490</v>
      </c>
      <c r="N988" t="s">
        <v>1491</v>
      </c>
      <c r="O988">
        <v>21218</v>
      </c>
      <c r="Q988" t="s">
        <v>1190</v>
      </c>
      <c r="R988" t="s">
        <v>67</v>
      </c>
      <c r="S988" t="s">
        <v>52</v>
      </c>
      <c r="U988">
        <v>889350</v>
      </c>
      <c r="V988" s="3">
        <v>46056.359722222223</v>
      </c>
      <c r="W988" t="s">
        <v>1493</v>
      </c>
      <c r="X988" t="s">
        <v>1494</v>
      </c>
      <c r="Y988" t="str">
        <f>"0401746606"</f>
        <v>0401746606</v>
      </c>
      <c r="Z988" t="s">
        <v>123</v>
      </c>
      <c r="AB988" t="s">
        <v>1278</v>
      </c>
      <c r="AD988" t="s">
        <v>61</v>
      </c>
      <c r="AE988" t="s">
        <v>1279</v>
      </c>
      <c r="AF988">
        <v>2145</v>
      </c>
      <c r="AG988" t="s">
        <v>1190</v>
      </c>
      <c r="AI988" t="s">
        <v>59</v>
      </c>
      <c r="AL988" t="s">
        <v>3260</v>
      </c>
      <c r="AN988" s="3">
        <v>46057.8</v>
      </c>
      <c r="AO988" t="s">
        <v>1493</v>
      </c>
    </row>
    <row r="989" spans="1:41" x14ac:dyDescent="0.3">
      <c r="A989" t="s">
        <v>75</v>
      </c>
      <c r="B989" t="s">
        <v>3261</v>
      </c>
      <c r="C989" t="s">
        <v>43</v>
      </c>
      <c r="D989" t="s">
        <v>127</v>
      </c>
      <c r="E989" s="1">
        <v>46057</v>
      </c>
      <c r="F989" t="s">
        <v>44</v>
      </c>
      <c r="G989" t="s">
        <v>45</v>
      </c>
      <c r="H989" s="2">
        <v>0.29166666666666669</v>
      </c>
      <c r="I989" s="2">
        <v>0.54166666666666663</v>
      </c>
      <c r="J989" t="s">
        <v>258</v>
      </c>
      <c r="L989" t="s">
        <v>186</v>
      </c>
      <c r="M989" t="s">
        <v>3262</v>
      </c>
      <c r="N989" t="s">
        <v>3263</v>
      </c>
      <c r="O989">
        <v>22549</v>
      </c>
      <c r="Q989" t="s">
        <v>3264</v>
      </c>
      <c r="R989" t="s">
        <v>926</v>
      </c>
      <c r="S989" t="s">
        <v>52</v>
      </c>
      <c r="U989">
        <v>889317</v>
      </c>
      <c r="V989" s="3">
        <v>46055.456250000003</v>
      </c>
      <c r="W989" t="s">
        <v>3265</v>
      </c>
      <c r="X989" t="s">
        <v>3266</v>
      </c>
      <c r="Y989" t="str">
        <f>"0421979882"</f>
        <v>0421979882</v>
      </c>
      <c r="Z989" t="s">
        <v>70</v>
      </c>
      <c r="AA989" s="1">
        <v>46057</v>
      </c>
      <c r="AB989" t="s">
        <v>3267</v>
      </c>
      <c r="AD989" t="s">
        <v>75</v>
      </c>
      <c r="AE989" t="s">
        <v>1894</v>
      </c>
      <c r="AF989">
        <v>6007</v>
      </c>
      <c r="AG989" t="s">
        <v>3264</v>
      </c>
      <c r="AI989" t="s">
        <v>59</v>
      </c>
      <c r="AL989" t="s">
        <v>3268</v>
      </c>
      <c r="AN989" s="3">
        <v>46057.582638888889</v>
      </c>
      <c r="AO989" t="s">
        <v>3265</v>
      </c>
    </row>
    <row r="990" spans="1:41" x14ac:dyDescent="0.3">
      <c r="A990" t="s">
        <v>168</v>
      </c>
      <c r="B990" t="s">
        <v>376</v>
      </c>
      <c r="C990" t="s">
        <v>43</v>
      </c>
      <c r="D990" t="s">
        <v>127</v>
      </c>
      <c r="E990" s="1">
        <v>46057</v>
      </c>
      <c r="F990" t="s">
        <v>44</v>
      </c>
      <c r="G990" t="s">
        <v>45</v>
      </c>
      <c r="H990" s="2">
        <v>0.29166666666666669</v>
      </c>
      <c r="I990" s="2">
        <v>0.60416666666666663</v>
      </c>
      <c r="J990" t="s">
        <v>101</v>
      </c>
      <c r="L990" t="s">
        <v>159</v>
      </c>
      <c r="M990" t="s">
        <v>228</v>
      </c>
      <c r="N990" t="s">
        <v>229</v>
      </c>
      <c r="O990">
        <v>21017</v>
      </c>
      <c r="Q990" t="s">
        <v>960</v>
      </c>
      <c r="R990" t="s">
        <v>556</v>
      </c>
      <c r="S990" t="s">
        <v>52</v>
      </c>
      <c r="U990">
        <v>889315</v>
      </c>
      <c r="V990" s="3">
        <v>46056.84097222222</v>
      </c>
      <c r="W990" t="s">
        <v>232</v>
      </c>
      <c r="X990" t="s">
        <v>233</v>
      </c>
      <c r="Y990" t="str">
        <f>"0409900497"</f>
        <v>0409900497</v>
      </c>
      <c r="Z990" t="s">
        <v>70</v>
      </c>
      <c r="AA990" s="1">
        <v>46057</v>
      </c>
      <c r="AB990" t="s">
        <v>383</v>
      </c>
      <c r="AD990" t="s">
        <v>168</v>
      </c>
      <c r="AE990" t="s">
        <v>384</v>
      </c>
      <c r="AF990">
        <v>5000</v>
      </c>
      <c r="AG990" t="s">
        <v>674</v>
      </c>
      <c r="AI990" t="s">
        <v>59</v>
      </c>
      <c r="AL990" t="s">
        <v>3269</v>
      </c>
      <c r="AN990" s="3">
        <v>46057.576388888891</v>
      </c>
      <c r="AO990" t="s">
        <v>232</v>
      </c>
    </row>
    <row r="991" spans="1:41" x14ac:dyDescent="0.3">
      <c r="A991" t="s">
        <v>41</v>
      </c>
      <c r="B991" t="s">
        <v>426</v>
      </c>
      <c r="C991" t="s">
        <v>43</v>
      </c>
      <c r="D991" t="s">
        <v>246</v>
      </c>
      <c r="E991" s="1">
        <v>46057</v>
      </c>
      <c r="F991" t="s">
        <v>44</v>
      </c>
      <c r="G991" t="s">
        <v>45</v>
      </c>
      <c r="H991" s="2">
        <v>0.29166666666666669</v>
      </c>
      <c r="I991" s="2">
        <v>0.64583333333333337</v>
      </c>
      <c r="J991" t="s">
        <v>296</v>
      </c>
      <c r="K991" t="s">
        <v>2193</v>
      </c>
      <c r="L991" t="s">
        <v>298</v>
      </c>
      <c r="M991" t="s">
        <v>1401</v>
      </c>
      <c r="N991" t="s">
        <v>1402</v>
      </c>
      <c r="O991">
        <v>5952070</v>
      </c>
      <c r="Q991" t="s">
        <v>2194</v>
      </c>
      <c r="R991" t="s">
        <v>51</v>
      </c>
      <c r="S991" t="s">
        <v>52</v>
      </c>
      <c r="U991">
        <v>889328</v>
      </c>
      <c r="V991" s="3">
        <v>46030.359027777777</v>
      </c>
      <c r="W991" t="s">
        <v>1404</v>
      </c>
      <c r="X991" t="s">
        <v>1405</v>
      </c>
      <c r="Y991" t="str">
        <f>"0474506417"</f>
        <v>0474506417</v>
      </c>
      <c r="Z991" t="s">
        <v>458</v>
      </c>
      <c r="AB991" t="s">
        <v>434</v>
      </c>
      <c r="AD991" t="s">
        <v>41</v>
      </c>
      <c r="AE991" t="s">
        <v>435</v>
      </c>
      <c r="AF991">
        <v>4163</v>
      </c>
      <c r="AG991" t="s">
        <v>2195</v>
      </c>
      <c r="AI991" t="s">
        <v>59</v>
      </c>
      <c r="AL991" t="s">
        <v>249</v>
      </c>
      <c r="AN991" s="3">
        <v>46057.679861111108</v>
      </c>
      <c r="AO991" t="s">
        <v>1404</v>
      </c>
    </row>
    <row r="992" spans="1:41" x14ac:dyDescent="0.3">
      <c r="A992" t="s">
        <v>61</v>
      </c>
      <c r="B992" t="s">
        <v>158</v>
      </c>
      <c r="C992" t="s">
        <v>43</v>
      </c>
      <c r="D992" t="s">
        <v>127</v>
      </c>
      <c r="E992" s="1">
        <v>46057</v>
      </c>
      <c r="F992" t="s">
        <v>44</v>
      </c>
      <c r="G992" t="s">
        <v>45</v>
      </c>
      <c r="H992" s="2">
        <v>0.29166666666666669</v>
      </c>
      <c r="I992" s="2">
        <v>0.99861111111111112</v>
      </c>
      <c r="J992" t="s">
        <v>185</v>
      </c>
      <c r="K992" t="s">
        <v>1290</v>
      </c>
      <c r="L992" t="s">
        <v>186</v>
      </c>
      <c r="M992" t="s">
        <v>239</v>
      </c>
      <c r="N992" t="s">
        <v>240</v>
      </c>
      <c r="O992">
        <v>22527</v>
      </c>
      <c r="Q992" t="s">
        <v>162</v>
      </c>
      <c r="R992" t="s">
        <v>67</v>
      </c>
      <c r="S992" t="s">
        <v>52</v>
      </c>
      <c r="U992">
        <v>889327</v>
      </c>
      <c r="V992" s="3">
        <v>46050.629861111112</v>
      </c>
      <c r="W992" t="s">
        <v>241</v>
      </c>
      <c r="X992" t="s">
        <v>242</v>
      </c>
      <c r="Y992" t="str">
        <f>"0426409124"</f>
        <v>0426409124</v>
      </c>
      <c r="Z992" t="s">
        <v>2707</v>
      </c>
      <c r="AB992" t="s">
        <v>166</v>
      </c>
      <c r="AD992" t="s">
        <v>61</v>
      </c>
      <c r="AE992" t="s">
        <v>167</v>
      </c>
      <c r="AF992">
        <v>2011</v>
      </c>
      <c r="AG992" t="s">
        <v>162</v>
      </c>
      <c r="AI992" t="s">
        <v>59</v>
      </c>
      <c r="AL992" t="s">
        <v>3270</v>
      </c>
      <c r="AN992" s="3">
        <v>46057.673611111109</v>
      </c>
      <c r="AO992" t="s">
        <v>241</v>
      </c>
    </row>
    <row r="993" spans="1:41" x14ac:dyDescent="0.3">
      <c r="A993" t="s">
        <v>61</v>
      </c>
      <c r="B993" t="s">
        <v>655</v>
      </c>
      <c r="C993" t="s">
        <v>43</v>
      </c>
      <c r="D993" t="s">
        <v>656</v>
      </c>
      <c r="E993" s="1">
        <v>46057</v>
      </c>
      <c r="F993" t="s">
        <v>44</v>
      </c>
      <c r="G993" t="s">
        <v>45</v>
      </c>
      <c r="H993" s="2">
        <v>0.30208333333333331</v>
      </c>
      <c r="I993" s="2">
        <v>0.99861111111111112</v>
      </c>
      <c r="J993" t="s">
        <v>101</v>
      </c>
      <c r="L993" t="s">
        <v>47</v>
      </c>
      <c r="M993" t="s">
        <v>785</v>
      </c>
      <c r="N993" t="s">
        <v>905</v>
      </c>
      <c r="O993">
        <v>5950885</v>
      </c>
      <c r="Q993" t="s">
        <v>665</v>
      </c>
      <c r="R993" t="s">
        <v>67</v>
      </c>
      <c r="S993" t="s">
        <v>52</v>
      </c>
      <c r="U993">
        <v>889316</v>
      </c>
      <c r="V993" s="3">
        <v>46042.432638888888</v>
      </c>
      <c r="W993" t="s">
        <v>906</v>
      </c>
      <c r="X993" t="s">
        <v>907</v>
      </c>
      <c r="Y993" t="str">
        <f>"0421650139"</f>
        <v>0421650139</v>
      </c>
      <c r="Z993" t="s">
        <v>3271</v>
      </c>
      <c r="AB993" t="s">
        <v>662</v>
      </c>
      <c r="AC993" t="s">
        <v>663</v>
      </c>
      <c r="AD993" t="s">
        <v>61</v>
      </c>
      <c r="AE993" t="s">
        <v>664</v>
      </c>
      <c r="AF993">
        <v>2067</v>
      </c>
      <c r="AG993" t="s">
        <v>665</v>
      </c>
      <c r="AI993" t="s">
        <v>59</v>
      </c>
      <c r="AL993" t="s">
        <v>3272</v>
      </c>
      <c r="AN993" s="3">
        <v>46057.581250000003</v>
      </c>
      <c r="AO993" t="s">
        <v>906</v>
      </c>
    </row>
    <row r="994" spans="1:41" x14ac:dyDescent="0.3">
      <c r="A994" t="s">
        <v>61</v>
      </c>
      <c r="B994" t="s">
        <v>768</v>
      </c>
      <c r="C994" t="s">
        <v>296</v>
      </c>
      <c r="D994" t="s">
        <v>769</v>
      </c>
      <c r="E994" s="1">
        <v>46057</v>
      </c>
      <c r="F994" t="s">
        <v>44</v>
      </c>
      <c r="G994" t="s">
        <v>45</v>
      </c>
      <c r="H994" s="2">
        <v>0.3125</v>
      </c>
      <c r="I994" s="2">
        <v>0.625</v>
      </c>
      <c r="J994" t="s">
        <v>296</v>
      </c>
      <c r="L994" t="s">
        <v>298</v>
      </c>
      <c r="M994" t="s">
        <v>770</v>
      </c>
      <c r="N994" t="s">
        <v>771</v>
      </c>
      <c r="O994">
        <v>5952291</v>
      </c>
      <c r="Q994" t="s">
        <v>1957</v>
      </c>
      <c r="R994" t="s">
        <v>67</v>
      </c>
      <c r="S994" t="s">
        <v>52</v>
      </c>
      <c r="U994">
        <v>889321</v>
      </c>
      <c r="V994" s="3">
        <v>46050.375</v>
      </c>
      <c r="W994" t="s">
        <v>773</v>
      </c>
      <c r="X994" t="s">
        <v>774</v>
      </c>
      <c r="Y994" t="str">
        <f>"0432174467"</f>
        <v>0432174467</v>
      </c>
      <c r="Z994" t="s">
        <v>2417</v>
      </c>
      <c r="AB994" t="s">
        <v>775</v>
      </c>
      <c r="AD994" t="s">
        <v>61</v>
      </c>
      <c r="AE994" t="s">
        <v>776</v>
      </c>
      <c r="AF994">
        <v>2076</v>
      </c>
      <c r="AG994" t="s">
        <v>1957</v>
      </c>
      <c r="AI994" t="s">
        <v>59</v>
      </c>
      <c r="AL994" t="s">
        <v>2812</v>
      </c>
      <c r="AN994" s="3">
        <v>46057.631249999999</v>
      </c>
      <c r="AO994" t="s">
        <v>773</v>
      </c>
    </row>
    <row r="995" spans="1:41" x14ac:dyDescent="0.3">
      <c r="A995" t="s">
        <v>61</v>
      </c>
      <c r="B995" t="s">
        <v>655</v>
      </c>
      <c r="C995" t="s">
        <v>43</v>
      </c>
      <c r="D995" t="s">
        <v>656</v>
      </c>
      <c r="E995" s="1">
        <v>46057</v>
      </c>
      <c r="F995" t="s">
        <v>44</v>
      </c>
      <c r="G995" t="s">
        <v>45</v>
      </c>
      <c r="H995" s="2">
        <v>0.3125</v>
      </c>
      <c r="I995" s="2">
        <v>0.99861111111111112</v>
      </c>
      <c r="J995" t="s">
        <v>185</v>
      </c>
      <c r="K995" t="s">
        <v>327</v>
      </c>
      <c r="L995" t="s">
        <v>47</v>
      </c>
      <c r="M995" t="s">
        <v>657</v>
      </c>
      <c r="N995" t="s">
        <v>658</v>
      </c>
      <c r="O995">
        <v>22959</v>
      </c>
      <c r="Q995" t="s">
        <v>665</v>
      </c>
      <c r="R995" t="s">
        <v>132</v>
      </c>
      <c r="S995" t="s">
        <v>52</v>
      </c>
      <c r="U995">
        <v>889325</v>
      </c>
      <c r="V995" s="3">
        <v>46028.415277777778</v>
      </c>
      <c r="W995" t="s">
        <v>660</v>
      </c>
      <c r="X995" t="s">
        <v>661</v>
      </c>
      <c r="Y995" t="str">
        <f>"0451533427"</f>
        <v>0451533427</v>
      </c>
      <c r="Z995" t="s">
        <v>3273</v>
      </c>
      <c r="AB995" t="s">
        <v>662</v>
      </c>
      <c r="AC995" t="s">
        <v>663</v>
      </c>
      <c r="AD995" t="s">
        <v>61</v>
      </c>
      <c r="AE995" t="s">
        <v>664</v>
      </c>
      <c r="AF995">
        <v>2067</v>
      </c>
      <c r="AG995" t="s">
        <v>665</v>
      </c>
      <c r="AI995" t="s">
        <v>59</v>
      </c>
      <c r="AL995" t="s">
        <v>2812</v>
      </c>
      <c r="AN995" s="3">
        <v>46057.652777777781</v>
      </c>
      <c r="AO995" t="s">
        <v>660</v>
      </c>
    </row>
    <row r="996" spans="1:41" x14ac:dyDescent="0.3">
      <c r="A996" t="s">
        <v>61</v>
      </c>
      <c r="B996" t="s">
        <v>2766</v>
      </c>
      <c r="C996" t="s">
        <v>43</v>
      </c>
      <c r="D996" t="s">
        <v>283</v>
      </c>
      <c r="E996" s="1">
        <v>46057</v>
      </c>
      <c r="F996" t="s">
        <v>44</v>
      </c>
      <c r="G996" t="s">
        <v>45</v>
      </c>
      <c r="H996" s="2">
        <v>0.3125</v>
      </c>
      <c r="I996" s="2">
        <v>0.70833333333333337</v>
      </c>
      <c r="J996" t="s">
        <v>185</v>
      </c>
      <c r="K996" t="s">
        <v>238</v>
      </c>
      <c r="L996" t="s">
        <v>3274</v>
      </c>
      <c r="M996" t="s">
        <v>3275</v>
      </c>
      <c r="N996" t="s">
        <v>3276</v>
      </c>
      <c r="O996">
        <v>5951652</v>
      </c>
      <c r="P996">
        <v>493659</v>
      </c>
      <c r="Q996" t="s">
        <v>823</v>
      </c>
      <c r="R996" t="s">
        <v>132</v>
      </c>
      <c r="S996" t="s">
        <v>52</v>
      </c>
      <c r="U996">
        <v>889333</v>
      </c>
      <c r="V996" s="3">
        <v>46056.630555555559</v>
      </c>
      <c r="W996" t="s">
        <v>3277</v>
      </c>
      <c r="X996" t="s">
        <v>3278</v>
      </c>
      <c r="Y996" t="str">
        <f>"0416650855"</f>
        <v>0416650855</v>
      </c>
      <c r="Z996" t="s">
        <v>70</v>
      </c>
      <c r="AA996" s="1">
        <v>46057</v>
      </c>
      <c r="AB996" t="s">
        <v>2767</v>
      </c>
      <c r="AD996" t="s">
        <v>61</v>
      </c>
      <c r="AE996" t="s">
        <v>893</v>
      </c>
      <c r="AF996">
        <v>2022</v>
      </c>
      <c r="AG996" t="s">
        <v>823</v>
      </c>
      <c r="AI996" t="s">
        <v>59</v>
      </c>
      <c r="AL996" t="s">
        <v>3279</v>
      </c>
      <c r="AN996" s="3">
        <v>46057.690972222219</v>
      </c>
      <c r="AO996" t="s">
        <v>3277</v>
      </c>
    </row>
    <row r="997" spans="1:41" x14ac:dyDescent="0.3">
      <c r="A997" t="s">
        <v>306</v>
      </c>
      <c r="B997" t="s">
        <v>820</v>
      </c>
      <c r="C997" t="s">
        <v>100</v>
      </c>
      <c r="D997" t="s">
        <v>127</v>
      </c>
      <c r="E997" s="1">
        <v>46057</v>
      </c>
      <c r="F997" t="s">
        <v>44</v>
      </c>
      <c r="G997" t="s">
        <v>45</v>
      </c>
      <c r="H997" s="2">
        <v>0.3125</v>
      </c>
      <c r="I997" s="2">
        <v>0.75</v>
      </c>
      <c r="J997" t="s">
        <v>451</v>
      </c>
      <c r="L997" t="s">
        <v>452</v>
      </c>
      <c r="M997" t="s">
        <v>821</v>
      </c>
      <c r="N997" t="s">
        <v>822</v>
      </c>
      <c r="O997">
        <v>20712</v>
      </c>
      <c r="Q997" t="s">
        <v>823</v>
      </c>
      <c r="R997" t="s">
        <v>476</v>
      </c>
      <c r="S997" t="s">
        <v>52</v>
      </c>
      <c r="U997">
        <v>889339</v>
      </c>
      <c r="V997" s="3">
        <v>46052.490277777775</v>
      </c>
      <c r="W997" t="s">
        <v>824</v>
      </c>
      <c r="X997" t="s">
        <v>825</v>
      </c>
      <c r="Y997" t="str">
        <f>"0439419256"</f>
        <v>0439419256</v>
      </c>
      <c r="Z997" t="s">
        <v>70</v>
      </c>
      <c r="AA997" s="1">
        <v>46057</v>
      </c>
      <c r="AB997" t="s">
        <v>826</v>
      </c>
      <c r="AD997" t="s">
        <v>306</v>
      </c>
      <c r="AE997" t="s">
        <v>827</v>
      </c>
      <c r="AF997">
        <v>3181</v>
      </c>
      <c r="AG997" t="s">
        <v>823</v>
      </c>
      <c r="AI997" t="s">
        <v>59</v>
      </c>
      <c r="AL997" t="s">
        <v>87</v>
      </c>
      <c r="AN997" s="3">
        <v>46057.741666666669</v>
      </c>
      <c r="AO997" t="s">
        <v>824</v>
      </c>
    </row>
    <row r="998" spans="1:41" x14ac:dyDescent="0.3">
      <c r="A998" t="s">
        <v>41</v>
      </c>
      <c r="B998" t="s">
        <v>138</v>
      </c>
      <c r="C998" t="s">
        <v>139</v>
      </c>
      <c r="D998" t="s">
        <v>127</v>
      </c>
      <c r="E998" s="1">
        <v>46057</v>
      </c>
      <c r="F998" t="s">
        <v>44</v>
      </c>
      <c r="G998" t="s">
        <v>45</v>
      </c>
      <c r="H998" s="2">
        <v>0.3125</v>
      </c>
      <c r="I998" s="2">
        <v>0.64583333333333337</v>
      </c>
      <c r="J998" t="s">
        <v>1850</v>
      </c>
      <c r="L998" t="s">
        <v>141</v>
      </c>
      <c r="M998" t="s">
        <v>142</v>
      </c>
      <c r="N998" t="s">
        <v>143</v>
      </c>
      <c r="O998">
        <v>22649</v>
      </c>
      <c r="Q998" t="s">
        <v>3280</v>
      </c>
      <c r="R998" t="s">
        <v>500</v>
      </c>
      <c r="S998" t="s">
        <v>52</v>
      </c>
      <c r="U998">
        <v>889329</v>
      </c>
      <c r="V998" s="3">
        <v>46056.788194444445</v>
      </c>
      <c r="W998" t="s">
        <v>146</v>
      </c>
      <c r="X998" t="s">
        <v>147</v>
      </c>
      <c r="Y998" t="str">
        <f>"0407039143"</f>
        <v>0407039143</v>
      </c>
      <c r="Z998" t="s">
        <v>70</v>
      </c>
      <c r="AA998" s="1">
        <v>46057</v>
      </c>
      <c r="AB998" t="s">
        <v>148</v>
      </c>
      <c r="AC998" t="s">
        <v>149</v>
      </c>
      <c r="AD998" t="s">
        <v>41</v>
      </c>
      <c r="AE998" t="s">
        <v>150</v>
      </c>
      <c r="AF998">
        <v>4000</v>
      </c>
      <c r="AG998" t="s">
        <v>3280</v>
      </c>
      <c r="AI998" t="s">
        <v>59</v>
      </c>
      <c r="AL998" t="s">
        <v>3281</v>
      </c>
      <c r="AN998" s="3">
        <v>46057.685416666667</v>
      </c>
      <c r="AO998" t="s">
        <v>146</v>
      </c>
    </row>
    <row r="999" spans="1:41" x14ac:dyDescent="0.3">
      <c r="A999" t="s">
        <v>75</v>
      </c>
      <c r="B999" t="s">
        <v>804</v>
      </c>
      <c r="C999" t="s">
        <v>43</v>
      </c>
      <c r="D999" t="s">
        <v>700</v>
      </c>
      <c r="E999" s="1">
        <v>46057</v>
      </c>
      <c r="F999" t="s">
        <v>44</v>
      </c>
      <c r="G999" t="s">
        <v>45</v>
      </c>
      <c r="H999" s="2">
        <v>0.3125</v>
      </c>
      <c r="I999" s="2">
        <v>0.75</v>
      </c>
      <c r="J999" t="s">
        <v>101</v>
      </c>
      <c r="L999" t="s">
        <v>967</v>
      </c>
      <c r="M999" t="s">
        <v>2204</v>
      </c>
      <c r="N999" t="s">
        <v>2205</v>
      </c>
      <c r="O999">
        <v>22870</v>
      </c>
      <c r="Q999" t="s">
        <v>3282</v>
      </c>
      <c r="R999" t="s">
        <v>500</v>
      </c>
      <c r="S999" t="s">
        <v>52</v>
      </c>
      <c r="U999">
        <v>889366</v>
      </c>
      <c r="V999" s="3">
        <v>46056.801388888889</v>
      </c>
      <c r="W999" t="s">
        <v>2207</v>
      </c>
      <c r="X999" t="s">
        <v>2208</v>
      </c>
      <c r="Y999" t="str">
        <f>"0417473969"</f>
        <v>0417473969</v>
      </c>
      <c r="Z999" t="s">
        <v>70</v>
      </c>
      <c r="AA999" s="1">
        <v>46057</v>
      </c>
      <c r="AB999" t="s">
        <v>811</v>
      </c>
      <c r="AC999" t="s">
        <v>812</v>
      </c>
      <c r="AD999" t="s">
        <v>75</v>
      </c>
      <c r="AE999" t="s">
        <v>813</v>
      </c>
      <c r="AF999">
        <v>6050</v>
      </c>
      <c r="AG999" t="s">
        <v>499</v>
      </c>
      <c r="AI999" t="s">
        <v>59</v>
      </c>
      <c r="AL999" t="s">
        <v>87</v>
      </c>
      <c r="AN999" s="3">
        <v>46057.863194444442</v>
      </c>
      <c r="AO999" t="s">
        <v>2207</v>
      </c>
    </row>
    <row r="1000" spans="1:41" x14ac:dyDescent="0.3">
      <c r="A1000" t="s">
        <v>61</v>
      </c>
      <c r="B1000" t="s">
        <v>62</v>
      </c>
      <c r="C1000" t="s">
        <v>43</v>
      </c>
      <c r="D1000" t="s">
        <v>63</v>
      </c>
      <c r="E1000" s="1">
        <v>46057</v>
      </c>
      <c r="F1000" t="s">
        <v>44</v>
      </c>
      <c r="G1000" t="s">
        <v>45</v>
      </c>
      <c r="H1000" s="2">
        <v>0.3125</v>
      </c>
      <c r="I1000" s="2">
        <v>0.99861111111111112</v>
      </c>
      <c r="J1000" t="s">
        <v>185</v>
      </c>
      <c r="L1000" t="s">
        <v>784</v>
      </c>
      <c r="M1000" t="s">
        <v>785</v>
      </c>
      <c r="N1000" t="s">
        <v>786</v>
      </c>
      <c r="O1000">
        <v>5951112</v>
      </c>
      <c r="Q1000" t="s">
        <v>66</v>
      </c>
      <c r="R1000" t="s">
        <v>67</v>
      </c>
      <c r="S1000" t="s">
        <v>52</v>
      </c>
      <c r="U1000">
        <v>889346</v>
      </c>
      <c r="V1000" s="3">
        <v>46051.37222222222</v>
      </c>
      <c r="W1000" t="s">
        <v>787</v>
      </c>
      <c r="X1000" t="s">
        <v>788</v>
      </c>
      <c r="Y1000" t="str">
        <f>"0423329386"</f>
        <v>0423329386</v>
      </c>
      <c r="Z1000" t="s">
        <v>70</v>
      </c>
      <c r="AB1000" t="s">
        <v>71</v>
      </c>
      <c r="AD1000" t="s">
        <v>61</v>
      </c>
      <c r="AE1000" t="s">
        <v>72</v>
      </c>
      <c r="AF1000">
        <v>2747</v>
      </c>
      <c r="AG1000" t="s">
        <v>73</v>
      </c>
      <c r="AI1000" t="s">
        <v>59</v>
      </c>
      <c r="AL1000" t="s">
        <v>3283</v>
      </c>
      <c r="AN1000" s="3">
        <v>46057.775694444441</v>
      </c>
      <c r="AO1000" t="s">
        <v>787</v>
      </c>
    </row>
    <row r="1001" spans="1:41" x14ac:dyDescent="0.3">
      <c r="A1001" t="s">
        <v>61</v>
      </c>
      <c r="B1001" t="s">
        <v>62</v>
      </c>
      <c r="C1001" t="s">
        <v>43</v>
      </c>
      <c r="D1001" t="s">
        <v>63</v>
      </c>
      <c r="E1001" s="1">
        <v>46057</v>
      </c>
      <c r="F1001" t="s">
        <v>44</v>
      </c>
      <c r="G1001" t="s">
        <v>45</v>
      </c>
      <c r="H1001" s="2">
        <v>0.3125</v>
      </c>
      <c r="I1001" s="2">
        <v>0.99861111111111112</v>
      </c>
      <c r="J1001" t="s">
        <v>185</v>
      </c>
      <c r="L1001" t="s">
        <v>186</v>
      </c>
      <c r="M1001" t="s">
        <v>1474</v>
      </c>
      <c r="N1001" t="s">
        <v>1475</v>
      </c>
      <c r="O1001">
        <v>22552</v>
      </c>
      <c r="Q1001" t="s">
        <v>66</v>
      </c>
      <c r="R1001" t="s">
        <v>67</v>
      </c>
      <c r="S1001" t="s">
        <v>52</v>
      </c>
      <c r="U1001">
        <v>889360</v>
      </c>
      <c r="V1001" s="3">
        <v>46049.379166666666</v>
      </c>
      <c r="W1001" t="s">
        <v>1476</v>
      </c>
      <c r="X1001" t="s">
        <v>1477</v>
      </c>
      <c r="Y1001" t="str">
        <f>"0421669341"</f>
        <v>0421669341</v>
      </c>
      <c r="Z1001" t="s">
        <v>2486</v>
      </c>
      <c r="AB1001" t="s">
        <v>71</v>
      </c>
      <c r="AD1001" t="s">
        <v>61</v>
      </c>
      <c r="AE1001" t="s">
        <v>72</v>
      </c>
      <c r="AF1001">
        <v>2747</v>
      </c>
      <c r="AG1001" t="s">
        <v>73</v>
      </c>
      <c r="AI1001" t="s">
        <v>59</v>
      </c>
      <c r="AL1001" t="s">
        <v>3284</v>
      </c>
      <c r="AN1001" s="3">
        <v>46057.838888888888</v>
      </c>
      <c r="AO1001" t="s">
        <v>1476</v>
      </c>
    </row>
    <row r="1002" spans="1:41" x14ac:dyDescent="0.3">
      <c r="A1002" t="s">
        <v>75</v>
      </c>
      <c r="B1002" t="s">
        <v>1896</v>
      </c>
      <c r="C1002" t="s">
        <v>43</v>
      </c>
      <c r="D1002" t="s">
        <v>184</v>
      </c>
      <c r="E1002" s="1">
        <v>46057</v>
      </c>
      <c r="F1002" t="s">
        <v>44</v>
      </c>
      <c r="G1002" t="s">
        <v>45</v>
      </c>
      <c r="H1002" s="2">
        <v>0.3125</v>
      </c>
      <c r="I1002" s="2">
        <v>0.5625</v>
      </c>
      <c r="J1002" t="s">
        <v>185</v>
      </c>
      <c r="L1002" t="s">
        <v>186</v>
      </c>
      <c r="M1002" t="s">
        <v>1070</v>
      </c>
      <c r="N1002" t="s">
        <v>1071</v>
      </c>
      <c r="O1002">
        <v>5951604</v>
      </c>
      <c r="Q1002" t="s">
        <v>2303</v>
      </c>
      <c r="R1002" t="s">
        <v>926</v>
      </c>
      <c r="S1002" t="s">
        <v>52</v>
      </c>
      <c r="U1002">
        <v>889322</v>
      </c>
      <c r="V1002" s="3">
        <v>46055.53402777778</v>
      </c>
      <c r="W1002" t="s">
        <v>1072</v>
      </c>
      <c r="X1002" t="s">
        <v>1073</v>
      </c>
      <c r="Y1002" t="str">
        <f>"0410139992"</f>
        <v>0410139992</v>
      </c>
      <c r="Z1002" t="s">
        <v>70</v>
      </c>
      <c r="AA1002" s="1">
        <v>46057</v>
      </c>
      <c r="AB1002" t="s">
        <v>1902</v>
      </c>
      <c r="AD1002" t="s">
        <v>75</v>
      </c>
      <c r="AE1002" t="s">
        <v>1903</v>
      </c>
      <c r="AF1002">
        <v>6023</v>
      </c>
      <c r="AG1002" t="s">
        <v>1899</v>
      </c>
      <c r="AI1002" t="s">
        <v>59</v>
      </c>
      <c r="AL1002" t="s">
        <v>87</v>
      </c>
      <c r="AN1002" s="3">
        <v>46057.638888888891</v>
      </c>
      <c r="AO1002" t="s">
        <v>1072</v>
      </c>
    </row>
    <row r="1003" spans="1:41" x14ac:dyDescent="0.3">
      <c r="A1003" t="s">
        <v>75</v>
      </c>
      <c r="B1003" t="s">
        <v>2210</v>
      </c>
      <c r="C1003" t="s">
        <v>2211</v>
      </c>
      <c r="D1003" t="s">
        <v>2212</v>
      </c>
      <c r="E1003" s="1">
        <v>46057</v>
      </c>
      <c r="F1003" t="s">
        <v>44</v>
      </c>
      <c r="G1003" t="s">
        <v>45</v>
      </c>
      <c r="H1003" s="2">
        <v>0.3125</v>
      </c>
      <c r="I1003" s="2">
        <v>0.72916666666666663</v>
      </c>
      <c r="J1003" t="s">
        <v>101</v>
      </c>
      <c r="L1003" t="s">
        <v>743</v>
      </c>
      <c r="M1003" t="s">
        <v>217</v>
      </c>
      <c r="N1003" t="s">
        <v>3285</v>
      </c>
      <c r="O1003">
        <v>5952255</v>
      </c>
      <c r="Q1003" t="s">
        <v>3286</v>
      </c>
      <c r="R1003" t="s">
        <v>500</v>
      </c>
      <c r="S1003" t="s">
        <v>52</v>
      </c>
      <c r="U1003">
        <v>889365</v>
      </c>
      <c r="V1003" s="3">
        <v>46050.899305555555</v>
      </c>
      <c r="W1003" t="s">
        <v>3287</v>
      </c>
      <c r="X1003" t="s">
        <v>3288</v>
      </c>
      <c r="Y1003" t="str">
        <f>"0404237775"</f>
        <v>0404237775</v>
      </c>
      <c r="Z1003" t="s">
        <v>550</v>
      </c>
      <c r="AB1003" t="s">
        <v>2217</v>
      </c>
      <c r="AD1003" t="s">
        <v>75</v>
      </c>
      <c r="AE1003" t="s">
        <v>903</v>
      </c>
      <c r="AF1003">
        <v>6009</v>
      </c>
      <c r="AG1003" t="s">
        <v>2214</v>
      </c>
      <c r="AI1003" t="s">
        <v>59</v>
      </c>
      <c r="AL1003" t="s">
        <v>3289</v>
      </c>
      <c r="AN1003" s="3">
        <v>46057.854861111111</v>
      </c>
      <c r="AO1003" t="s">
        <v>3287</v>
      </c>
    </row>
    <row r="1004" spans="1:41" x14ac:dyDescent="0.3">
      <c r="A1004" t="s">
        <v>41</v>
      </c>
      <c r="B1004" t="s">
        <v>426</v>
      </c>
      <c r="C1004" t="s">
        <v>43</v>
      </c>
      <c r="D1004" t="s">
        <v>246</v>
      </c>
      <c r="E1004" s="1">
        <v>46057</v>
      </c>
      <c r="F1004" t="s">
        <v>44</v>
      </c>
      <c r="G1004" t="s">
        <v>45</v>
      </c>
      <c r="H1004" s="2">
        <v>0.32291666666666669</v>
      </c>
      <c r="I1004" s="2">
        <v>0.71875</v>
      </c>
      <c r="J1004" t="s">
        <v>185</v>
      </c>
      <c r="K1004" t="s">
        <v>427</v>
      </c>
      <c r="L1004" t="s">
        <v>815</v>
      </c>
      <c r="M1004" t="s">
        <v>816</v>
      </c>
      <c r="N1004" t="s">
        <v>817</v>
      </c>
      <c r="O1004">
        <v>22501</v>
      </c>
      <c r="Q1004" t="s">
        <v>1826</v>
      </c>
      <c r="R1004" t="s">
        <v>51</v>
      </c>
      <c r="S1004" t="s">
        <v>52</v>
      </c>
      <c r="U1004">
        <v>889342</v>
      </c>
      <c r="V1004" s="3">
        <v>46052.652777777781</v>
      </c>
      <c r="W1004" t="s">
        <v>818</v>
      </c>
      <c r="X1004" t="s">
        <v>819</v>
      </c>
      <c r="Y1004" t="str">
        <f>"0432588228"</f>
        <v>0432588228</v>
      </c>
      <c r="Z1004" t="s">
        <v>395</v>
      </c>
      <c r="AB1004" t="s">
        <v>434</v>
      </c>
      <c r="AD1004" t="s">
        <v>41</v>
      </c>
      <c r="AE1004" t="s">
        <v>435</v>
      </c>
      <c r="AF1004">
        <v>4163</v>
      </c>
      <c r="AG1004" t="s">
        <v>249</v>
      </c>
      <c r="AI1004" t="s">
        <v>59</v>
      </c>
      <c r="AL1004" t="s">
        <v>249</v>
      </c>
      <c r="AN1004" s="3">
        <v>46057.759027777778</v>
      </c>
      <c r="AO1004" t="s">
        <v>818</v>
      </c>
    </row>
    <row r="1005" spans="1:41" x14ac:dyDescent="0.3">
      <c r="A1005" t="s">
        <v>168</v>
      </c>
      <c r="B1005" t="s">
        <v>282</v>
      </c>
      <c r="C1005" t="s">
        <v>170</v>
      </c>
      <c r="D1005" t="s">
        <v>283</v>
      </c>
      <c r="E1005" s="1">
        <v>46057</v>
      </c>
      <c r="F1005" t="s">
        <v>44</v>
      </c>
      <c r="G1005" t="s">
        <v>45</v>
      </c>
      <c r="H1005" s="2">
        <v>0.33333333333333331</v>
      </c>
      <c r="I1005" s="2">
        <v>0.5</v>
      </c>
      <c r="J1005" t="s">
        <v>2349</v>
      </c>
      <c r="K1005" t="s">
        <v>77</v>
      </c>
      <c r="L1005" t="s">
        <v>159</v>
      </c>
      <c r="M1005" t="s">
        <v>1033</v>
      </c>
      <c r="N1005" t="s">
        <v>1034</v>
      </c>
      <c r="O1005">
        <v>5952456</v>
      </c>
      <c r="Q1005" t="s">
        <v>294</v>
      </c>
      <c r="R1005" t="s">
        <v>231</v>
      </c>
      <c r="S1005" t="s">
        <v>52</v>
      </c>
      <c r="U1005">
        <v>889307</v>
      </c>
      <c r="V1005" s="3">
        <v>46056.633333333331</v>
      </c>
      <c r="W1005" t="s">
        <v>1035</v>
      </c>
      <c r="X1005" t="s">
        <v>1036</v>
      </c>
      <c r="Y1005" t="str">
        <f>"0431375216"</f>
        <v>0431375216</v>
      </c>
      <c r="Z1005" t="s">
        <v>1225</v>
      </c>
      <c r="AB1005" t="s">
        <v>291</v>
      </c>
      <c r="AC1005" t="s">
        <v>292</v>
      </c>
      <c r="AD1005" t="s">
        <v>168</v>
      </c>
      <c r="AE1005" t="s">
        <v>293</v>
      </c>
      <c r="AF1005">
        <v>5037</v>
      </c>
      <c r="AG1005" t="s">
        <v>294</v>
      </c>
      <c r="AI1005" t="s">
        <v>59</v>
      </c>
      <c r="AL1005" t="s">
        <v>3290</v>
      </c>
      <c r="AN1005" s="3">
        <v>46057.519444444442</v>
      </c>
      <c r="AO1005" t="s">
        <v>1035</v>
      </c>
    </row>
    <row r="1006" spans="1:41" x14ac:dyDescent="0.3">
      <c r="A1006" t="s">
        <v>61</v>
      </c>
      <c r="B1006" t="s">
        <v>126</v>
      </c>
      <c r="C1006" t="s">
        <v>43</v>
      </c>
      <c r="D1006" t="s">
        <v>127</v>
      </c>
      <c r="E1006" s="1">
        <v>46057</v>
      </c>
      <c r="F1006" t="s">
        <v>44</v>
      </c>
      <c r="G1006" t="s">
        <v>45</v>
      </c>
      <c r="H1006" s="2">
        <v>0.33333333333333331</v>
      </c>
      <c r="I1006" s="2">
        <v>0.99861111111111112</v>
      </c>
      <c r="J1006" t="s">
        <v>100</v>
      </c>
      <c r="L1006" t="s">
        <v>100</v>
      </c>
      <c r="M1006" t="s">
        <v>153</v>
      </c>
      <c r="N1006" t="s">
        <v>154</v>
      </c>
      <c r="O1006">
        <v>21936</v>
      </c>
      <c r="Q1006" t="s">
        <v>131</v>
      </c>
      <c r="R1006" t="s">
        <v>132</v>
      </c>
      <c r="S1006" t="s">
        <v>52</v>
      </c>
      <c r="U1006">
        <v>889309</v>
      </c>
      <c r="V1006" s="3">
        <v>46042.632638888892</v>
      </c>
      <c r="W1006" t="s">
        <v>155</v>
      </c>
      <c r="X1006" t="s">
        <v>156</v>
      </c>
      <c r="Y1006" t="str">
        <f>"0425175454"</f>
        <v>0425175454</v>
      </c>
      <c r="Z1006" t="s">
        <v>3291</v>
      </c>
      <c r="AB1006" t="s">
        <v>136</v>
      </c>
      <c r="AD1006" t="s">
        <v>61</v>
      </c>
      <c r="AE1006" t="s">
        <v>137</v>
      </c>
      <c r="AF1006">
        <v>2032</v>
      </c>
      <c r="AG1006" t="s">
        <v>131</v>
      </c>
      <c r="AI1006" t="s">
        <v>59</v>
      </c>
      <c r="AL1006" t="s">
        <v>2812</v>
      </c>
      <c r="AN1006" s="3">
        <v>46057.531944444447</v>
      </c>
      <c r="AO1006" t="s">
        <v>155</v>
      </c>
    </row>
    <row r="1007" spans="1:41" x14ac:dyDescent="0.3">
      <c r="A1007" t="s">
        <v>75</v>
      </c>
      <c r="B1007" t="s">
        <v>895</v>
      </c>
      <c r="C1007" t="s">
        <v>896</v>
      </c>
      <c r="D1007" t="s">
        <v>184</v>
      </c>
      <c r="E1007" s="1">
        <v>46057</v>
      </c>
      <c r="F1007" t="s">
        <v>44</v>
      </c>
      <c r="G1007" t="s">
        <v>45</v>
      </c>
      <c r="H1007" s="2">
        <v>0.33333333333333331</v>
      </c>
      <c r="I1007" s="2">
        <v>0.58333333333333337</v>
      </c>
      <c r="J1007" t="s">
        <v>46</v>
      </c>
      <c r="K1007" t="s">
        <v>77</v>
      </c>
      <c r="L1007" t="s">
        <v>47</v>
      </c>
      <c r="M1007" t="s">
        <v>924</v>
      </c>
      <c r="N1007" t="s">
        <v>925</v>
      </c>
      <c r="O1007">
        <v>5951405</v>
      </c>
      <c r="Q1007" t="s">
        <v>3292</v>
      </c>
      <c r="R1007" t="s">
        <v>81</v>
      </c>
      <c r="S1007" t="s">
        <v>52</v>
      </c>
      <c r="U1007">
        <v>889334</v>
      </c>
      <c r="V1007" s="3">
        <v>46056.541666666664</v>
      </c>
      <c r="W1007" t="s">
        <v>927</v>
      </c>
      <c r="X1007" t="s">
        <v>928</v>
      </c>
      <c r="Y1007" t="str">
        <f>"0406099115"</f>
        <v>0406099115</v>
      </c>
      <c r="Z1007" t="s">
        <v>503</v>
      </c>
      <c r="AB1007" t="s">
        <v>902</v>
      </c>
      <c r="AD1007" t="s">
        <v>75</v>
      </c>
      <c r="AE1007" t="s">
        <v>903</v>
      </c>
      <c r="AF1007">
        <v>6009</v>
      </c>
      <c r="AG1007" t="s">
        <v>3293</v>
      </c>
      <c r="AI1007" t="s">
        <v>59</v>
      </c>
      <c r="AL1007" t="s">
        <v>2901</v>
      </c>
      <c r="AN1007" s="3">
        <v>46057.704861111109</v>
      </c>
      <c r="AO1007" t="s">
        <v>927</v>
      </c>
    </row>
    <row r="1008" spans="1:41" x14ac:dyDescent="0.3">
      <c r="A1008" t="s">
        <v>874</v>
      </c>
      <c r="B1008" t="s">
        <v>875</v>
      </c>
      <c r="D1008" t="s">
        <v>388</v>
      </c>
      <c r="E1008" s="1">
        <v>46057</v>
      </c>
      <c r="F1008" t="s">
        <v>44</v>
      </c>
      <c r="G1008" t="s">
        <v>45</v>
      </c>
      <c r="H1008" s="2">
        <v>0.35416666666666669</v>
      </c>
      <c r="I1008" s="2">
        <v>0.70833333333333337</v>
      </c>
      <c r="J1008" t="s">
        <v>876</v>
      </c>
      <c r="L1008" t="s">
        <v>877</v>
      </c>
      <c r="M1008" t="s">
        <v>878</v>
      </c>
      <c r="N1008" t="s">
        <v>879</v>
      </c>
      <c r="O1008">
        <v>5951689</v>
      </c>
      <c r="P1008" t="s">
        <v>249</v>
      </c>
      <c r="Q1008" t="s">
        <v>880</v>
      </c>
      <c r="R1008" t="s">
        <v>392</v>
      </c>
      <c r="S1008" t="s">
        <v>52</v>
      </c>
      <c r="T1008" t="s">
        <v>252</v>
      </c>
      <c r="U1008">
        <v>889587</v>
      </c>
      <c r="V1008" s="3">
        <v>46059.589583333334</v>
      </c>
      <c r="W1008" t="s">
        <v>881</v>
      </c>
      <c r="X1008" t="s">
        <v>882</v>
      </c>
      <c r="Y1008" t="str">
        <f>"0474765680"</f>
        <v>0474765680</v>
      </c>
      <c r="Z1008" t="s">
        <v>345</v>
      </c>
      <c r="AA1008" s="1">
        <v>46110</v>
      </c>
      <c r="AB1008" t="s">
        <v>883</v>
      </c>
      <c r="AD1008" t="s">
        <v>397</v>
      </c>
      <c r="AE1008" t="s">
        <v>884</v>
      </c>
      <c r="AG1008" t="s">
        <v>880</v>
      </c>
      <c r="AI1008" t="s">
        <v>59</v>
      </c>
      <c r="AJ1008" t="str">
        <f>"0090000061"</f>
        <v>0090000061</v>
      </c>
      <c r="AN1008" s="3">
        <v>46059.589583333334</v>
      </c>
      <c r="AO1008" t="s">
        <v>392</v>
      </c>
    </row>
    <row r="1009" spans="1:41" x14ac:dyDescent="0.3">
      <c r="A1009" t="s">
        <v>168</v>
      </c>
      <c r="B1009" t="s">
        <v>1586</v>
      </c>
      <c r="C1009" t="s">
        <v>1587</v>
      </c>
      <c r="D1009" t="s">
        <v>268</v>
      </c>
      <c r="E1009" s="1">
        <v>46057</v>
      </c>
      <c r="F1009" t="s">
        <v>44</v>
      </c>
      <c r="G1009" t="s">
        <v>45</v>
      </c>
      <c r="H1009" s="2">
        <v>0.36458333333333331</v>
      </c>
      <c r="I1009" s="2">
        <v>0.69791666666666663</v>
      </c>
      <c r="J1009" t="s">
        <v>46</v>
      </c>
      <c r="K1009" t="s">
        <v>849</v>
      </c>
      <c r="L1009" t="s">
        <v>47</v>
      </c>
      <c r="M1009" t="s">
        <v>2702</v>
      </c>
      <c r="N1009" t="s">
        <v>2703</v>
      </c>
      <c r="O1009">
        <v>5952149</v>
      </c>
      <c r="Q1009" t="s">
        <v>1590</v>
      </c>
      <c r="R1009" t="s">
        <v>231</v>
      </c>
      <c r="S1009" t="s">
        <v>52</v>
      </c>
      <c r="U1009">
        <v>889330</v>
      </c>
      <c r="V1009" s="3">
        <v>46056.645833333336</v>
      </c>
      <c r="W1009" t="s">
        <v>2704</v>
      </c>
      <c r="X1009" t="s">
        <v>2705</v>
      </c>
      <c r="Y1009" t="str">
        <f>"0411563184"</f>
        <v>0411563184</v>
      </c>
      <c r="Z1009" t="s">
        <v>70</v>
      </c>
      <c r="AA1009" s="1">
        <v>46057</v>
      </c>
      <c r="AB1009" t="s">
        <v>1593</v>
      </c>
      <c r="AC1009" t="s">
        <v>1594</v>
      </c>
      <c r="AD1009" t="s">
        <v>168</v>
      </c>
      <c r="AE1009" t="s">
        <v>1595</v>
      </c>
      <c r="AF1009">
        <v>5011</v>
      </c>
      <c r="AG1009" t="s">
        <v>1590</v>
      </c>
      <c r="AI1009" t="s">
        <v>59</v>
      </c>
      <c r="AL1009" t="s">
        <v>3294</v>
      </c>
      <c r="AN1009" s="3">
        <v>46057.688194444447</v>
      </c>
      <c r="AO1009" t="s">
        <v>2704</v>
      </c>
    </row>
    <row r="1010" spans="1:41" x14ac:dyDescent="0.3">
      <c r="A1010" t="s">
        <v>75</v>
      </c>
      <c r="B1010" t="s">
        <v>895</v>
      </c>
      <c r="C1010" t="s">
        <v>896</v>
      </c>
      <c r="D1010" t="s">
        <v>184</v>
      </c>
      <c r="E1010" s="1">
        <v>46057</v>
      </c>
      <c r="F1010" t="s">
        <v>44</v>
      </c>
      <c r="G1010" t="s">
        <v>45</v>
      </c>
      <c r="H1010" s="2">
        <v>0.375</v>
      </c>
      <c r="I1010" s="2">
        <v>0.58333333333333337</v>
      </c>
      <c r="J1010" t="s">
        <v>46</v>
      </c>
      <c r="K1010" t="s">
        <v>77</v>
      </c>
      <c r="L1010" t="s">
        <v>47</v>
      </c>
      <c r="M1010" t="s">
        <v>897</v>
      </c>
      <c r="N1010" t="s">
        <v>898</v>
      </c>
      <c r="O1010">
        <v>22938</v>
      </c>
      <c r="Q1010" t="s">
        <v>2206</v>
      </c>
      <c r="R1010" t="s">
        <v>81</v>
      </c>
      <c r="S1010" t="s">
        <v>52</v>
      </c>
      <c r="U1010">
        <v>889335</v>
      </c>
      <c r="V1010" s="3">
        <v>46056.541666666664</v>
      </c>
      <c r="W1010" t="s">
        <v>900</v>
      </c>
      <c r="X1010" t="s">
        <v>901</v>
      </c>
      <c r="Y1010" t="str">
        <f>"0412336670"</f>
        <v>0412336670</v>
      </c>
      <c r="Z1010" t="s">
        <v>550</v>
      </c>
      <c r="AA1010" s="1">
        <v>46057</v>
      </c>
      <c r="AB1010" t="s">
        <v>902</v>
      </c>
      <c r="AD1010" t="s">
        <v>75</v>
      </c>
      <c r="AE1010" t="s">
        <v>903</v>
      </c>
      <c r="AF1010">
        <v>6009</v>
      </c>
      <c r="AG1010" t="s">
        <v>960</v>
      </c>
      <c r="AI1010" t="s">
        <v>59</v>
      </c>
      <c r="AL1010" t="s">
        <v>3295</v>
      </c>
      <c r="AN1010" s="3">
        <v>46057.711805555555</v>
      </c>
      <c r="AO1010" t="s">
        <v>900</v>
      </c>
    </row>
    <row r="1011" spans="1:41" x14ac:dyDescent="0.3">
      <c r="A1011" t="s">
        <v>61</v>
      </c>
      <c r="B1011" t="s">
        <v>62</v>
      </c>
      <c r="C1011" t="s">
        <v>43</v>
      </c>
      <c r="D1011" t="s">
        <v>63</v>
      </c>
      <c r="E1011" s="1">
        <v>46057</v>
      </c>
      <c r="F1011" t="s">
        <v>44</v>
      </c>
      <c r="G1011" t="s">
        <v>45</v>
      </c>
      <c r="H1011" s="2">
        <v>0.375</v>
      </c>
      <c r="I1011" s="2">
        <v>0.99861111111111112</v>
      </c>
      <c r="J1011" t="s">
        <v>46</v>
      </c>
      <c r="L1011" t="s">
        <v>47</v>
      </c>
      <c r="M1011" t="s">
        <v>64</v>
      </c>
      <c r="N1011" t="s">
        <v>65</v>
      </c>
      <c r="O1011">
        <v>22580</v>
      </c>
      <c r="Q1011" t="s">
        <v>66</v>
      </c>
      <c r="R1011" t="s">
        <v>67</v>
      </c>
      <c r="S1011" t="s">
        <v>52</v>
      </c>
      <c r="U1011">
        <v>889336</v>
      </c>
      <c r="V1011" s="3">
        <v>46049.379166666666</v>
      </c>
      <c r="W1011" t="s">
        <v>68</v>
      </c>
      <c r="X1011" t="s">
        <v>69</v>
      </c>
      <c r="Y1011" t="str">
        <f>"0414449015"</f>
        <v>0414449015</v>
      </c>
      <c r="Z1011" t="s">
        <v>3296</v>
      </c>
      <c r="AB1011" t="s">
        <v>71</v>
      </c>
      <c r="AD1011" t="s">
        <v>61</v>
      </c>
      <c r="AE1011" t="s">
        <v>72</v>
      </c>
      <c r="AF1011">
        <v>2747</v>
      </c>
      <c r="AG1011" t="s">
        <v>73</v>
      </c>
      <c r="AI1011" t="s">
        <v>59</v>
      </c>
      <c r="AL1011" t="s">
        <v>3297</v>
      </c>
      <c r="AN1011" s="3">
        <v>46057.723611111112</v>
      </c>
      <c r="AO1011" t="s">
        <v>68</v>
      </c>
    </row>
    <row r="1012" spans="1:41" x14ac:dyDescent="0.3">
      <c r="A1012" t="s">
        <v>41</v>
      </c>
      <c r="B1012" t="s">
        <v>1452</v>
      </c>
      <c r="D1012" t="s">
        <v>246</v>
      </c>
      <c r="E1012" s="1">
        <v>46057</v>
      </c>
      <c r="F1012" t="s">
        <v>44</v>
      </c>
      <c r="G1012" t="s">
        <v>45</v>
      </c>
      <c r="H1012" s="2">
        <v>0.375</v>
      </c>
      <c r="I1012" s="2">
        <v>0.66666666666666663</v>
      </c>
      <c r="J1012" t="s">
        <v>296</v>
      </c>
      <c r="L1012" t="s">
        <v>1453</v>
      </c>
      <c r="M1012" t="s">
        <v>1454</v>
      </c>
      <c r="N1012" t="s">
        <v>1455</v>
      </c>
      <c r="O1012">
        <v>5951941</v>
      </c>
      <c r="Q1012" t="s">
        <v>1456</v>
      </c>
      <c r="R1012" t="s">
        <v>573</v>
      </c>
      <c r="S1012" t="s">
        <v>52</v>
      </c>
      <c r="T1012" t="s">
        <v>252</v>
      </c>
      <c r="U1012">
        <v>889950</v>
      </c>
      <c r="V1012" s="3">
        <v>46063.347222222219</v>
      </c>
      <c r="W1012" t="s">
        <v>1457</v>
      </c>
      <c r="X1012" t="s">
        <v>1458</v>
      </c>
      <c r="Y1012" t="str">
        <f>"0413847722"</f>
        <v>0413847722</v>
      </c>
      <c r="Z1012" t="s">
        <v>84</v>
      </c>
      <c r="AA1012" s="1">
        <v>46097</v>
      </c>
      <c r="AB1012" t="s">
        <v>1459</v>
      </c>
      <c r="AD1012" t="s">
        <v>41</v>
      </c>
      <c r="AE1012" t="s">
        <v>1460</v>
      </c>
      <c r="AF1012">
        <v>4740</v>
      </c>
      <c r="AG1012" t="s">
        <v>1456</v>
      </c>
      <c r="AI1012" t="s">
        <v>59</v>
      </c>
      <c r="AJ1012" t="str">
        <f>"0050076628"</f>
        <v>0050076628</v>
      </c>
      <c r="AN1012" s="3">
        <v>46063.347222222219</v>
      </c>
      <c r="AO1012" t="s">
        <v>573</v>
      </c>
    </row>
    <row r="1013" spans="1:41" x14ac:dyDescent="0.3">
      <c r="A1013" t="s">
        <v>61</v>
      </c>
      <c r="B1013" t="s">
        <v>655</v>
      </c>
      <c r="C1013" t="s">
        <v>43</v>
      </c>
      <c r="D1013" t="s">
        <v>656</v>
      </c>
      <c r="E1013" s="1">
        <v>46057</v>
      </c>
      <c r="F1013" t="s">
        <v>44</v>
      </c>
      <c r="G1013" t="s">
        <v>45</v>
      </c>
      <c r="H1013" s="2">
        <v>0.375</v>
      </c>
      <c r="I1013" s="2">
        <v>0.70833333333333337</v>
      </c>
      <c r="J1013" t="s">
        <v>100</v>
      </c>
      <c r="L1013" t="s">
        <v>100</v>
      </c>
      <c r="M1013" t="s">
        <v>1039</v>
      </c>
      <c r="N1013" t="s">
        <v>1040</v>
      </c>
      <c r="O1013">
        <v>5951110</v>
      </c>
      <c r="Q1013" t="s">
        <v>665</v>
      </c>
      <c r="R1013" t="s">
        <v>145</v>
      </c>
      <c r="S1013" t="s">
        <v>52</v>
      </c>
      <c r="U1013">
        <v>889341</v>
      </c>
      <c r="V1013" s="3">
        <v>46037.762499999997</v>
      </c>
      <c r="W1013" t="s">
        <v>1042</v>
      </c>
      <c r="X1013" t="s">
        <v>1043</v>
      </c>
      <c r="Y1013" t="str">
        <f>"0424952006"</f>
        <v>0424952006</v>
      </c>
      <c r="Z1013" t="s">
        <v>3298</v>
      </c>
      <c r="AB1013" t="s">
        <v>662</v>
      </c>
      <c r="AC1013" t="s">
        <v>663</v>
      </c>
      <c r="AD1013" t="s">
        <v>61</v>
      </c>
      <c r="AE1013" t="s">
        <v>664</v>
      </c>
      <c r="AF1013">
        <v>2067</v>
      </c>
      <c r="AG1013" t="s">
        <v>2542</v>
      </c>
      <c r="AI1013" t="s">
        <v>59</v>
      </c>
      <c r="AL1013" t="s">
        <v>3299</v>
      </c>
      <c r="AN1013" s="3">
        <v>46057.754861111112</v>
      </c>
      <c r="AO1013" t="s">
        <v>1042</v>
      </c>
    </row>
    <row r="1014" spans="1:41" x14ac:dyDescent="0.3">
      <c r="A1014" t="s">
        <v>41</v>
      </c>
      <c r="B1014" t="s">
        <v>244</v>
      </c>
      <c r="C1014" t="s">
        <v>245</v>
      </c>
      <c r="D1014" t="s">
        <v>246</v>
      </c>
      <c r="E1014" s="1">
        <v>46057</v>
      </c>
      <c r="F1014" t="s">
        <v>44</v>
      </c>
      <c r="G1014" t="s">
        <v>45</v>
      </c>
      <c r="H1014" s="2">
        <v>0.375</v>
      </c>
      <c r="I1014" s="2">
        <v>0.72916666666666663</v>
      </c>
      <c r="J1014" t="s">
        <v>100</v>
      </c>
      <c r="L1014" t="s">
        <v>100</v>
      </c>
      <c r="M1014" t="s">
        <v>247</v>
      </c>
      <c r="N1014" t="s">
        <v>248</v>
      </c>
      <c r="O1014">
        <v>20770</v>
      </c>
      <c r="P1014" t="s">
        <v>249</v>
      </c>
      <c r="Q1014" t="s">
        <v>250</v>
      </c>
      <c r="R1014" t="s">
        <v>251</v>
      </c>
      <c r="S1014" t="s">
        <v>52</v>
      </c>
      <c r="T1014" t="s">
        <v>252</v>
      </c>
      <c r="U1014">
        <v>889763</v>
      </c>
      <c r="V1014" s="3">
        <v>46062.351388888892</v>
      </c>
      <c r="W1014" t="s">
        <v>251</v>
      </c>
      <c r="X1014" t="s">
        <v>253</v>
      </c>
      <c r="Y1014" t="str">
        <f>"0429586658"</f>
        <v>0429586658</v>
      </c>
      <c r="Z1014" t="s">
        <v>345</v>
      </c>
      <c r="AA1014" s="1">
        <v>46068</v>
      </c>
      <c r="AB1014" t="s">
        <v>255</v>
      </c>
      <c r="AD1014" t="s">
        <v>41</v>
      </c>
      <c r="AE1014" t="s">
        <v>256</v>
      </c>
      <c r="AF1014">
        <v>4655</v>
      </c>
      <c r="AG1014" t="s">
        <v>1910</v>
      </c>
      <c r="AI1014" t="s">
        <v>59</v>
      </c>
      <c r="AJ1014" t="str">
        <f>"0050076900"</f>
        <v>0050076900</v>
      </c>
      <c r="AN1014" s="3">
        <v>46062.351388888892</v>
      </c>
      <c r="AO1014" t="s">
        <v>251</v>
      </c>
    </row>
    <row r="1015" spans="1:41" x14ac:dyDescent="0.3">
      <c r="A1015" t="s">
        <v>61</v>
      </c>
      <c r="B1015" t="s">
        <v>1441</v>
      </c>
      <c r="C1015" t="s">
        <v>43</v>
      </c>
      <c r="D1015" t="s">
        <v>127</v>
      </c>
      <c r="E1015" s="1">
        <v>46057</v>
      </c>
      <c r="F1015" t="s">
        <v>44</v>
      </c>
      <c r="G1015" t="s">
        <v>45</v>
      </c>
      <c r="H1015" s="2">
        <v>0.39583333333333331</v>
      </c>
      <c r="I1015" s="2">
        <v>0.75</v>
      </c>
      <c r="J1015" t="s">
        <v>46</v>
      </c>
      <c r="L1015" t="s">
        <v>47</v>
      </c>
      <c r="M1015" t="s">
        <v>91</v>
      </c>
      <c r="N1015" t="s">
        <v>92</v>
      </c>
      <c r="O1015">
        <v>5950650</v>
      </c>
      <c r="P1015">
        <v>445270</v>
      </c>
      <c r="Q1015" t="s">
        <v>283</v>
      </c>
      <c r="R1015" t="s">
        <v>132</v>
      </c>
      <c r="S1015" t="s">
        <v>52</v>
      </c>
      <c r="U1015">
        <v>889355</v>
      </c>
      <c r="V1015" s="3">
        <v>46003.618750000001</v>
      </c>
      <c r="W1015" t="s">
        <v>94</v>
      </c>
      <c r="X1015" t="s">
        <v>95</v>
      </c>
      <c r="Y1015" t="str">
        <f>"0493332534"</f>
        <v>0493332534</v>
      </c>
      <c r="Z1015" t="s">
        <v>70</v>
      </c>
      <c r="AA1015" s="1">
        <v>46057</v>
      </c>
      <c r="AB1015" t="s">
        <v>1444</v>
      </c>
      <c r="AD1015" t="s">
        <v>61</v>
      </c>
      <c r="AE1015" t="s">
        <v>1445</v>
      </c>
      <c r="AF1015">
        <v>2100</v>
      </c>
      <c r="AG1015" t="s">
        <v>1443</v>
      </c>
      <c r="AI1015" t="s">
        <v>59</v>
      </c>
      <c r="AL1015" t="s">
        <v>3300</v>
      </c>
      <c r="AN1015" s="3">
        <v>46057.820833333331</v>
      </c>
      <c r="AO1015" t="s">
        <v>94</v>
      </c>
    </row>
    <row r="1016" spans="1:41" x14ac:dyDescent="0.3">
      <c r="A1016" t="s">
        <v>168</v>
      </c>
      <c r="B1016" t="s">
        <v>1021</v>
      </c>
      <c r="C1016" t="s">
        <v>202</v>
      </c>
      <c r="D1016" t="s">
        <v>127</v>
      </c>
      <c r="E1016" s="1">
        <v>46057</v>
      </c>
      <c r="F1016" t="s">
        <v>44</v>
      </c>
      <c r="G1016" t="s">
        <v>45</v>
      </c>
      <c r="H1016" s="2">
        <v>0.41666666666666669</v>
      </c>
      <c r="I1016" s="2">
        <v>0.75</v>
      </c>
      <c r="J1016" t="s">
        <v>46</v>
      </c>
      <c r="L1016" t="s">
        <v>47</v>
      </c>
      <c r="M1016" t="s">
        <v>371</v>
      </c>
      <c r="N1016" t="s">
        <v>372</v>
      </c>
      <c r="O1016">
        <v>20698</v>
      </c>
      <c r="Q1016" t="s">
        <v>3301</v>
      </c>
      <c r="R1016" t="s">
        <v>500</v>
      </c>
      <c r="S1016" t="s">
        <v>52</v>
      </c>
      <c r="U1016">
        <v>889343</v>
      </c>
      <c r="V1016" s="3">
        <v>46056.905555555553</v>
      </c>
      <c r="W1016" t="s">
        <v>373</v>
      </c>
      <c r="X1016" t="s">
        <v>374</v>
      </c>
      <c r="Y1016" t="str">
        <f>"0424925273"</f>
        <v>0424925273</v>
      </c>
      <c r="Z1016" t="s">
        <v>70</v>
      </c>
      <c r="AA1016" s="1">
        <v>46057</v>
      </c>
      <c r="AB1016" t="s">
        <v>1029</v>
      </c>
      <c r="AD1016" t="s">
        <v>168</v>
      </c>
      <c r="AE1016" t="s">
        <v>1030</v>
      </c>
      <c r="AF1016">
        <v>5022</v>
      </c>
      <c r="AG1016" t="s">
        <v>3301</v>
      </c>
      <c r="AI1016" t="s">
        <v>59</v>
      </c>
      <c r="AL1016" t="s">
        <v>87</v>
      </c>
      <c r="AN1016" s="3">
        <v>46057.765277777777</v>
      </c>
      <c r="AO1016" t="s">
        <v>373</v>
      </c>
    </row>
    <row r="1017" spans="1:41" x14ac:dyDescent="0.3">
      <c r="A1017" t="s">
        <v>75</v>
      </c>
      <c r="B1017" t="s">
        <v>895</v>
      </c>
      <c r="C1017" t="s">
        <v>896</v>
      </c>
      <c r="D1017" t="s">
        <v>184</v>
      </c>
      <c r="E1017" s="1">
        <v>46057</v>
      </c>
      <c r="F1017" t="s">
        <v>44</v>
      </c>
      <c r="G1017" t="s">
        <v>45</v>
      </c>
      <c r="H1017" s="2">
        <v>0.41666666666666669</v>
      </c>
      <c r="I1017" s="2">
        <v>0.77083333333333337</v>
      </c>
      <c r="J1017" t="s">
        <v>3302</v>
      </c>
      <c r="L1017" t="s">
        <v>47</v>
      </c>
      <c r="M1017" t="s">
        <v>954</v>
      </c>
      <c r="N1017" t="s">
        <v>955</v>
      </c>
      <c r="O1017">
        <v>5952037</v>
      </c>
      <c r="Q1017" t="s">
        <v>960</v>
      </c>
      <c r="R1017" t="s">
        <v>1248</v>
      </c>
      <c r="S1017" t="s">
        <v>52</v>
      </c>
      <c r="U1017">
        <v>889370</v>
      </c>
      <c r="V1017" s="3">
        <v>46055.840277777781</v>
      </c>
      <c r="W1017" t="s">
        <v>957</v>
      </c>
      <c r="X1017" t="s">
        <v>958</v>
      </c>
      <c r="Y1017" t="str">
        <f>"0452457162"</f>
        <v>0452457162</v>
      </c>
      <c r="Z1017" t="s">
        <v>70</v>
      </c>
      <c r="AA1017" s="1">
        <v>46057</v>
      </c>
      <c r="AB1017" t="s">
        <v>902</v>
      </c>
      <c r="AD1017" t="s">
        <v>75</v>
      </c>
      <c r="AE1017" t="s">
        <v>903</v>
      </c>
      <c r="AF1017">
        <v>6009</v>
      </c>
      <c r="AG1017" t="s">
        <v>960</v>
      </c>
      <c r="AI1017" t="s">
        <v>59</v>
      </c>
      <c r="AL1017" t="s">
        <v>3303</v>
      </c>
      <c r="AN1017" s="3">
        <v>46057.895138888889</v>
      </c>
      <c r="AO1017" t="s">
        <v>957</v>
      </c>
    </row>
    <row r="1018" spans="1:41" x14ac:dyDescent="0.3">
      <c r="A1018" t="s">
        <v>61</v>
      </c>
      <c r="B1018" t="s">
        <v>1441</v>
      </c>
      <c r="C1018" t="s">
        <v>43</v>
      </c>
      <c r="D1018" t="s">
        <v>127</v>
      </c>
      <c r="E1018" s="1">
        <v>46057</v>
      </c>
      <c r="F1018" t="s">
        <v>44</v>
      </c>
      <c r="G1018" t="s">
        <v>45</v>
      </c>
      <c r="H1018" s="2">
        <v>0.41666666666666669</v>
      </c>
      <c r="I1018" s="2">
        <v>0.72916666666666663</v>
      </c>
      <c r="J1018" t="s">
        <v>185</v>
      </c>
      <c r="L1018" t="s">
        <v>186</v>
      </c>
      <c r="M1018" t="s">
        <v>777</v>
      </c>
      <c r="N1018" t="s">
        <v>778</v>
      </c>
      <c r="O1018">
        <v>5952331</v>
      </c>
      <c r="Q1018" t="s">
        <v>3304</v>
      </c>
      <c r="R1018" t="s">
        <v>132</v>
      </c>
      <c r="S1018" t="s">
        <v>52</v>
      </c>
      <c r="U1018">
        <v>889347</v>
      </c>
      <c r="V1018" s="3">
        <v>46000.486805555556</v>
      </c>
      <c r="W1018" t="s">
        <v>780</v>
      </c>
      <c r="X1018" t="s">
        <v>781</v>
      </c>
      <c r="Y1018" t="str">
        <f>"0478730906"</f>
        <v>0478730906</v>
      </c>
      <c r="Z1018" t="s">
        <v>545</v>
      </c>
      <c r="AA1018" s="1">
        <v>46057</v>
      </c>
      <c r="AB1018" t="s">
        <v>1444</v>
      </c>
      <c r="AD1018" t="s">
        <v>61</v>
      </c>
      <c r="AE1018" t="s">
        <v>1445</v>
      </c>
      <c r="AF1018">
        <v>2100</v>
      </c>
      <c r="AG1018" t="s">
        <v>3304</v>
      </c>
      <c r="AI1018" t="s">
        <v>59</v>
      </c>
      <c r="AL1018" t="s">
        <v>3300</v>
      </c>
      <c r="AN1018" s="3">
        <v>46057.77847222222</v>
      </c>
      <c r="AO1018" t="s">
        <v>780</v>
      </c>
    </row>
    <row r="1019" spans="1:41" x14ac:dyDescent="0.3">
      <c r="A1019" t="s">
        <v>168</v>
      </c>
      <c r="B1019" t="s">
        <v>441</v>
      </c>
      <c r="C1019" t="s">
        <v>170</v>
      </c>
      <c r="E1019" s="1">
        <v>46057</v>
      </c>
      <c r="F1019" t="s">
        <v>44</v>
      </c>
      <c r="G1019" t="s">
        <v>45</v>
      </c>
      <c r="H1019" s="2">
        <v>0.41666666666666669</v>
      </c>
      <c r="I1019" s="2">
        <v>0.75</v>
      </c>
      <c r="J1019" t="s">
        <v>46</v>
      </c>
      <c r="L1019" t="s">
        <v>47</v>
      </c>
      <c r="M1019" t="s">
        <v>217</v>
      </c>
      <c r="N1019" t="s">
        <v>2138</v>
      </c>
      <c r="O1019">
        <v>21354</v>
      </c>
      <c r="Q1019" t="s">
        <v>3305</v>
      </c>
      <c r="R1019" t="s">
        <v>67</v>
      </c>
      <c r="S1019" t="s">
        <v>52</v>
      </c>
      <c r="U1019">
        <v>889320</v>
      </c>
      <c r="V1019" s="3">
        <v>46057.306250000001</v>
      </c>
      <c r="W1019" t="s">
        <v>3306</v>
      </c>
      <c r="X1019" t="s">
        <v>3307</v>
      </c>
      <c r="Y1019" t="str">
        <f>"0408831194"</f>
        <v>0408831194</v>
      </c>
      <c r="Z1019" t="s">
        <v>70</v>
      </c>
      <c r="AA1019" s="1">
        <v>46057</v>
      </c>
      <c r="AB1019" t="s">
        <v>448</v>
      </c>
      <c r="AD1019" t="s">
        <v>168</v>
      </c>
      <c r="AE1019" t="s">
        <v>180</v>
      </c>
      <c r="AF1019">
        <v>5063</v>
      </c>
      <c r="AG1019" t="s">
        <v>3308</v>
      </c>
      <c r="AI1019" t="s">
        <v>59</v>
      </c>
      <c r="AL1019" t="s">
        <v>370</v>
      </c>
      <c r="AN1019" s="3">
        <v>46057.625694444447</v>
      </c>
      <c r="AO1019" t="s">
        <v>3306</v>
      </c>
    </row>
    <row r="1020" spans="1:41" x14ac:dyDescent="0.3">
      <c r="A1020" t="s">
        <v>61</v>
      </c>
      <c r="B1020" t="s">
        <v>992</v>
      </c>
      <c r="C1020" t="s">
        <v>185</v>
      </c>
      <c r="D1020" t="s">
        <v>63</v>
      </c>
      <c r="E1020" s="1">
        <v>46057</v>
      </c>
      <c r="F1020" t="s">
        <v>44</v>
      </c>
      <c r="G1020" t="s">
        <v>128</v>
      </c>
      <c r="H1020" s="2">
        <v>0.5</v>
      </c>
      <c r="I1020" s="2">
        <v>0.85416666666666663</v>
      </c>
      <c r="J1020" t="s">
        <v>185</v>
      </c>
      <c r="K1020" t="s">
        <v>667</v>
      </c>
      <c r="L1020" t="s">
        <v>186</v>
      </c>
      <c r="M1020" t="s">
        <v>2500</v>
      </c>
      <c r="N1020" t="s">
        <v>2501</v>
      </c>
      <c r="O1020">
        <v>5950752</v>
      </c>
      <c r="Q1020" t="s">
        <v>1384</v>
      </c>
      <c r="R1020" t="s">
        <v>145</v>
      </c>
      <c r="S1020" t="s">
        <v>52</v>
      </c>
      <c r="U1020">
        <v>889348</v>
      </c>
      <c r="V1020" s="3">
        <v>46052.712500000001</v>
      </c>
      <c r="W1020" t="s">
        <v>2503</v>
      </c>
      <c r="X1020" t="s">
        <v>2504</v>
      </c>
      <c r="Y1020" t="str">
        <f>"0412880214"</f>
        <v>0412880214</v>
      </c>
      <c r="Z1020" t="s">
        <v>70</v>
      </c>
      <c r="AB1020" t="s">
        <v>1000</v>
      </c>
      <c r="AD1020" t="s">
        <v>61</v>
      </c>
      <c r="AE1020" t="s">
        <v>1001</v>
      </c>
      <c r="AF1020">
        <v>2560</v>
      </c>
      <c r="AG1020" t="s">
        <v>1384</v>
      </c>
      <c r="AI1020" t="s">
        <v>59</v>
      </c>
      <c r="AL1020" t="s">
        <v>3309</v>
      </c>
      <c r="AN1020" s="3">
        <v>46057.779861111114</v>
      </c>
      <c r="AO1020" t="s">
        <v>2503</v>
      </c>
    </row>
    <row r="1021" spans="1:41" x14ac:dyDescent="0.3">
      <c r="A1021" t="s">
        <v>168</v>
      </c>
      <c r="B1021" t="s">
        <v>2846</v>
      </c>
      <c r="C1021" t="s">
        <v>3310</v>
      </c>
      <c r="D1021" t="s">
        <v>719</v>
      </c>
      <c r="E1021" s="1">
        <v>46057</v>
      </c>
      <c r="F1021" t="s">
        <v>44</v>
      </c>
      <c r="G1021" t="s">
        <v>128</v>
      </c>
      <c r="H1021" s="2">
        <v>0.5</v>
      </c>
      <c r="I1021" s="2">
        <v>0.70833333333333337</v>
      </c>
      <c r="J1021" t="s">
        <v>101</v>
      </c>
      <c r="L1021" t="s">
        <v>159</v>
      </c>
      <c r="M1021" t="s">
        <v>1023</v>
      </c>
      <c r="N1021" t="s">
        <v>1024</v>
      </c>
      <c r="O1021">
        <v>22730</v>
      </c>
      <c r="Q1021" t="s">
        <v>2852</v>
      </c>
      <c r="R1021" t="s">
        <v>231</v>
      </c>
      <c r="S1021" t="s">
        <v>52</v>
      </c>
      <c r="U1021">
        <v>889340</v>
      </c>
      <c r="V1021" s="3">
        <v>46049.627083333333</v>
      </c>
      <c r="W1021" t="s">
        <v>1027</v>
      </c>
      <c r="X1021" t="s">
        <v>1028</v>
      </c>
      <c r="Y1021" t="str">
        <f>"0402354674"</f>
        <v>0402354674</v>
      </c>
      <c r="Z1021" t="s">
        <v>70</v>
      </c>
      <c r="AA1021" s="1">
        <v>46057</v>
      </c>
      <c r="AB1021" t="s">
        <v>2851</v>
      </c>
      <c r="AD1021" t="s">
        <v>168</v>
      </c>
      <c r="AE1021" t="s">
        <v>384</v>
      </c>
      <c r="AF1021">
        <v>5000</v>
      </c>
      <c r="AG1021" t="s">
        <v>2852</v>
      </c>
      <c r="AI1021" t="s">
        <v>59</v>
      </c>
      <c r="AL1021" t="s">
        <v>3311</v>
      </c>
      <c r="AN1021" s="3">
        <v>46057.75</v>
      </c>
      <c r="AO1021" t="s">
        <v>1027</v>
      </c>
    </row>
    <row r="1022" spans="1:41" x14ac:dyDescent="0.3">
      <c r="A1022" t="s">
        <v>168</v>
      </c>
      <c r="B1022" t="s">
        <v>441</v>
      </c>
      <c r="C1022" t="s">
        <v>100</v>
      </c>
      <c r="E1022" s="1">
        <v>46057</v>
      </c>
      <c r="F1022" t="s">
        <v>44</v>
      </c>
      <c r="G1022" t="s">
        <v>128</v>
      </c>
      <c r="H1022" s="2">
        <v>0.5</v>
      </c>
      <c r="I1022" s="2">
        <v>0.83333333333333337</v>
      </c>
      <c r="J1022" t="s">
        <v>100</v>
      </c>
      <c r="L1022" t="s">
        <v>100</v>
      </c>
      <c r="M1022" t="s">
        <v>975</v>
      </c>
      <c r="N1022" t="s">
        <v>976</v>
      </c>
      <c r="O1022">
        <v>5950948</v>
      </c>
      <c r="Q1022" t="s">
        <v>977</v>
      </c>
      <c r="R1022" t="s">
        <v>231</v>
      </c>
      <c r="S1022" t="s">
        <v>52</v>
      </c>
      <c r="U1022">
        <v>889362</v>
      </c>
      <c r="V1022" s="3">
        <v>46029.513888888891</v>
      </c>
      <c r="W1022" t="s">
        <v>978</v>
      </c>
      <c r="X1022" t="s">
        <v>979</v>
      </c>
      <c r="Y1022" t="str">
        <f>"0451011613"</f>
        <v>0451011613</v>
      </c>
      <c r="Z1022" t="s">
        <v>3163</v>
      </c>
      <c r="AB1022" t="s">
        <v>448</v>
      </c>
      <c r="AD1022" t="s">
        <v>168</v>
      </c>
      <c r="AE1022" t="s">
        <v>180</v>
      </c>
      <c r="AF1022">
        <v>5063</v>
      </c>
      <c r="AG1022" t="s">
        <v>981</v>
      </c>
      <c r="AI1022" t="s">
        <v>59</v>
      </c>
      <c r="AL1022" t="s">
        <v>1720</v>
      </c>
      <c r="AN1022" s="3">
        <v>46057.848611111112</v>
      </c>
      <c r="AO1022" t="s">
        <v>978</v>
      </c>
    </row>
    <row r="1023" spans="1:41" x14ac:dyDescent="0.3">
      <c r="A1023" t="s">
        <v>168</v>
      </c>
      <c r="B1023" t="s">
        <v>441</v>
      </c>
      <c r="C1023" t="s">
        <v>101</v>
      </c>
      <c r="E1023" s="1">
        <v>46057</v>
      </c>
      <c r="F1023" t="s">
        <v>44</v>
      </c>
      <c r="G1023" t="s">
        <v>128</v>
      </c>
      <c r="H1023" s="2">
        <v>0.52083333333333337</v>
      </c>
      <c r="I1023" s="2">
        <v>0.85416666666666663</v>
      </c>
      <c r="J1023" t="s">
        <v>101</v>
      </c>
      <c r="L1023" t="s">
        <v>159</v>
      </c>
      <c r="M1023" t="s">
        <v>479</v>
      </c>
      <c r="N1023" t="s">
        <v>480</v>
      </c>
      <c r="O1023">
        <v>22438</v>
      </c>
      <c r="Q1023" t="s">
        <v>944</v>
      </c>
      <c r="R1023" t="s">
        <v>556</v>
      </c>
      <c r="S1023" t="s">
        <v>52</v>
      </c>
      <c r="U1023">
        <v>889364</v>
      </c>
      <c r="V1023" s="3">
        <v>46050.931944444441</v>
      </c>
      <c r="W1023" t="s">
        <v>481</v>
      </c>
      <c r="X1023" t="s">
        <v>482</v>
      </c>
      <c r="Y1023" t="str">
        <f>"0437751625"</f>
        <v>0437751625</v>
      </c>
      <c r="Z1023" t="s">
        <v>70</v>
      </c>
      <c r="AA1023" s="1">
        <v>46057</v>
      </c>
      <c r="AB1023" t="s">
        <v>448</v>
      </c>
      <c r="AD1023" t="s">
        <v>168</v>
      </c>
      <c r="AE1023" t="s">
        <v>180</v>
      </c>
      <c r="AF1023">
        <v>5063</v>
      </c>
      <c r="AG1023" t="s">
        <v>944</v>
      </c>
      <c r="AI1023" t="s">
        <v>59</v>
      </c>
      <c r="AL1023" t="s">
        <v>3312</v>
      </c>
      <c r="AN1023" s="3">
        <v>46057.850694444445</v>
      </c>
      <c r="AO1023" t="s">
        <v>481</v>
      </c>
    </row>
    <row r="1024" spans="1:41" x14ac:dyDescent="0.3">
      <c r="A1024" t="s">
        <v>61</v>
      </c>
      <c r="B1024" t="s">
        <v>158</v>
      </c>
      <c r="C1024" t="s">
        <v>43</v>
      </c>
      <c r="D1024" t="s">
        <v>127</v>
      </c>
      <c r="E1024" s="1">
        <v>46057</v>
      </c>
      <c r="F1024" t="s">
        <v>44</v>
      </c>
      <c r="G1024" t="s">
        <v>128</v>
      </c>
      <c r="H1024" s="2">
        <v>0.52083333333333337</v>
      </c>
      <c r="I1024" s="2">
        <v>0.9819444444444444</v>
      </c>
      <c r="J1024" t="s">
        <v>101</v>
      </c>
      <c r="L1024" t="s">
        <v>159</v>
      </c>
      <c r="M1024" t="s">
        <v>160</v>
      </c>
      <c r="N1024" t="s">
        <v>161</v>
      </c>
      <c r="O1024">
        <v>5952008</v>
      </c>
      <c r="Q1024" t="s">
        <v>162</v>
      </c>
      <c r="R1024" t="s">
        <v>67</v>
      </c>
      <c r="S1024" t="s">
        <v>52</v>
      </c>
      <c r="U1024">
        <v>889349</v>
      </c>
      <c r="V1024" s="3">
        <v>46050.629861111112</v>
      </c>
      <c r="W1024" t="s">
        <v>163</v>
      </c>
      <c r="X1024" t="s">
        <v>164</v>
      </c>
      <c r="Y1024" t="str">
        <f>"0482375205"</f>
        <v>0482375205</v>
      </c>
      <c r="Z1024" t="s">
        <v>1806</v>
      </c>
      <c r="AB1024" t="s">
        <v>166</v>
      </c>
      <c r="AD1024" t="s">
        <v>61</v>
      </c>
      <c r="AE1024" t="s">
        <v>167</v>
      </c>
      <c r="AF1024">
        <v>2011</v>
      </c>
      <c r="AG1024" t="s">
        <v>162</v>
      </c>
      <c r="AI1024" t="s">
        <v>59</v>
      </c>
      <c r="AL1024" t="s">
        <v>2812</v>
      </c>
      <c r="AN1024" s="3">
        <v>46057.787499999999</v>
      </c>
      <c r="AO1024" t="s">
        <v>163</v>
      </c>
    </row>
    <row r="1025" spans="1:41" x14ac:dyDescent="0.3">
      <c r="A1025" t="s">
        <v>61</v>
      </c>
      <c r="B1025" t="s">
        <v>158</v>
      </c>
      <c r="C1025" t="s">
        <v>43</v>
      </c>
      <c r="D1025" t="s">
        <v>127</v>
      </c>
      <c r="E1025" s="1">
        <v>46057</v>
      </c>
      <c r="F1025" t="s">
        <v>44</v>
      </c>
      <c r="G1025" t="s">
        <v>128</v>
      </c>
      <c r="H1025" s="2">
        <v>0.52083333333333337</v>
      </c>
      <c r="I1025" s="2">
        <v>0.99861111111111112</v>
      </c>
      <c r="J1025" t="s">
        <v>185</v>
      </c>
      <c r="K1025" t="s">
        <v>2742</v>
      </c>
      <c r="L1025" t="s">
        <v>186</v>
      </c>
      <c r="M1025" t="s">
        <v>1295</v>
      </c>
      <c r="N1025" t="s">
        <v>489</v>
      </c>
      <c r="O1025">
        <v>22571</v>
      </c>
      <c r="Q1025" t="s">
        <v>162</v>
      </c>
      <c r="R1025" t="s">
        <v>67</v>
      </c>
      <c r="S1025" t="s">
        <v>52</v>
      </c>
      <c r="U1025">
        <v>889345</v>
      </c>
      <c r="V1025" s="3">
        <v>46050.629861111112</v>
      </c>
      <c r="W1025" t="s">
        <v>3313</v>
      </c>
      <c r="X1025" t="s">
        <v>3314</v>
      </c>
      <c r="Y1025" t="str">
        <f>"0402089755"</f>
        <v>0402089755</v>
      </c>
      <c r="Z1025" t="s">
        <v>3315</v>
      </c>
      <c r="AB1025" t="s">
        <v>166</v>
      </c>
      <c r="AD1025" t="s">
        <v>61</v>
      </c>
      <c r="AE1025" t="s">
        <v>167</v>
      </c>
      <c r="AF1025">
        <v>2011</v>
      </c>
      <c r="AG1025" t="s">
        <v>162</v>
      </c>
      <c r="AI1025" t="s">
        <v>59</v>
      </c>
      <c r="AL1025" t="s">
        <v>2812</v>
      </c>
      <c r="AN1025" s="3">
        <v>46057.774305555555</v>
      </c>
      <c r="AO1025" t="s">
        <v>3313</v>
      </c>
    </row>
    <row r="1026" spans="1:41" x14ac:dyDescent="0.3">
      <c r="A1026" t="s">
        <v>75</v>
      </c>
      <c r="B1026" t="s">
        <v>2359</v>
      </c>
      <c r="C1026" t="s">
        <v>43</v>
      </c>
      <c r="D1026" t="s">
        <v>283</v>
      </c>
      <c r="E1026" s="1">
        <v>46057</v>
      </c>
      <c r="F1026" t="s">
        <v>44</v>
      </c>
      <c r="G1026" t="s">
        <v>128</v>
      </c>
      <c r="H1026" s="2">
        <v>0.52083333333333337</v>
      </c>
      <c r="I1026" s="2">
        <v>0.75</v>
      </c>
      <c r="J1026" t="s">
        <v>185</v>
      </c>
      <c r="L1026" t="s">
        <v>47</v>
      </c>
      <c r="M1026" t="s">
        <v>3282</v>
      </c>
      <c r="N1026" t="s">
        <v>3316</v>
      </c>
      <c r="O1026">
        <v>22370</v>
      </c>
      <c r="Q1026" t="s">
        <v>823</v>
      </c>
      <c r="R1026" t="s">
        <v>926</v>
      </c>
      <c r="S1026" t="s">
        <v>52</v>
      </c>
      <c r="U1026">
        <v>889367</v>
      </c>
      <c r="V1026" s="3">
        <v>46041.680555555555</v>
      </c>
      <c r="W1026" t="s">
        <v>3317</v>
      </c>
      <c r="X1026" t="s">
        <v>3318</v>
      </c>
      <c r="Y1026" t="str">
        <f>"0407446821"</f>
        <v>0407446821</v>
      </c>
      <c r="Z1026" t="s">
        <v>70</v>
      </c>
      <c r="AA1026" s="1">
        <v>46057</v>
      </c>
      <c r="AB1026" t="s">
        <v>2364</v>
      </c>
      <c r="AD1026" t="s">
        <v>75</v>
      </c>
      <c r="AE1026" t="s">
        <v>368</v>
      </c>
      <c r="AF1026">
        <v>6027</v>
      </c>
      <c r="AG1026" t="s">
        <v>823</v>
      </c>
      <c r="AI1026" t="s">
        <v>59</v>
      </c>
      <c r="AL1026" t="s">
        <v>3319</v>
      </c>
      <c r="AN1026" s="3">
        <v>46057.868055555555</v>
      </c>
      <c r="AO1026" t="s">
        <v>3317</v>
      </c>
    </row>
    <row r="1027" spans="1:41" x14ac:dyDescent="0.3">
      <c r="A1027" t="s">
        <v>168</v>
      </c>
      <c r="B1027" t="s">
        <v>376</v>
      </c>
      <c r="C1027" t="s">
        <v>43</v>
      </c>
      <c r="D1027" t="s">
        <v>127</v>
      </c>
      <c r="E1027" s="1">
        <v>46057</v>
      </c>
      <c r="F1027" t="s">
        <v>44</v>
      </c>
      <c r="G1027" t="s">
        <v>128</v>
      </c>
      <c r="H1027" s="2">
        <v>0.52083333333333337</v>
      </c>
      <c r="I1027" s="2">
        <v>0.85416666666666663</v>
      </c>
      <c r="J1027" t="s">
        <v>185</v>
      </c>
      <c r="L1027" t="s">
        <v>186</v>
      </c>
      <c r="M1027" t="s">
        <v>835</v>
      </c>
      <c r="N1027" t="s">
        <v>836</v>
      </c>
      <c r="O1027">
        <v>22947</v>
      </c>
      <c r="Q1027" t="s">
        <v>1924</v>
      </c>
      <c r="R1027" t="s">
        <v>231</v>
      </c>
      <c r="S1027" t="s">
        <v>52</v>
      </c>
      <c r="U1027">
        <v>889354</v>
      </c>
      <c r="V1027" s="3">
        <v>46008.60833333333</v>
      </c>
      <c r="W1027" t="s">
        <v>837</v>
      </c>
      <c r="X1027" t="s">
        <v>838</v>
      </c>
      <c r="Y1027" t="str">
        <f>"0415626656"</f>
        <v>0415626656</v>
      </c>
      <c r="Z1027" t="s">
        <v>70</v>
      </c>
      <c r="AB1027" t="s">
        <v>383</v>
      </c>
      <c r="AD1027" t="s">
        <v>168</v>
      </c>
      <c r="AE1027" t="s">
        <v>384</v>
      </c>
      <c r="AF1027">
        <v>5000</v>
      </c>
      <c r="AG1027" t="s">
        <v>674</v>
      </c>
      <c r="AI1027" t="s">
        <v>59</v>
      </c>
      <c r="AL1027" t="s">
        <v>3320</v>
      </c>
      <c r="AM1027" t="s">
        <v>3321</v>
      </c>
      <c r="AN1027" s="3">
        <v>46057.818055555559</v>
      </c>
      <c r="AO1027" t="s">
        <v>837</v>
      </c>
    </row>
    <row r="1028" spans="1:41" x14ac:dyDescent="0.3">
      <c r="A1028" t="s">
        <v>168</v>
      </c>
      <c r="B1028" t="s">
        <v>326</v>
      </c>
      <c r="C1028" t="s">
        <v>43</v>
      </c>
      <c r="D1028" t="s">
        <v>127</v>
      </c>
      <c r="E1028" s="1">
        <v>46057</v>
      </c>
      <c r="F1028" t="s">
        <v>44</v>
      </c>
      <c r="G1028" t="s">
        <v>128</v>
      </c>
      <c r="H1028" s="2">
        <v>0.52083333333333337</v>
      </c>
      <c r="I1028" s="2">
        <v>0.83333333333333337</v>
      </c>
      <c r="J1028" t="s">
        <v>185</v>
      </c>
      <c r="K1028" t="s">
        <v>327</v>
      </c>
      <c r="L1028" t="s">
        <v>186</v>
      </c>
      <c r="M1028" t="s">
        <v>1927</v>
      </c>
      <c r="N1028" t="s">
        <v>1928</v>
      </c>
      <c r="O1028">
        <v>5951825</v>
      </c>
      <c r="Q1028" t="s">
        <v>676</v>
      </c>
      <c r="R1028" t="s">
        <v>176</v>
      </c>
      <c r="S1028" t="s">
        <v>52</v>
      </c>
      <c r="U1028">
        <v>889344</v>
      </c>
      <c r="V1028" s="3">
        <v>46043.393750000003</v>
      </c>
      <c r="W1028" t="s">
        <v>1929</v>
      </c>
      <c r="X1028" t="s">
        <v>1930</v>
      </c>
      <c r="Y1028" t="str">
        <f>"0439336812"</f>
        <v>0439336812</v>
      </c>
      <c r="Z1028" t="s">
        <v>545</v>
      </c>
      <c r="AA1028" s="1">
        <v>46057</v>
      </c>
      <c r="AB1028" t="s">
        <v>333</v>
      </c>
      <c r="AD1028" t="s">
        <v>168</v>
      </c>
      <c r="AE1028" t="s">
        <v>334</v>
      </c>
      <c r="AF1028">
        <v>5034</v>
      </c>
      <c r="AG1028" t="s">
        <v>676</v>
      </c>
      <c r="AI1028" t="s">
        <v>59</v>
      </c>
      <c r="AL1028" t="s">
        <v>1931</v>
      </c>
      <c r="AN1028" s="3">
        <v>46057.770138888889</v>
      </c>
      <c r="AO1028" t="s">
        <v>1929</v>
      </c>
    </row>
    <row r="1029" spans="1:41" x14ac:dyDescent="0.3">
      <c r="A1029" t="s">
        <v>168</v>
      </c>
      <c r="B1029" t="s">
        <v>441</v>
      </c>
      <c r="C1029" t="s">
        <v>43</v>
      </c>
      <c r="E1029" s="1">
        <v>46057</v>
      </c>
      <c r="F1029" t="s">
        <v>44</v>
      </c>
      <c r="G1029" t="s">
        <v>128</v>
      </c>
      <c r="H1029" s="2">
        <v>0.52083333333333337</v>
      </c>
      <c r="I1029" s="2">
        <v>0.85416666666666663</v>
      </c>
      <c r="J1029" t="s">
        <v>185</v>
      </c>
      <c r="K1029" t="s">
        <v>678</v>
      </c>
      <c r="L1029" t="s">
        <v>186</v>
      </c>
      <c r="M1029" t="s">
        <v>798</v>
      </c>
      <c r="N1029" t="s">
        <v>799</v>
      </c>
      <c r="O1029">
        <v>20875</v>
      </c>
      <c r="Q1029" t="s">
        <v>944</v>
      </c>
      <c r="R1029" t="s">
        <v>500</v>
      </c>
      <c r="S1029" t="s">
        <v>52</v>
      </c>
      <c r="U1029">
        <v>889351</v>
      </c>
      <c r="V1029" s="3">
        <v>46050.968055555553</v>
      </c>
      <c r="W1029" t="s">
        <v>800</v>
      </c>
      <c r="X1029" t="s">
        <v>801</v>
      </c>
      <c r="Y1029" t="str">
        <f>"0417001267"</f>
        <v>0417001267</v>
      </c>
      <c r="Z1029" t="s">
        <v>2062</v>
      </c>
      <c r="AB1029" t="s">
        <v>448</v>
      </c>
      <c r="AD1029" t="s">
        <v>168</v>
      </c>
      <c r="AE1029" t="s">
        <v>180</v>
      </c>
      <c r="AF1029">
        <v>5063</v>
      </c>
      <c r="AG1029" t="s">
        <v>944</v>
      </c>
      <c r="AI1029" t="s">
        <v>59</v>
      </c>
      <c r="AL1029" t="s">
        <v>1720</v>
      </c>
      <c r="AN1029" s="3">
        <v>46057.802083333336</v>
      </c>
      <c r="AO1029" t="s">
        <v>800</v>
      </c>
    </row>
    <row r="1030" spans="1:41" x14ac:dyDescent="0.3">
      <c r="A1030" t="s">
        <v>168</v>
      </c>
      <c r="B1030" t="s">
        <v>215</v>
      </c>
      <c r="C1030" t="s">
        <v>43</v>
      </c>
      <c r="D1030" t="s">
        <v>127</v>
      </c>
      <c r="E1030" s="1">
        <v>46057</v>
      </c>
      <c r="F1030" t="s">
        <v>44</v>
      </c>
      <c r="G1030" t="s">
        <v>128</v>
      </c>
      <c r="H1030" s="2">
        <v>0.52083333333333337</v>
      </c>
      <c r="I1030" s="2">
        <v>0.85416666666666663</v>
      </c>
      <c r="J1030" t="s">
        <v>258</v>
      </c>
      <c r="K1030" t="s">
        <v>259</v>
      </c>
      <c r="L1030" t="s">
        <v>186</v>
      </c>
      <c r="M1030" t="s">
        <v>651</v>
      </c>
      <c r="N1030" t="s">
        <v>412</v>
      </c>
      <c r="O1030">
        <v>21855</v>
      </c>
      <c r="Q1030" t="s">
        <v>3322</v>
      </c>
      <c r="R1030" t="s">
        <v>176</v>
      </c>
      <c r="S1030" t="s">
        <v>52</v>
      </c>
      <c r="U1030">
        <v>889376</v>
      </c>
      <c r="V1030" s="3">
        <v>46043.772222222222</v>
      </c>
      <c r="W1030" t="s">
        <v>652</v>
      </c>
      <c r="X1030" t="s">
        <v>653</v>
      </c>
      <c r="Y1030" t="str">
        <f>"0407317111"</f>
        <v>0407317111</v>
      </c>
      <c r="Z1030" t="s">
        <v>3323</v>
      </c>
      <c r="AB1030" t="s">
        <v>222</v>
      </c>
      <c r="AD1030" t="s">
        <v>168</v>
      </c>
      <c r="AE1030" t="s">
        <v>223</v>
      </c>
      <c r="AF1030">
        <v>5069</v>
      </c>
      <c r="AG1030" t="s">
        <v>219</v>
      </c>
      <c r="AI1030" t="s">
        <v>59</v>
      </c>
      <c r="AL1030" t="s">
        <v>2839</v>
      </c>
      <c r="AN1030" s="3">
        <v>46057.936805555553</v>
      </c>
      <c r="AO1030" t="s">
        <v>652</v>
      </c>
    </row>
    <row r="1031" spans="1:41" x14ac:dyDescent="0.3">
      <c r="A1031" t="s">
        <v>61</v>
      </c>
      <c r="B1031" t="s">
        <v>62</v>
      </c>
      <c r="C1031" t="s">
        <v>100</v>
      </c>
      <c r="D1031" t="s">
        <v>63</v>
      </c>
      <c r="E1031" s="1">
        <v>46057</v>
      </c>
      <c r="F1031" t="s">
        <v>44</v>
      </c>
      <c r="G1031" t="s">
        <v>128</v>
      </c>
      <c r="H1031" s="2">
        <v>0.54166666666666663</v>
      </c>
      <c r="I1031" s="2">
        <v>0.89583333333333337</v>
      </c>
      <c r="J1031" t="s">
        <v>100</v>
      </c>
      <c r="L1031" t="s">
        <v>100</v>
      </c>
      <c r="M1031" t="s">
        <v>101</v>
      </c>
      <c r="N1031" t="s">
        <v>102</v>
      </c>
      <c r="O1031">
        <v>27</v>
      </c>
      <c r="Q1031" t="s">
        <v>103</v>
      </c>
      <c r="R1031" t="s">
        <v>67</v>
      </c>
      <c r="S1031" t="s">
        <v>52</v>
      </c>
      <c r="U1031">
        <v>889369</v>
      </c>
      <c r="V1031" s="3">
        <v>46034.648611111108</v>
      </c>
      <c r="W1031" t="s">
        <v>104</v>
      </c>
      <c r="X1031" t="s">
        <v>105</v>
      </c>
      <c r="Y1031" t="str">
        <f>"0403748369"</f>
        <v>0403748369</v>
      </c>
      <c r="Z1031" t="s">
        <v>3324</v>
      </c>
      <c r="AB1031" t="s">
        <v>71</v>
      </c>
      <c r="AD1031" t="s">
        <v>61</v>
      </c>
      <c r="AE1031" t="s">
        <v>72</v>
      </c>
      <c r="AF1031">
        <v>2747</v>
      </c>
      <c r="AG1031" t="s">
        <v>1051</v>
      </c>
      <c r="AI1031" t="s">
        <v>59</v>
      </c>
      <c r="AL1031" t="s">
        <v>2812</v>
      </c>
      <c r="AN1031" s="3">
        <v>46057.884027777778</v>
      </c>
      <c r="AO1031" t="s">
        <v>104</v>
      </c>
    </row>
    <row r="1032" spans="1:41" x14ac:dyDescent="0.3">
      <c r="A1032" t="s">
        <v>168</v>
      </c>
      <c r="B1032" t="s">
        <v>376</v>
      </c>
      <c r="C1032" t="s">
        <v>202</v>
      </c>
      <c r="D1032" t="s">
        <v>127</v>
      </c>
      <c r="E1032" s="1">
        <v>46057</v>
      </c>
      <c r="F1032" t="s">
        <v>44</v>
      </c>
      <c r="G1032" t="s">
        <v>128</v>
      </c>
      <c r="H1032" s="2">
        <v>0.54166666666666663</v>
      </c>
      <c r="I1032" s="2">
        <v>0.875</v>
      </c>
      <c r="J1032" t="s">
        <v>46</v>
      </c>
      <c r="L1032" t="s">
        <v>47</v>
      </c>
      <c r="M1032" t="s">
        <v>1603</v>
      </c>
      <c r="N1032" t="s">
        <v>1604</v>
      </c>
      <c r="O1032">
        <v>5952018</v>
      </c>
      <c r="Q1032" t="s">
        <v>670</v>
      </c>
      <c r="R1032" t="s">
        <v>1390</v>
      </c>
      <c r="S1032" t="s">
        <v>52</v>
      </c>
      <c r="U1032">
        <v>889353</v>
      </c>
      <c r="V1032" s="3">
        <v>46050.586111111108</v>
      </c>
      <c r="W1032" t="s">
        <v>1606</v>
      </c>
      <c r="X1032" t="s">
        <v>1607</v>
      </c>
      <c r="Y1032" t="str">
        <f>"0415208433"</f>
        <v>0415208433</v>
      </c>
      <c r="Z1032" t="s">
        <v>70</v>
      </c>
      <c r="AA1032" s="1">
        <v>46057</v>
      </c>
      <c r="AB1032" t="s">
        <v>383</v>
      </c>
      <c r="AD1032" t="s">
        <v>168</v>
      </c>
      <c r="AE1032" t="s">
        <v>384</v>
      </c>
      <c r="AF1032">
        <v>5000</v>
      </c>
      <c r="AI1032" t="s">
        <v>59</v>
      </c>
      <c r="AL1032" t="s">
        <v>385</v>
      </c>
      <c r="AM1032" t="s">
        <v>3325</v>
      </c>
      <c r="AN1032" s="3">
        <v>46057.809027777781</v>
      </c>
      <c r="AO1032" t="s">
        <v>1606</v>
      </c>
    </row>
    <row r="1033" spans="1:41" x14ac:dyDescent="0.3">
      <c r="A1033" t="s">
        <v>61</v>
      </c>
      <c r="B1033" t="s">
        <v>182</v>
      </c>
      <c r="C1033" t="s">
        <v>100</v>
      </c>
      <c r="D1033" t="s">
        <v>184</v>
      </c>
      <c r="E1033" s="1">
        <v>46057</v>
      </c>
      <c r="F1033" t="s">
        <v>44</v>
      </c>
      <c r="G1033" t="s">
        <v>128</v>
      </c>
      <c r="H1033" s="2">
        <v>0.54166666666666663</v>
      </c>
      <c r="I1033" s="2">
        <v>0.89583333333333337</v>
      </c>
      <c r="J1033" t="s">
        <v>100</v>
      </c>
      <c r="L1033" t="s">
        <v>100</v>
      </c>
      <c r="M1033" t="s">
        <v>1912</v>
      </c>
      <c r="N1033" t="s">
        <v>1913</v>
      </c>
      <c r="O1033">
        <v>21784</v>
      </c>
      <c r="Q1033" t="s">
        <v>1190</v>
      </c>
      <c r="R1033" t="s">
        <v>67</v>
      </c>
      <c r="S1033" t="s">
        <v>52</v>
      </c>
      <c r="U1033">
        <v>889368</v>
      </c>
      <c r="V1033" s="3">
        <v>46044.34097222222</v>
      </c>
      <c r="W1033" t="s">
        <v>1914</v>
      </c>
      <c r="X1033" t="s">
        <v>1915</v>
      </c>
      <c r="Y1033" t="str">
        <f>"0433077068"</f>
        <v>0433077068</v>
      </c>
      <c r="Z1033" t="s">
        <v>3326</v>
      </c>
      <c r="AB1033" t="s">
        <v>193</v>
      </c>
      <c r="AD1033" t="s">
        <v>61</v>
      </c>
      <c r="AE1033" t="s">
        <v>194</v>
      </c>
      <c r="AF1033">
        <v>2229</v>
      </c>
      <c r="AG1033" t="s">
        <v>1045</v>
      </c>
      <c r="AI1033" t="s">
        <v>59</v>
      </c>
      <c r="AL1033" t="s">
        <v>2812</v>
      </c>
      <c r="AN1033" s="3">
        <v>46057.883333333331</v>
      </c>
      <c r="AO1033" t="s">
        <v>1914</v>
      </c>
    </row>
    <row r="1034" spans="1:41" x14ac:dyDescent="0.3">
      <c r="A1034" t="s">
        <v>61</v>
      </c>
      <c r="B1034" t="s">
        <v>912</v>
      </c>
      <c r="C1034" t="s">
        <v>913</v>
      </c>
      <c r="D1034" t="s">
        <v>184</v>
      </c>
      <c r="E1034" s="1">
        <v>46057</v>
      </c>
      <c r="F1034" t="s">
        <v>44</v>
      </c>
      <c r="G1034" t="s">
        <v>128</v>
      </c>
      <c r="H1034" s="2">
        <v>0.54166666666666663</v>
      </c>
      <c r="I1034" s="2">
        <v>0.85416666666666663</v>
      </c>
      <c r="J1034" t="s">
        <v>46</v>
      </c>
      <c r="L1034" t="s">
        <v>47</v>
      </c>
      <c r="M1034" t="s">
        <v>1578</v>
      </c>
      <c r="N1034" t="s">
        <v>1803</v>
      </c>
      <c r="O1034">
        <v>5950668</v>
      </c>
      <c r="Q1034" t="s">
        <v>916</v>
      </c>
      <c r="R1034" t="s">
        <v>132</v>
      </c>
      <c r="S1034" t="s">
        <v>52</v>
      </c>
      <c r="U1034">
        <v>889361</v>
      </c>
      <c r="V1034" s="3">
        <v>46038.654861111114</v>
      </c>
      <c r="W1034" t="s">
        <v>1804</v>
      </c>
      <c r="X1034" t="s">
        <v>1805</v>
      </c>
      <c r="Y1034" t="str">
        <f>"0429048174"</f>
        <v>0429048174</v>
      </c>
      <c r="Z1034" t="s">
        <v>1862</v>
      </c>
      <c r="AB1034" t="s">
        <v>920</v>
      </c>
      <c r="AC1034" t="s">
        <v>921</v>
      </c>
      <c r="AD1034" t="s">
        <v>61</v>
      </c>
      <c r="AE1034" t="s">
        <v>922</v>
      </c>
      <c r="AF1034">
        <v>2228</v>
      </c>
      <c r="AG1034" t="s">
        <v>1807</v>
      </c>
      <c r="AI1034" t="s">
        <v>59</v>
      </c>
      <c r="AL1034" t="s">
        <v>2812</v>
      </c>
      <c r="AN1034" s="3">
        <v>46057.847916666666</v>
      </c>
      <c r="AO1034" t="s">
        <v>1804</v>
      </c>
    </row>
    <row r="1035" spans="1:41" x14ac:dyDescent="0.3">
      <c r="A1035" t="s">
        <v>168</v>
      </c>
      <c r="B1035" t="s">
        <v>225</v>
      </c>
      <c r="C1035" t="s">
        <v>226</v>
      </c>
      <c r="D1035" t="s">
        <v>227</v>
      </c>
      <c r="E1035" s="1">
        <v>46057</v>
      </c>
      <c r="F1035" t="s">
        <v>44</v>
      </c>
      <c r="G1035" t="s">
        <v>128</v>
      </c>
      <c r="H1035" s="2">
        <v>0.54166666666666663</v>
      </c>
      <c r="I1035" s="2">
        <v>0.75</v>
      </c>
      <c r="J1035" t="s">
        <v>101</v>
      </c>
      <c r="K1035" t="s">
        <v>1022</v>
      </c>
      <c r="L1035" t="s">
        <v>159</v>
      </c>
      <c r="M1035" t="s">
        <v>842</v>
      </c>
      <c r="N1035" t="s">
        <v>1247</v>
      </c>
      <c r="O1035">
        <v>5951105</v>
      </c>
      <c r="Q1035" t="s">
        <v>230</v>
      </c>
      <c r="R1035" t="s">
        <v>1722</v>
      </c>
      <c r="S1035" t="s">
        <v>52</v>
      </c>
      <c r="U1035">
        <v>889337</v>
      </c>
      <c r="V1035" s="3">
        <v>46007.73541666667</v>
      </c>
      <c r="W1035" t="s">
        <v>1249</v>
      </c>
      <c r="X1035" t="s">
        <v>1250</v>
      </c>
      <c r="Y1035" t="str">
        <f>"0407977988"</f>
        <v>0407977988</v>
      </c>
      <c r="Z1035" t="s">
        <v>290</v>
      </c>
      <c r="AB1035" t="s">
        <v>235</v>
      </c>
      <c r="AD1035" t="s">
        <v>168</v>
      </c>
      <c r="AE1035" t="s">
        <v>236</v>
      </c>
      <c r="AF1035">
        <v>5087</v>
      </c>
      <c r="AI1035" t="s">
        <v>59</v>
      </c>
      <c r="AL1035" t="s">
        <v>3327</v>
      </c>
      <c r="AM1035" t="s">
        <v>3328</v>
      </c>
      <c r="AN1035" s="3">
        <v>46057.725694444445</v>
      </c>
      <c r="AO1035" t="s">
        <v>1249</v>
      </c>
    </row>
    <row r="1036" spans="1:41" x14ac:dyDescent="0.3">
      <c r="A1036" t="s">
        <v>168</v>
      </c>
      <c r="B1036" t="s">
        <v>2606</v>
      </c>
      <c r="C1036" t="s">
        <v>2607</v>
      </c>
      <c r="D1036" t="s">
        <v>268</v>
      </c>
      <c r="E1036" s="1">
        <v>46057</v>
      </c>
      <c r="F1036" t="s">
        <v>44</v>
      </c>
      <c r="G1036" t="s">
        <v>128</v>
      </c>
      <c r="H1036" s="2">
        <v>0.5625</v>
      </c>
      <c r="I1036" s="2">
        <v>0.89583333333333337</v>
      </c>
      <c r="J1036" t="s">
        <v>296</v>
      </c>
      <c r="K1036" t="s">
        <v>849</v>
      </c>
      <c r="L1036" t="s">
        <v>339</v>
      </c>
      <c r="M1036" t="s">
        <v>340</v>
      </c>
      <c r="N1036" t="s">
        <v>341</v>
      </c>
      <c r="O1036">
        <v>5951711</v>
      </c>
      <c r="Q1036" t="s">
        <v>705</v>
      </c>
      <c r="R1036" t="s">
        <v>231</v>
      </c>
      <c r="S1036" t="s">
        <v>52</v>
      </c>
      <c r="U1036">
        <v>889371</v>
      </c>
      <c r="V1036" s="3">
        <v>46057.451388888891</v>
      </c>
      <c r="W1036" t="s">
        <v>343</v>
      </c>
      <c r="X1036" t="s">
        <v>344</v>
      </c>
      <c r="Y1036" t="str">
        <f>"0422996486"</f>
        <v>0422996486</v>
      </c>
      <c r="Z1036" t="s">
        <v>70</v>
      </c>
      <c r="AA1036" s="1">
        <v>46057</v>
      </c>
      <c r="AB1036" t="s">
        <v>2608</v>
      </c>
      <c r="AC1036" t="s">
        <v>2609</v>
      </c>
      <c r="AD1036" t="s">
        <v>168</v>
      </c>
      <c r="AE1036" t="s">
        <v>2610</v>
      </c>
      <c r="AF1036">
        <v>5211</v>
      </c>
      <c r="AI1036" t="s">
        <v>59</v>
      </c>
      <c r="AL1036" t="s">
        <v>3329</v>
      </c>
      <c r="AM1036" t="s">
        <v>3330</v>
      </c>
      <c r="AN1036" s="3">
        <v>46057.907638888886</v>
      </c>
      <c r="AO1036" t="s">
        <v>343</v>
      </c>
    </row>
    <row r="1037" spans="1:41" x14ac:dyDescent="0.3">
      <c r="A1037" t="s">
        <v>61</v>
      </c>
      <c r="B1037" t="s">
        <v>1937</v>
      </c>
      <c r="C1037" t="s">
        <v>202</v>
      </c>
      <c r="D1037" t="s">
        <v>184</v>
      </c>
      <c r="E1037" s="1">
        <v>46057</v>
      </c>
      <c r="F1037" t="s">
        <v>44</v>
      </c>
      <c r="G1037" t="s">
        <v>128</v>
      </c>
      <c r="H1037" s="2">
        <v>0.5625</v>
      </c>
      <c r="I1037" s="2">
        <v>0.91666666666666663</v>
      </c>
      <c r="J1037" t="s">
        <v>46</v>
      </c>
      <c r="L1037" t="s">
        <v>47</v>
      </c>
      <c r="M1037" t="s">
        <v>351</v>
      </c>
      <c r="N1037" t="s">
        <v>352</v>
      </c>
      <c r="O1037">
        <v>5951965</v>
      </c>
      <c r="Q1037" t="s">
        <v>3331</v>
      </c>
      <c r="R1037" t="s">
        <v>132</v>
      </c>
      <c r="S1037" t="s">
        <v>52</v>
      </c>
      <c r="U1037">
        <v>889352</v>
      </c>
      <c r="V1037" s="3">
        <v>46056.417361111111</v>
      </c>
      <c r="W1037" t="s">
        <v>354</v>
      </c>
      <c r="X1037" t="s">
        <v>355</v>
      </c>
      <c r="Y1037" t="str">
        <f>"0430083393"</f>
        <v>0430083393</v>
      </c>
      <c r="Z1037" t="s">
        <v>70</v>
      </c>
      <c r="AA1037" s="1">
        <v>46057</v>
      </c>
      <c r="AB1037" t="s">
        <v>1942</v>
      </c>
      <c r="AD1037" t="s">
        <v>61</v>
      </c>
      <c r="AE1037" t="s">
        <v>1943</v>
      </c>
      <c r="AF1037">
        <v>2065</v>
      </c>
      <c r="AG1037" t="s">
        <v>3332</v>
      </c>
      <c r="AI1037" t="s">
        <v>59</v>
      </c>
      <c r="AL1037" t="s">
        <v>87</v>
      </c>
      <c r="AN1037" s="3">
        <v>46057.807638888888</v>
      </c>
      <c r="AO1037" t="s">
        <v>354</v>
      </c>
    </row>
    <row r="1038" spans="1:41" x14ac:dyDescent="0.3">
      <c r="A1038" t="s">
        <v>75</v>
      </c>
      <c r="B1038" t="s">
        <v>895</v>
      </c>
      <c r="C1038" t="s">
        <v>1621</v>
      </c>
      <c r="D1038" t="s">
        <v>184</v>
      </c>
      <c r="E1038" s="1">
        <v>46057</v>
      </c>
      <c r="F1038" t="s">
        <v>44</v>
      </c>
      <c r="G1038" t="s">
        <v>128</v>
      </c>
      <c r="H1038" s="2">
        <v>0.58333333333333337</v>
      </c>
      <c r="I1038" s="2">
        <v>0.91666666666666663</v>
      </c>
      <c r="J1038" t="s">
        <v>296</v>
      </c>
      <c r="L1038" t="s">
        <v>1453</v>
      </c>
      <c r="M1038" t="s">
        <v>1622</v>
      </c>
      <c r="N1038" t="s">
        <v>1623</v>
      </c>
      <c r="O1038">
        <v>5952211</v>
      </c>
      <c r="Q1038" t="s">
        <v>1179</v>
      </c>
      <c r="R1038" t="s">
        <v>500</v>
      </c>
      <c r="S1038" t="s">
        <v>52</v>
      </c>
      <c r="U1038">
        <v>889543</v>
      </c>
      <c r="V1038" s="3">
        <v>46042.807638888888</v>
      </c>
      <c r="W1038" t="s">
        <v>1624</v>
      </c>
      <c r="X1038" t="s">
        <v>1625</v>
      </c>
      <c r="Y1038" t="str">
        <f>"0494406921"</f>
        <v>0494406921</v>
      </c>
      <c r="Z1038" t="s">
        <v>2278</v>
      </c>
      <c r="AB1038" t="s">
        <v>902</v>
      </c>
      <c r="AD1038" t="s">
        <v>75</v>
      </c>
      <c r="AE1038" t="s">
        <v>903</v>
      </c>
      <c r="AF1038">
        <v>6009</v>
      </c>
      <c r="AG1038" t="s">
        <v>1179</v>
      </c>
      <c r="AI1038" t="s">
        <v>59</v>
      </c>
      <c r="AL1038" t="s">
        <v>1626</v>
      </c>
      <c r="AN1038" s="3">
        <v>46059.043055555558</v>
      </c>
      <c r="AO1038" t="s">
        <v>1624</v>
      </c>
    </row>
    <row r="1039" spans="1:41" x14ac:dyDescent="0.3">
      <c r="A1039" t="s">
        <v>168</v>
      </c>
      <c r="B1039" t="s">
        <v>376</v>
      </c>
      <c r="C1039" t="s">
        <v>100</v>
      </c>
      <c r="D1039" t="s">
        <v>127</v>
      </c>
      <c r="E1039" s="1">
        <v>46057</v>
      </c>
      <c r="F1039" t="s">
        <v>44</v>
      </c>
      <c r="G1039" t="s">
        <v>128</v>
      </c>
      <c r="H1039" s="2">
        <v>0.58333333333333337</v>
      </c>
      <c r="I1039" s="2">
        <v>0.875</v>
      </c>
      <c r="J1039" t="s">
        <v>100</v>
      </c>
      <c r="L1039" t="s">
        <v>100</v>
      </c>
      <c r="M1039" t="s">
        <v>377</v>
      </c>
      <c r="N1039" t="s">
        <v>378</v>
      </c>
      <c r="O1039">
        <v>21963</v>
      </c>
      <c r="Q1039" t="s">
        <v>2748</v>
      </c>
      <c r="R1039" t="s">
        <v>380</v>
      </c>
      <c r="S1039" t="s">
        <v>52</v>
      </c>
      <c r="U1039">
        <v>889357</v>
      </c>
      <c r="V1039" s="3">
        <v>46034.53125</v>
      </c>
      <c r="W1039" t="s">
        <v>381</v>
      </c>
      <c r="X1039" t="s">
        <v>382</v>
      </c>
      <c r="Y1039" t="str">
        <f>"0438336604"</f>
        <v>0438336604</v>
      </c>
      <c r="Z1039" t="s">
        <v>503</v>
      </c>
      <c r="AA1039" s="1">
        <v>46057</v>
      </c>
      <c r="AB1039" t="s">
        <v>383</v>
      </c>
      <c r="AD1039" t="s">
        <v>168</v>
      </c>
      <c r="AE1039" t="s">
        <v>384</v>
      </c>
      <c r="AF1039">
        <v>5000</v>
      </c>
      <c r="AI1039" t="s">
        <v>59</v>
      </c>
      <c r="AL1039" t="s">
        <v>385</v>
      </c>
      <c r="AM1039" t="s">
        <v>2749</v>
      </c>
      <c r="AN1039" s="3">
        <v>46057.826388888891</v>
      </c>
      <c r="AO1039" t="s">
        <v>381</v>
      </c>
    </row>
    <row r="1040" spans="1:41" x14ac:dyDescent="0.3">
      <c r="A1040" t="s">
        <v>75</v>
      </c>
      <c r="B1040" t="s">
        <v>895</v>
      </c>
      <c r="C1040" t="s">
        <v>3333</v>
      </c>
      <c r="D1040" t="s">
        <v>184</v>
      </c>
      <c r="E1040" s="1">
        <v>46057</v>
      </c>
      <c r="F1040" t="s">
        <v>44</v>
      </c>
      <c r="G1040" t="s">
        <v>128</v>
      </c>
      <c r="H1040" s="2">
        <v>0.58333333333333337</v>
      </c>
      <c r="I1040" s="2">
        <v>0.91666666666666663</v>
      </c>
      <c r="J1040" t="s">
        <v>296</v>
      </c>
      <c r="L1040" t="s">
        <v>1453</v>
      </c>
      <c r="M1040" t="s">
        <v>3334</v>
      </c>
      <c r="N1040" t="s">
        <v>3335</v>
      </c>
      <c r="O1040">
        <v>5951764</v>
      </c>
      <c r="Q1040" t="s">
        <v>2159</v>
      </c>
      <c r="R1040" t="s">
        <v>926</v>
      </c>
      <c r="S1040" t="s">
        <v>52</v>
      </c>
      <c r="U1040">
        <v>889401</v>
      </c>
      <c r="V1040" s="3">
        <v>46050.515972222223</v>
      </c>
      <c r="W1040" t="s">
        <v>3336</v>
      </c>
      <c r="X1040" t="s">
        <v>3337</v>
      </c>
      <c r="Y1040" t="str">
        <f>"0466977945"</f>
        <v>0466977945</v>
      </c>
      <c r="Z1040" t="s">
        <v>70</v>
      </c>
      <c r="AA1040" s="1">
        <v>46057</v>
      </c>
      <c r="AB1040" t="s">
        <v>902</v>
      </c>
      <c r="AD1040" t="s">
        <v>75</v>
      </c>
      <c r="AE1040" t="s">
        <v>903</v>
      </c>
      <c r="AF1040">
        <v>6009</v>
      </c>
      <c r="AG1040" t="s">
        <v>2159</v>
      </c>
      <c r="AI1040" t="s">
        <v>59</v>
      </c>
      <c r="AL1040" t="s">
        <v>3338</v>
      </c>
      <c r="AN1040" s="3">
        <v>46058.031944444447</v>
      </c>
      <c r="AO1040" t="s">
        <v>3336</v>
      </c>
    </row>
    <row r="1041" spans="1:41" x14ac:dyDescent="0.3">
      <c r="A1041" t="s">
        <v>41</v>
      </c>
      <c r="B1041" t="s">
        <v>1284</v>
      </c>
      <c r="C1041" t="s">
        <v>2395</v>
      </c>
      <c r="D1041" t="s">
        <v>1286</v>
      </c>
      <c r="E1041" s="1">
        <v>46057</v>
      </c>
      <c r="F1041" t="s">
        <v>44</v>
      </c>
      <c r="G1041" t="s">
        <v>128</v>
      </c>
      <c r="H1041" s="2">
        <v>0.58333333333333337</v>
      </c>
      <c r="I1041" s="2">
        <v>0.9375</v>
      </c>
      <c r="J1041" t="s">
        <v>1314</v>
      </c>
      <c r="L1041" t="s">
        <v>1453</v>
      </c>
      <c r="M1041" t="s">
        <v>2803</v>
      </c>
      <c r="N1041" t="s">
        <v>2804</v>
      </c>
      <c r="O1041">
        <v>5952445</v>
      </c>
      <c r="Q1041" t="s">
        <v>413</v>
      </c>
      <c r="R1041" t="s">
        <v>51</v>
      </c>
      <c r="S1041" t="s">
        <v>119</v>
      </c>
      <c r="T1041" t="s">
        <v>3339</v>
      </c>
      <c r="U1041">
        <v>889803</v>
      </c>
      <c r="V1041" s="3">
        <v>46057.525694444441</v>
      </c>
      <c r="W1041" t="s">
        <v>2806</v>
      </c>
      <c r="X1041" t="s">
        <v>2807</v>
      </c>
      <c r="Y1041" t="str">
        <f>"0461578162"</f>
        <v>0461578162</v>
      </c>
      <c r="Z1041" t="s">
        <v>70</v>
      </c>
      <c r="AB1041" t="s">
        <v>1288</v>
      </c>
      <c r="AD1041" t="s">
        <v>41</v>
      </c>
      <c r="AE1041" t="s">
        <v>150</v>
      </c>
      <c r="AF1041">
        <v>4000</v>
      </c>
      <c r="AI1041" t="s">
        <v>59</v>
      </c>
      <c r="AL1041" t="s">
        <v>1068</v>
      </c>
      <c r="AM1041" t="s">
        <v>3340</v>
      </c>
      <c r="AN1041" s="3">
        <v>46058.347222222219</v>
      </c>
      <c r="AO1041" t="s">
        <v>51</v>
      </c>
    </row>
    <row r="1042" spans="1:41" x14ac:dyDescent="0.3">
      <c r="A1042" t="s">
        <v>168</v>
      </c>
      <c r="B1042" t="s">
        <v>400</v>
      </c>
      <c r="C1042" t="s">
        <v>100</v>
      </c>
      <c r="D1042" t="s">
        <v>401</v>
      </c>
      <c r="E1042" s="1">
        <v>46057</v>
      </c>
      <c r="F1042" t="s">
        <v>44</v>
      </c>
      <c r="G1042" t="s">
        <v>128</v>
      </c>
      <c r="H1042" s="2">
        <v>0.58333333333333337</v>
      </c>
      <c r="I1042" s="2">
        <v>0.91666666666666663</v>
      </c>
      <c r="J1042" t="s">
        <v>100</v>
      </c>
      <c r="L1042" t="s">
        <v>100</v>
      </c>
      <c r="M1042" t="s">
        <v>411</v>
      </c>
      <c r="N1042" t="s">
        <v>412</v>
      </c>
      <c r="O1042">
        <v>228</v>
      </c>
      <c r="Q1042" t="s">
        <v>2281</v>
      </c>
      <c r="R1042" t="s">
        <v>231</v>
      </c>
      <c r="S1042" t="s">
        <v>52</v>
      </c>
      <c r="U1042">
        <v>889375</v>
      </c>
      <c r="V1042" s="3">
        <v>46050.664583333331</v>
      </c>
      <c r="W1042" t="s">
        <v>415</v>
      </c>
      <c r="X1042" t="s">
        <v>416</v>
      </c>
      <c r="Y1042" t="str">
        <f>"0414869673"</f>
        <v>0414869673</v>
      </c>
      <c r="Z1042" t="s">
        <v>2442</v>
      </c>
      <c r="AB1042" t="s">
        <v>407</v>
      </c>
      <c r="AD1042" t="s">
        <v>168</v>
      </c>
      <c r="AE1042" t="s">
        <v>347</v>
      </c>
      <c r="AF1042">
        <v>5042</v>
      </c>
      <c r="AG1042" t="s">
        <v>1662</v>
      </c>
      <c r="AI1042" t="s">
        <v>59</v>
      </c>
      <c r="AL1042" t="s">
        <v>3341</v>
      </c>
      <c r="AM1042" t="s">
        <v>2752</v>
      </c>
      <c r="AN1042" s="3">
        <v>46057.936805555553</v>
      </c>
      <c r="AO1042" t="s">
        <v>415</v>
      </c>
    </row>
    <row r="1043" spans="1:41" x14ac:dyDescent="0.3">
      <c r="A1043" t="s">
        <v>306</v>
      </c>
      <c r="B1043" t="s">
        <v>528</v>
      </c>
      <c r="C1043" t="s">
        <v>1523</v>
      </c>
      <c r="D1043" t="s">
        <v>63</v>
      </c>
      <c r="E1043" s="1">
        <v>46057</v>
      </c>
      <c r="F1043" t="s">
        <v>44</v>
      </c>
      <c r="G1043" t="s">
        <v>128</v>
      </c>
      <c r="H1043" s="2">
        <v>0.60416666666666663</v>
      </c>
      <c r="I1043" s="2">
        <v>0.91666666666666663</v>
      </c>
      <c r="J1043" t="s">
        <v>296</v>
      </c>
      <c r="L1043" t="s">
        <v>2374</v>
      </c>
      <c r="M1043" t="s">
        <v>2375</v>
      </c>
      <c r="N1043" t="s">
        <v>2376</v>
      </c>
      <c r="O1043">
        <v>5952415</v>
      </c>
      <c r="Q1043" t="s">
        <v>2187</v>
      </c>
      <c r="R1043" t="s">
        <v>314</v>
      </c>
      <c r="S1043" t="s">
        <v>52</v>
      </c>
      <c r="U1043">
        <v>889372</v>
      </c>
      <c r="V1043" s="3">
        <v>46057.327777777777</v>
      </c>
      <c r="W1043" t="s">
        <v>2378</v>
      </c>
      <c r="X1043" t="s">
        <v>2379</v>
      </c>
      <c r="Y1043" t="str">
        <f>"0422461185"</f>
        <v>0422461185</v>
      </c>
      <c r="Z1043" t="s">
        <v>55</v>
      </c>
      <c r="AA1043" s="1">
        <v>46057</v>
      </c>
      <c r="AB1043" t="s">
        <v>537</v>
      </c>
      <c r="AD1043" t="s">
        <v>306</v>
      </c>
      <c r="AE1043" t="s">
        <v>538</v>
      </c>
      <c r="AF1043">
        <v>3152</v>
      </c>
      <c r="AG1043" t="s">
        <v>285</v>
      </c>
      <c r="AI1043" t="s">
        <v>59</v>
      </c>
      <c r="AL1043" t="s">
        <v>87</v>
      </c>
      <c r="AN1043" s="3">
        <v>46057.908333333333</v>
      </c>
      <c r="AO1043" t="s">
        <v>2378</v>
      </c>
    </row>
    <row r="1044" spans="1:41" x14ac:dyDescent="0.3">
      <c r="A1044" t="s">
        <v>41</v>
      </c>
      <c r="B1044" t="s">
        <v>589</v>
      </c>
      <c r="C1044" t="s">
        <v>590</v>
      </c>
      <c r="D1044" t="s">
        <v>246</v>
      </c>
      <c r="E1044" s="1">
        <v>46057</v>
      </c>
      <c r="F1044" t="s">
        <v>44</v>
      </c>
      <c r="G1044" t="s">
        <v>128</v>
      </c>
      <c r="H1044" s="2">
        <v>0.60416666666666663</v>
      </c>
      <c r="I1044" s="2">
        <v>0.95833333333333337</v>
      </c>
      <c r="J1044" t="s">
        <v>591</v>
      </c>
      <c r="L1044" t="s">
        <v>592</v>
      </c>
      <c r="M1044" t="s">
        <v>593</v>
      </c>
      <c r="N1044" t="s">
        <v>594</v>
      </c>
      <c r="O1044">
        <v>5952427</v>
      </c>
      <c r="P1044" t="s">
        <v>249</v>
      </c>
      <c r="Q1044" t="s">
        <v>596</v>
      </c>
      <c r="R1044" t="s">
        <v>392</v>
      </c>
      <c r="S1044" t="s">
        <v>52</v>
      </c>
      <c r="T1044" t="s">
        <v>252</v>
      </c>
      <c r="U1044">
        <v>889906</v>
      </c>
      <c r="V1044" s="3">
        <v>46062.880555555559</v>
      </c>
      <c r="W1044" t="s">
        <v>597</v>
      </c>
      <c r="X1044" t="s">
        <v>598</v>
      </c>
      <c r="Y1044" t="str">
        <f>"0432677728"</f>
        <v>0432677728</v>
      </c>
      <c r="Z1044" t="s">
        <v>585</v>
      </c>
      <c r="AA1044" s="1">
        <v>46082</v>
      </c>
      <c r="AB1044" t="s">
        <v>599</v>
      </c>
      <c r="AC1044" t="s">
        <v>600</v>
      </c>
      <c r="AD1044" t="s">
        <v>41</v>
      </c>
      <c r="AE1044" t="s">
        <v>600</v>
      </c>
      <c r="AF1044">
        <v>4610</v>
      </c>
      <c r="AG1044" t="s">
        <v>601</v>
      </c>
      <c r="AI1044" t="s">
        <v>59</v>
      </c>
      <c r="AJ1044" t="str">
        <f>"0050075752"</f>
        <v>0050075752</v>
      </c>
      <c r="AN1044" s="3">
        <v>46062.880555555559</v>
      </c>
      <c r="AO1044" t="s">
        <v>392</v>
      </c>
    </row>
    <row r="1045" spans="1:41" x14ac:dyDescent="0.3">
      <c r="A1045" t="s">
        <v>168</v>
      </c>
      <c r="B1045" t="s">
        <v>282</v>
      </c>
      <c r="C1045" t="s">
        <v>170</v>
      </c>
      <c r="D1045" t="s">
        <v>283</v>
      </c>
      <c r="E1045" s="1">
        <v>46057</v>
      </c>
      <c r="F1045" t="s">
        <v>44</v>
      </c>
      <c r="G1045" t="s">
        <v>128</v>
      </c>
      <c r="H1045" s="2">
        <v>0.60416666666666663</v>
      </c>
      <c r="I1045" s="2">
        <v>0.83333333333333337</v>
      </c>
      <c r="J1045" t="s">
        <v>170</v>
      </c>
      <c r="K1045" t="s">
        <v>203</v>
      </c>
      <c r="L1045" t="s">
        <v>47</v>
      </c>
      <c r="M1045" t="s">
        <v>1089</v>
      </c>
      <c r="N1045" t="s">
        <v>1024</v>
      </c>
      <c r="O1045">
        <v>20963</v>
      </c>
      <c r="Q1045" t="s">
        <v>287</v>
      </c>
      <c r="R1045" t="s">
        <v>231</v>
      </c>
      <c r="S1045" t="s">
        <v>52</v>
      </c>
      <c r="U1045">
        <v>889356</v>
      </c>
      <c r="V1045" s="3">
        <v>46056.633333333331</v>
      </c>
      <c r="W1045" t="s">
        <v>1091</v>
      </c>
      <c r="X1045" t="s">
        <v>1092</v>
      </c>
      <c r="Y1045" t="str">
        <f>"0430222501"</f>
        <v>0430222501</v>
      </c>
      <c r="Z1045" t="s">
        <v>1399</v>
      </c>
      <c r="AB1045" t="s">
        <v>291</v>
      </c>
      <c r="AC1045" t="s">
        <v>292</v>
      </c>
      <c r="AD1045" t="s">
        <v>168</v>
      </c>
      <c r="AE1045" t="s">
        <v>293</v>
      </c>
      <c r="AF1045">
        <v>5037</v>
      </c>
      <c r="AG1045" t="s">
        <v>294</v>
      </c>
      <c r="AI1045" t="s">
        <v>59</v>
      </c>
      <c r="AL1045" t="s">
        <v>3342</v>
      </c>
      <c r="AN1045" s="3">
        <v>46057.825694444444</v>
      </c>
      <c r="AO1045" t="s">
        <v>1091</v>
      </c>
    </row>
    <row r="1046" spans="1:41" x14ac:dyDescent="0.3">
      <c r="A1046" t="s">
        <v>168</v>
      </c>
      <c r="B1046" t="s">
        <v>376</v>
      </c>
      <c r="C1046" t="s">
        <v>3343</v>
      </c>
      <c r="D1046" t="s">
        <v>1386</v>
      </c>
      <c r="E1046" s="1">
        <v>46057</v>
      </c>
      <c r="F1046" t="s">
        <v>44</v>
      </c>
      <c r="G1046" t="s">
        <v>128</v>
      </c>
      <c r="H1046" s="2">
        <v>0.625</v>
      </c>
      <c r="I1046" s="2">
        <v>0.83333333333333337</v>
      </c>
      <c r="J1046" t="s">
        <v>170</v>
      </c>
      <c r="K1046" t="s">
        <v>203</v>
      </c>
      <c r="L1046" t="s">
        <v>790</v>
      </c>
      <c r="M1046" t="s">
        <v>2937</v>
      </c>
      <c r="N1046" t="s">
        <v>3344</v>
      </c>
      <c r="O1046">
        <v>95</v>
      </c>
      <c r="Q1046" t="s">
        <v>2831</v>
      </c>
      <c r="R1046" t="s">
        <v>2237</v>
      </c>
      <c r="S1046" t="s">
        <v>52</v>
      </c>
      <c r="U1046">
        <v>889359</v>
      </c>
      <c r="V1046" s="3">
        <v>46056.56527777778</v>
      </c>
      <c r="W1046" t="s">
        <v>3345</v>
      </c>
      <c r="X1046" t="s">
        <v>3346</v>
      </c>
      <c r="Y1046" t="str">
        <f>"0431966383"</f>
        <v>0431966383</v>
      </c>
      <c r="Z1046" t="s">
        <v>70</v>
      </c>
      <c r="AA1046" s="1">
        <v>46057</v>
      </c>
      <c r="AB1046" t="s">
        <v>383</v>
      </c>
      <c r="AD1046" t="s">
        <v>168</v>
      </c>
      <c r="AE1046" t="s">
        <v>384</v>
      </c>
      <c r="AF1046">
        <v>5000</v>
      </c>
      <c r="AI1046" t="s">
        <v>59</v>
      </c>
      <c r="AL1046" t="s">
        <v>3347</v>
      </c>
      <c r="AN1046" s="3">
        <v>46057.834027777775</v>
      </c>
      <c r="AO1046" t="s">
        <v>3345</v>
      </c>
    </row>
    <row r="1047" spans="1:41" x14ac:dyDescent="0.3">
      <c r="A1047" t="s">
        <v>306</v>
      </c>
      <c r="B1047" t="s">
        <v>1060</v>
      </c>
      <c r="C1047" t="s">
        <v>100</v>
      </c>
      <c r="D1047" t="s">
        <v>184</v>
      </c>
      <c r="E1047" s="1">
        <v>46057</v>
      </c>
      <c r="F1047" t="s">
        <v>44</v>
      </c>
      <c r="G1047" t="s">
        <v>485</v>
      </c>
      <c r="H1047" s="2">
        <v>0.625</v>
      </c>
      <c r="I1047" s="2">
        <v>0</v>
      </c>
      <c r="J1047" t="s">
        <v>1061</v>
      </c>
      <c r="L1047" t="s">
        <v>473</v>
      </c>
      <c r="M1047" t="s">
        <v>474</v>
      </c>
      <c r="N1047" t="s">
        <v>475</v>
      </c>
      <c r="O1047">
        <v>5950662</v>
      </c>
      <c r="Q1047" t="s">
        <v>3214</v>
      </c>
      <c r="R1047" t="s">
        <v>314</v>
      </c>
      <c r="S1047" t="s">
        <v>119</v>
      </c>
      <c r="T1047" t="s">
        <v>414</v>
      </c>
      <c r="U1047">
        <v>889963</v>
      </c>
      <c r="V1047" s="3">
        <v>46056.606944444444</v>
      </c>
      <c r="W1047" t="s">
        <v>477</v>
      </c>
      <c r="X1047" t="s">
        <v>478</v>
      </c>
      <c r="Y1047" t="str">
        <f>"0449808311"</f>
        <v>0449808311</v>
      </c>
      <c r="Z1047" t="s">
        <v>70</v>
      </c>
      <c r="AB1047" t="s">
        <v>1066</v>
      </c>
      <c r="AD1047" t="s">
        <v>306</v>
      </c>
      <c r="AE1047" t="s">
        <v>1067</v>
      </c>
      <c r="AF1047">
        <v>3084</v>
      </c>
      <c r="AI1047" t="s">
        <v>59</v>
      </c>
      <c r="AL1047" t="s">
        <v>1068</v>
      </c>
      <c r="AM1047" t="s">
        <v>3348</v>
      </c>
      <c r="AN1047" s="3">
        <v>46056.609027777777</v>
      </c>
      <c r="AO1047" t="s">
        <v>314</v>
      </c>
    </row>
    <row r="1048" spans="1:41" x14ac:dyDescent="0.3">
      <c r="A1048" t="s">
        <v>75</v>
      </c>
      <c r="B1048" t="s">
        <v>1891</v>
      </c>
      <c r="C1048" t="s">
        <v>745</v>
      </c>
      <c r="D1048" t="s">
        <v>719</v>
      </c>
      <c r="E1048" s="1">
        <v>46057</v>
      </c>
      <c r="F1048" t="s">
        <v>44</v>
      </c>
      <c r="G1048" t="s">
        <v>128</v>
      </c>
      <c r="H1048" s="2">
        <v>0.64583333333333337</v>
      </c>
      <c r="I1048" s="2">
        <v>0.89583333333333337</v>
      </c>
      <c r="J1048" t="s">
        <v>296</v>
      </c>
      <c r="L1048" t="s">
        <v>298</v>
      </c>
      <c r="M1048" t="s">
        <v>2773</v>
      </c>
      <c r="N1048" t="s">
        <v>2774</v>
      </c>
      <c r="O1048">
        <v>5950828</v>
      </c>
      <c r="Q1048" t="s">
        <v>1892</v>
      </c>
      <c r="R1048" t="s">
        <v>556</v>
      </c>
      <c r="S1048" t="s">
        <v>52</v>
      </c>
      <c r="U1048">
        <v>889400</v>
      </c>
      <c r="V1048" s="3">
        <v>46056.99722222222</v>
      </c>
      <c r="W1048" t="s">
        <v>2776</v>
      </c>
      <c r="X1048" t="s">
        <v>2777</v>
      </c>
      <c r="Y1048" t="str">
        <f>"0490930185"</f>
        <v>0490930185</v>
      </c>
      <c r="Z1048" t="s">
        <v>70</v>
      </c>
      <c r="AA1048" s="1">
        <v>46057</v>
      </c>
      <c r="AB1048" t="s">
        <v>1893</v>
      </c>
      <c r="AD1048" t="s">
        <v>75</v>
      </c>
      <c r="AE1048" t="s">
        <v>1894</v>
      </c>
      <c r="AF1048">
        <v>6007</v>
      </c>
      <c r="AG1048" t="s">
        <v>3349</v>
      </c>
      <c r="AI1048" t="s">
        <v>59</v>
      </c>
      <c r="AL1048" t="s">
        <v>3350</v>
      </c>
      <c r="AN1048" s="3">
        <v>46058.424305555556</v>
      </c>
      <c r="AO1048" t="s">
        <v>81</v>
      </c>
    </row>
    <row r="1049" spans="1:41" x14ac:dyDescent="0.3">
      <c r="A1049" t="s">
        <v>306</v>
      </c>
      <c r="B1049" t="s">
        <v>450</v>
      </c>
      <c r="C1049" t="s">
        <v>100</v>
      </c>
      <c r="D1049" t="s">
        <v>63</v>
      </c>
      <c r="E1049" s="1">
        <v>46057</v>
      </c>
      <c r="F1049" t="s">
        <v>44</v>
      </c>
      <c r="G1049" t="s">
        <v>128</v>
      </c>
      <c r="H1049" s="2">
        <v>0.66666666666666663</v>
      </c>
      <c r="I1049" s="2">
        <v>0.91666666666666663</v>
      </c>
      <c r="J1049" t="s">
        <v>451</v>
      </c>
      <c r="L1049" t="s">
        <v>473</v>
      </c>
      <c r="M1049" t="s">
        <v>3351</v>
      </c>
      <c r="N1049" t="s">
        <v>3352</v>
      </c>
      <c r="O1049">
        <v>22015</v>
      </c>
      <c r="Q1049" t="s">
        <v>455</v>
      </c>
      <c r="R1049" t="s">
        <v>476</v>
      </c>
      <c r="S1049" t="s">
        <v>52</v>
      </c>
      <c r="U1049">
        <v>889373</v>
      </c>
      <c r="V1049" s="3">
        <v>46050.495138888888</v>
      </c>
      <c r="W1049" t="s">
        <v>3353</v>
      </c>
      <c r="X1049" t="s">
        <v>3354</v>
      </c>
      <c r="Y1049" t="str">
        <f>"0424715515"</f>
        <v>0424715515</v>
      </c>
      <c r="Z1049" t="s">
        <v>70</v>
      </c>
      <c r="AA1049" s="1">
        <v>46057</v>
      </c>
      <c r="AB1049" t="s">
        <v>459</v>
      </c>
      <c r="AD1049" t="s">
        <v>306</v>
      </c>
      <c r="AE1049" t="s">
        <v>460</v>
      </c>
      <c r="AF1049">
        <v>3058</v>
      </c>
      <c r="AG1049" t="s">
        <v>455</v>
      </c>
      <c r="AI1049" t="s">
        <v>59</v>
      </c>
      <c r="AL1049" t="s">
        <v>87</v>
      </c>
      <c r="AN1049" s="3">
        <v>46057.909722222219</v>
      </c>
      <c r="AO1049" t="s">
        <v>3353</v>
      </c>
    </row>
    <row r="1050" spans="1:41" x14ac:dyDescent="0.3">
      <c r="A1050" t="s">
        <v>306</v>
      </c>
      <c r="B1050" t="s">
        <v>450</v>
      </c>
      <c r="C1050" t="s">
        <v>100</v>
      </c>
      <c r="D1050" t="s">
        <v>63</v>
      </c>
      <c r="E1050" s="1">
        <v>46057</v>
      </c>
      <c r="F1050" t="s">
        <v>44</v>
      </c>
      <c r="G1050" t="s">
        <v>128</v>
      </c>
      <c r="H1050" s="2">
        <v>0.66666666666666663</v>
      </c>
      <c r="I1050" s="2">
        <v>0.91666666666666663</v>
      </c>
      <c r="J1050" t="s">
        <v>451</v>
      </c>
      <c r="L1050" t="s">
        <v>452</v>
      </c>
      <c r="M1050" t="s">
        <v>1980</v>
      </c>
      <c r="N1050" t="s">
        <v>1981</v>
      </c>
      <c r="O1050">
        <v>21297</v>
      </c>
      <c r="Q1050" t="s">
        <v>2057</v>
      </c>
      <c r="R1050" t="s">
        <v>476</v>
      </c>
      <c r="S1050" t="s">
        <v>52</v>
      </c>
      <c r="U1050">
        <v>889374</v>
      </c>
      <c r="V1050" s="3">
        <v>46050.504861111112</v>
      </c>
      <c r="W1050" t="s">
        <v>1983</v>
      </c>
      <c r="X1050" t="s">
        <v>1984</v>
      </c>
      <c r="Y1050" t="str">
        <f>"0434131195"</f>
        <v>0434131195</v>
      </c>
      <c r="Z1050" t="s">
        <v>70</v>
      </c>
      <c r="AA1050" s="1">
        <v>46057</v>
      </c>
      <c r="AB1050" t="s">
        <v>459</v>
      </c>
      <c r="AD1050" t="s">
        <v>306</v>
      </c>
      <c r="AE1050" t="s">
        <v>460</v>
      </c>
      <c r="AF1050">
        <v>3058</v>
      </c>
      <c r="AG1050" t="s">
        <v>455</v>
      </c>
      <c r="AI1050" t="s">
        <v>59</v>
      </c>
      <c r="AL1050" t="s">
        <v>3355</v>
      </c>
      <c r="AN1050" s="3">
        <v>46057.909722222219</v>
      </c>
      <c r="AO1050" t="s">
        <v>1983</v>
      </c>
    </row>
    <row r="1051" spans="1:41" x14ac:dyDescent="0.3">
      <c r="A1051" t="s">
        <v>61</v>
      </c>
      <c r="B1051" t="s">
        <v>182</v>
      </c>
      <c r="C1051" t="s">
        <v>484</v>
      </c>
      <c r="D1051" t="s">
        <v>184</v>
      </c>
      <c r="E1051" s="1">
        <v>46057</v>
      </c>
      <c r="F1051" t="s">
        <v>44</v>
      </c>
      <c r="G1051" t="s">
        <v>485</v>
      </c>
      <c r="H1051" s="2">
        <v>0.77083333333333337</v>
      </c>
      <c r="I1051" s="2">
        <v>0.29166666666666669</v>
      </c>
      <c r="J1051" t="s">
        <v>486</v>
      </c>
      <c r="L1051" t="s">
        <v>487</v>
      </c>
      <c r="M1051" t="s">
        <v>2064</v>
      </c>
      <c r="N1051" t="s">
        <v>2065</v>
      </c>
      <c r="O1051">
        <v>5952410</v>
      </c>
      <c r="Q1051" t="s">
        <v>129</v>
      </c>
      <c r="R1051" t="s">
        <v>132</v>
      </c>
      <c r="S1051" t="s">
        <v>52</v>
      </c>
      <c r="U1051">
        <v>889411</v>
      </c>
      <c r="V1051" s="3">
        <v>46038.620138888888</v>
      </c>
      <c r="W1051" t="s">
        <v>2067</v>
      </c>
      <c r="X1051" t="s">
        <v>2068</v>
      </c>
      <c r="Y1051" t="str">
        <f>"0410100247"</f>
        <v>0410100247</v>
      </c>
      <c r="Z1051" t="s">
        <v>2298</v>
      </c>
      <c r="AB1051" t="s">
        <v>193</v>
      </c>
      <c r="AD1051" t="s">
        <v>61</v>
      </c>
      <c r="AE1051" t="s">
        <v>194</v>
      </c>
      <c r="AF1051">
        <v>2229</v>
      </c>
      <c r="AG1051" t="s">
        <v>129</v>
      </c>
      <c r="AI1051" t="s">
        <v>59</v>
      </c>
      <c r="AL1051" t="s">
        <v>2812</v>
      </c>
      <c r="AN1051" s="3">
        <v>46058.280555555553</v>
      </c>
      <c r="AO1051" t="s">
        <v>2067</v>
      </c>
    </row>
    <row r="1052" spans="1:41" x14ac:dyDescent="0.3">
      <c r="A1052" t="s">
        <v>61</v>
      </c>
      <c r="B1052" t="s">
        <v>507</v>
      </c>
      <c r="D1052" t="s">
        <v>63</v>
      </c>
      <c r="E1052" s="1">
        <v>46057</v>
      </c>
      <c r="F1052" t="s">
        <v>44</v>
      </c>
      <c r="G1052" t="s">
        <v>485</v>
      </c>
      <c r="H1052" s="2">
        <v>0.86458333333333337</v>
      </c>
      <c r="I1052" s="2">
        <v>0.3125</v>
      </c>
      <c r="J1052" t="s">
        <v>296</v>
      </c>
      <c r="L1052" t="s">
        <v>298</v>
      </c>
      <c r="M1052" t="s">
        <v>508</v>
      </c>
      <c r="N1052" t="s">
        <v>509</v>
      </c>
      <c r="O1052">
        <v>22014</v>
      </c>
      <c r="Q1052" t="s">
        <v>1310</v>
      </c>
      <c r="R1052" t="s">
        <v>132</v>
      </c>
      <c r="S1052" t="s">
        <v>52</v>
      </c>
      <c r="U1052">
        <v>889413</v>
      </c>
      <c r="V1052" s="3">
        <v>46042.390972222223</v>
      </c>
      <c r="W1052" t="s">
        <v>511</v>
      </c>
      <c r="X1052" t="s">
        <v>512</v>
      </c>
      <c r="Y1052" t="str">
        <f>"0430326260"</f>
        <v>0430326260</v>
      </c>
      <c r="Z1052" t="s">
        <v>3356</v>
      </c>
      <c r="AB1052" t="s">
        <v>514</v>
      </c>
      <c r="AD1052" t="s">
        <v>61</v>
      </c>
      <c r="AE1052" t="s">
        <v>515</v>
      </c>
      <c r="AF1052">
        <v>2086</v>
      </c>
      <c r="AG1052" t="s">
        <v>516</v>
      </c>
      <c r="AI1052" t="s">
        <v>59</v>
      </c>
      <c r="AL1052" t="s">
        <v>3357</v>
      </c>
      <c r="AN1052" s="3">
        <v>46058.31527777778</v>
      </c>
      <c r="AO1052" t="s">
        <v>511</v>
      </c>
    </row>
    <row r="1053" spans="1:41" x14ac:dyDescent="0.3">
      <c r="A1053" t="s">
        <v>168</v>
      </c>
      <c r="B1053" t="s">
        <v>1312</v>
      </c>
      <c r="C1053" t="s">
        <v>1313</v>
      </c>
      <c r="D1053" t="s">
        <v>268</v>
      </c>
      <c r="E1053" s="1">
        <v>46057</v>
      </c>
      <c r="F1053" t="s">
        <v>44</v>
      </c>
      <c r="G1053" t="s">
        <v>485</v>
      </c>
      <c r="H1053" s="2">
        <v>0.875</v>
      </c>
      <c r="I1053" s="2">
        <v>0.3125</v>
      </c>
      <c r="J1053" t="s">
        <v>1314</v>
      </c>
      <c r="K1053" t="s">
        <v>849</v>
      </c>
      <c r="L1053" t="s">
        <v>47</v>
      </c>
      <c r="M1053" t="s">
        <v>1315</v>
      </c>
      <c r="N1053" t="s">
        <v>1316</v>
      </c>
      <c r="O1053">
        <v>22278</v>
      </c>
      <c r="Q1053" t="s">
        <v>3358</v>
      </c>
      <c r="R1053" t="s">
        <v>231</v>
      </c>
      <c r="S1053" t="s">
        <v>119</v>
      </c>
      <c r="T1053" t="s">
        <v>414</v>
      </c>
      <c r="U1053">
        <v>889721</v>
      </c>
      <c r="V1053" s="3">
        <v>46010.538194444445</v>
      </c>
      <c r="W1053" t="s">
        <v>1317</v>
      </c>
      <c r="X1053" t="s">
        <v>1318</v>
      </c>
      <c r="Y1053" t="str">
        <f>"0413259096"</f>
        <v>0413259096</v>
      </c>
      <c r="Z1053" t="s">
        <v>70</v>
      </c>
      <c r="AB1053" t="s">
        <v>1312</v>
      </c>
      <c r="AC1053" t="s">
        <v>1319</v>
      </c>
      <c r="AD1053" t="s">
        <v>168</v>
      </c>
      <c r="AE1053" t="s">
        <v>1320</v>
      </c>
      <c r="AF1053">
        <v>5417</v>
      </c>
      <c r="AI1053" t="s">
        <v>59</v>
      </c>
      <c r="AL1053" t="s">
        <v>3359</v>
      </c>
      <c r="AM1053" t="s">
        <v>3360</v>
      </c>
      <c r="AN1053" s="3">
        <v>46010.632638888892</v>
      </c>
      <c r="AO1053" t="s">
        <v>231</v>
      </c>
    </row>
    <row r="1054" spans="1:41" x14ac:dyDescent="0.3">
      <c r="A1054" t="s">
        <v>41</v>
      </c>
      <c r="B1054" t="s">
        <v>1168</v>
      </c>
      <c r="D1054" t="s">
        <v>246</v>
      </c>
      <c r="E1054" s="1">
        <v>46057</v>
      </c>
      <c r="F1054" t="s">
        <v>44</v>
      </c>
      <c r="G1054" t="s">
        <v>485</v>
      </c>
      <c r="H1054" s="2">
        <v>0.875</v>
      </c>
      <c r="I1054" s="2">
        <v>0.3125</v>
      </c>
      <c r="J1054" t="s">
        <v>296</v>
      </c>
      <c r="L1054" t="s">
        <v>1169</v>
      </c>
      <c r="M1054" t="s">
        <v>1170</v>
      </c>
      <c r="N1054" t="s">
        <v>1171</v>
      </c>
      <c r="O1054">
        <v>5952274</v>
      </c>
      <c r="Q1054" t="s">
        <v>1172</v>
      </c>
      <c r="R1054" t="s">
        <v>573</v>
      </c>
      <c r="S1054" t="s">
        <v>52</v>
      </c>
      <c r="T1054" t="s">
        <v>252</v>
      </c>
      <c r="U1054">
        <v>889947</v>
      </c>
      <c r="V1054" s="3">
        <v>46063.345138888886</v>
      </c>
      <c r="W1054" t="s">
        <v>1173</v>
      </c>
      <c r="X1054" t="s">
        <v>1174</v>
      </c>
      <c r="Y1054" t="str">
        <f>"0432261353"</f>
        <v>0432261353</v>
      </c>
      <c r="Z1054" t="s">
        <v>345</v>
      </c>
      <c r="AA1054" s="1">
        <v>46083</v>
      </c>
      <c r="AB1054" t="s">
        <v>1175</v>
      </c>
      <c r="AD1054" t="s">
        <v>41</v>
      </c>
      <c r="AE1054" t="s">
        <v>1176</v>
      </c>
      <c r="AF1054">
        <v>4680</v>
      </c>
      <c r="AG1054" t="s">
        <v>1172</v>
      </c>
      <c r="AI1054" t="s">
        <v>59</v>
      </c>
      <c r="AJ1054" t="str">
        <f>"0050076336"</f>
        <v>0050076336</v>
      </c>
      <c r="AN1054" s="3">
        <v>46063.345138888886</v>
      </c>
      <c r="AO1054" t="s">
        <v>573</v>
      </c>
    </row>
    <row r="1055" spans="1:41" x14ac:dyDescent="0.3">
      <c r="A1055" t="s">
        <v>61</v>
      </c>
      <c r="B1055" t="s">
        <v>182</v>
      </c>
      <c r="C1055" t="s">
        <v>484</v>
      </c>
      <c r="D1055" t="s">
        <v>184</v>
      </c>
      <c r="E1055" s="1">
        <v>46057</v>
      </c>
      <c r="F1055" t="s">
        <v>44</v>
      </c>
      <c r="G1055" t="s">
        <v>485</v>
      </c>
      <c r="H1055" s="2">
        <v>0.89583333333333337</v>
      </c>
      <c r="I1055" s="2">
        <v>0.29166666666666669</v>
      </c>
      <c r="J1055" t="s">
        <v>486</v>
      </c>
      <c r="L1055" t="s">
        <v>487</v>
      </c>
      <c r="M1055" t="s">
        <v>488</v>
      </c>
      <c r="N1055" t="s">
        <v>489</v>
      </c>
      <c r="O1055">
        <v>5951809</v>
      </c>
      <c r="Q1055" t="s">
        <v>129</v>
      </c>
      <c r="R1055" t="s">
        <v>132</v>
      </c>
      <c r="S1055" t="s">
        <v>52</v>
      </c>
      <c r="U1055">
        <v>889412</v>
      </c>
      <c r="V1055" s="3">
        <v>46038.620138888888</v>
      </c>
      <c r="W1055" t="s">
        <v>491</v>
      </c>
      <c r="X1055" t="s">
        <v>492</v>
      </c>
      <c r="Y1055" t="str">
        <f>"0431000508"</f>
        <v>0431000508</v>
      </c>
      <c r="Z1055" t="s">
        <v>2135</v>
      </c>
      <c r="AB1055" t="s">
        <v>193</v>
      </c>
      <c r="AD1055" t="s">
        <v>61</v>
      </c>
      <c r="AE1055" t="s">
        <v>194</v>
      </c>
      <c r="AF1055">
        <v>2229</v>
      </c>
      <c r="AG1055" t="s">
        <v>129</v>
      </c>
      <c r="AI1055" t="s">
        <v>59</v>
      </c>
      <c r="AL1055" t="s">
        <v>2812</v>
      </c>
      <c r="AN1055" s="3">
        <v>46058.288888888892</v>
      </c>
      <c r="AO1055" t="s">
        <v>491</v>
      </c>
    </row>
    <row r="1056" spans="1:41" x14ac:dyDescent="0.3">
      <c r="A1056" t="s">
        <v>306</v>
      </c>
      <c r="B1056" t="s">
        <v>1751</v>
      </c>
      <c r="C1056" t="s">
        <v>2947</v>
      </c>
      <c r="D1056" t="s">
        <v>184</v>
      </c>
      <c r="E1056" s="1">
        <v>46057</v>
      </c>
      <c r="F1056" t="s">
        <v>44</v>
      </c>
      <c r="G1056" t="s">
        <v>485</v>
      </c>
      <c r="H1056" s="2">
        <v>0.91666666666666663</v>
      </c>
      <c r="I1056" s="2">
        <v>0.3125</v>
      </c>
      <c r="J1056" t="s">
        <v>2948</v>
      </c>
      <c r="K1056" t="s">
        <v>530</v>
      </c>
      <c r="L1056" t="s">
        <v>531</v>
      </c>
      <c r="M1056" t="s">
        <v>532</v>
      </c>
      <c r="N1056" t="s">
        <v>533</v>
      </c>
      <c r="O1056">
        <v>20495</v>
      </c>
      <c r="Q1056" t="s">
        <v>705</v>
      </c>
      <c r="R1056" t="s">
        <v>476</v>
      </c>
      <c r="S1056" t="s">
        <v>119</v>
      </c>
      <c r="T1056" t="s">
        <v>414</v>
      </c>
      <c r="U1056">
        <v>889800</v>
      </c>
      <c r="V1056" s="3">
        <v>46057.597222222219</v>
      </c>
      <c r="W1056" t="s">
        <v>535</v>
      </c>
      <c r="X1056" t="s">
        <v>536</v>
      </c>
      <c r="Y1056" t="str">
        <f>"0447625522"</f>
        <v>0447625522</v>
      </c>
      <c r="Z1056" t="s">
        <v>70</v>
      </c>
      <c r="AB1056" t="s">
        <v>1759</v>
      </c>
      <c r="AD1056" t="s">
        <v>306</v>
      </c>
      <c r="AE1056" t="s">
        <v>1760</v>
      </c>
      <c r="AF1056">
        <v>3199</v>
      </c>
      <c r="AI1056" t="s">
        <v>59</v>
      </c>
      <c r="AL1056" t="s">
        <v>1068</v>
      </c>
      <c r="AM1056" t="s">
        <v>3361</v>
      </c>
      <c r="AN1056" s="3">
        <v>46057.599305555559</v>
      </c>
      <c r="AO1056" t="s">
        <v>476</v>
      </c>
    </row>
    <row r="1057" spans="1:41" x14ac:dyDescent="0.3">
      <c r="A1057" t="s">
        <v>168</v>
      </c>
      <c r="B1057" t="s">
        <v>607</v>
      </c>
      <c r="C1057" t="s">
        <v>267</v>
      </c>
      <c r="D1057" t="s">
        <v>268</v>
      </c>
      <c r="E1057" s="1">
        <v>46057</v>
      </c>
      <c r="F1057" t="s">
        <v>44</v>
      </c>
      <c r="G1057" t="s">
        <v>45</v>
      </c>
      <c r="H1057" s="2">
        <v>0.91666666666666663</v>
      </c>
      <c r="I1057" s="2">
        <v>0.35416666666666669</v>
      </c>
      <c r="J1057" t="s">
        <v>269</v>
      </c>
      <c r="K1057" t="s">
        <v>608</v>
      </c>
      <c r="L1057" t="s">
        <v>609</v>
      </c>
      <c r="M1057" t="s">
        <v>610</v>
      </c>
      <c r="N1057" t="s">
        <v>611</v>
      </c>
      <c r="O1057">
        <v>5952121</v>
      </c>
      <c r="P1057" t="s">
        <v>249</v>
      </c>
      <c r="Q1057" t="s">
        <v>612</v>
      </c>
      <c r="R1057" t="s">
        <v>613</v>
      </c>
      <c r="S1057" t="s">
        <v>52</v>
      </c>
      <c r="T1057" t="s">
        <v>252</v>
      </c>
      <c r="U1057">
        <v>889744</v>
      </c>
      <c r="V1057" s="3">
        <v>46062.01666666667</v>
      </c>
      <c r="W1057" t="s">
        <v>613</v>
      </c>
      <c r="X1057" t="s">
        <v>614</v>
      </c>
      <c r="Y1057" t="str">
        <f>"0412297150"</f>
        <v>0412297150</v>
      </c>
      <c r="Z1057" t="s">
        <v>345</v>
      </c>
      <c r="AA1057" s="1">
        <v>46077</v>
      </c>
      <c r="AB1057" t="s">
        <v>615</v>
      </c>
      <c r="AC1057" t="s">
        <v>616</v>
      </c>
      <c r="AD1057" t="s">
        <v>168</v>
      </c>
      <c r="AE1057" t="s">
        <v>617</v>
      </c>
      <c r="AF1057">
        <v>5290</v>
      </c>
      <c r="AG1057" t="s">
        <v>618</v>
      </c>
      <c r="AI1057" t="s">
        <v>59</v>
      </c>
      <c r="AJ1057" t="str">
        <f>"0020171780"</f>
        <v>0020171780</v>
      </c>
      <c r="AM1057" t="s">
        <v>2025</v>
      </c>
      <c r="AN1057" s="3">
        <v>46062.01666666667</v>
      </c>
      <c r="AO1057" t="s">
        <v>613</v>
      </c>
    </row>
    <row r="1058" spans="1:41" x14ac:dyDescent="0.3">
      <c r="A1058" t="s">
        <v>168</v>
      </c>
      <c r="B1058" t="s">
        <v>1963</v>
      </c>
      <c r="C1058" t="s">
        <v>2026</v>
      </c>
      <c r="D1058" t="s">
        <v>401</v>
      </c>
      <c r="E1058" s="1">
        <v>46057</v>
      </c>
      <c r="F1058" t="s">
        <v>44</v>
      </c>
      <c r="G1058" t="s">
        <v>485</v>
      </c>
      <c r="H1058" s="2">
        <v>0.92708333333333337</v>
      </c>
      <c r="I1058" s="2">
        <v>0.30208333333333331</v>
      </c>
      <c r="J1058" t="s">
        <v>2027</v>
      </c>
      <c r="K1058" t="s">
        <v>750</v>
      </c>
      <c r="L1058" t="s">
        <v>47</v>
      </c>
      <c r="M1058" t="s">
        <v>2028</v>
      </c>
      <c r="N1058" t="s">
        <v>2029</v>
      </c>
      <c r="O1058">
        <v>22243</v>
      </c>
      <c r="Q1058" t="s">
        <v>3362</v>
      </c>
      <c r="R1058" t="s">
        <v>176</v>
      </c>
      <c r="S1058" t="s">
        <v>52</v>
      </c>
      <c r="U1058">
        <v>889406</v>
      </c>
      <c r="V1058" s="3">
        <v>46057.495138888888</v>
      </c>
      <c r="W1058" t="s">
        <v>2030</v>
      </c>
      <c r="X1058" t="s">
        <v>2031</v>
      </c>
      <c r="Y1058" t="str">
        <f>"0425554764"</f>
        <v>0425554764</v>
      </c>
      <c r="Z1058" t="s">
        <v>70</v>
      </c>
      <c r="AA1058" s="1">
        <v>46057</v>
      </c>
      <c r="AB1058" t="s">
        <v>1967</v>
      </c>
      <c r="AD1058" t="s">
        <v>168</v>
      </c>
      <c r="AE1058" t="s">
        <v>1968</v>
      </c>
      <c r="AF1058">
        <v>5000</v>
      </c>
      <c r="AG1058" t="s">
        <v>3362</v>
      </c>
      <c r="AI1058" t="s">
        <v>59</v>
      </c>
      <c r="AL1058" t="s">
        <v>3363</v>
      </c>
      <c r="AN1058" s="3">
        <v>46058.117361111108</v>
      </c>
      <c r="AO1058" t="s">
        <v>2030</v>
      </c>
    </row>
    <row r="1059" spans="1:41" x14ac:dyDescent="0.3">
      <c r="A1059" t="s">
        <v>41</v>
      </c>
      <c r="B1059" t="s">
        <v>2102</v>
      </c>
      <c r="C1059" t="s">
        <v>3233</v>
      </c>
      <c r="D1059" t="s">
        <v>1286</v>
      </c>
      <c r="E1059" s="1">
        <v>46057</v>
      </c>
      <c r="F1059" t="s">
        <v>44</v>
      </c>
      <c r="G1059" t="s">
        <v>485</v>
      </c>
      <c r="H1059" s="2">
        <v>0.9375</v>
      </c>
      <c r="I1059" s="2">
        <v>0.29166666666666669</v>
      </c>
      <c r="J1059" t="s">
        <v>463</v>
      </c>
      <c r="L1059" t="s">
        <v>540</v>
      </c>
      <c r="M1059" t="s">
        <v>563</v>
      </c>
      <c r="N1059" t="s">
        <v>564</v>
      </c>
      <c r="O1059">
        <v>402477</v>
      </c>
      <c r="Q1059" t="s">
        <v>1245</v>
      </c>
      <c r="R1059" t="s">
        <v>51</v>
      </c>
      <c r="S1059" t="s">
        <v>52</v>
      </c>
      <c r="U1059">
        <v>889414</v>
      </c>
      <c r="V1059" s="3">
        <v>46057.601388888892</v>
      </c>
      <c r="W1059" t="s">
        <v>565</v>
      </c>
      <c r="X1059" t="s">
        <v>566</v>
      </c>
      <c r="Y1059" t="str">
        <f>"0417873276"</f>
        <v>0417873276</v>
      </c>
      <c r="Z1059" t="s">
        <v>70</v>
      </c>
      <c r="AA1059" s="1">
        <v>46057</v>
      </c>
      <c r="AB1059" t="s">
        <v>2107</v>
      </c>
      <c r="AD1059" t="s">
        <v>41</v>
      </c>
      <c r="AE1059" t="s">
        <v>2108</v>
      </c>
      <c r="AF1059">
        <v>4066</v>
      </c>
      <c r="AG1059" t="s">
        <v>98</v>
      </c>
      <c r="AI1059" t="s">
        <v>59</v>
      </c>
      <c r="AM1059" t="s">
        <v>3364</v>
      </c>
      <c r="AN1059" s="3">
        <v>46058.32708333333</v>
      </c>
      <c r="AO1059" t="s">
        <v>565</v>
      </c>
    </row>
    <row r="1060" spans="1:41" x14ac:dyDescent="0.3">
      <c r="A1060" t="s">
        <v>41</v>
      </c>
      <c r="B1060" t="s">
        <v>426</v>
      </c>
      <c r="C1060" t="s">
        <v>296</v>
      </c>
      <c r="D1060" t="s">
        <v>246</v>
      </c>
      <c r="E1060" s="1">
        <v>46057</v>
      </c>
      <c r="F1060" t="s">
        <v>44</v>
      </c>
      <c r="G1060" t="s">
        <v>485</v>
      </c>
      <c r="H1060" s="2">
        <v>0.94791666666666663</v>
      </c>
      <c r="I1060" s="2">
        <v>0.30208333333333331</v>
      </c>
      <c r="J1060" t="s">
        <v>296</v>
      </c>
      <c r="L1060" t="s">
        <v>428</v>
      </c>
      <c r="M1060" t="s">
        <v>554</v>
      </c>
      <c r="N1060" t="s">
        <v>555</v>
      </c>
      <c r="O1060">
        <v>5950685</v>
      </c>
      <c r="Q1060" t="s">
        <v>3365</v>
      </c>
      <c r="R1060" t="s">
        <v>500</v>
      </c>
      <c r="S1060" t="s">
        <v>52</v>
      </c>
      <c r="U1060">
        <v>889416</v>
      </c>
      <c r="V1060" s="3">
        <v>46057.900694444441</v>
      </c>
      <c r="W1060" t="s">
        <v>557</v>
      </c>
      <c r="X1060" t="s">
        <v>558</v>
      </c>
      <c r="Y1060" t="str">
        <f>"0431966228"</f>
        <v>0431966228</v>
      </c>
      <c r="Z1060" t="s">
        <v>70</v>
      </c>
      <c r="AA1060" s="1">
        <v>46057</v>
      </c>
      <c r="AB1060" t="s">
        <v>434</v>
      </c>
      <c r="AD1060" t="s">
        <v>41</v>
      </c>
      <c r="AE1060" t="s">
        <v>435</v>
      </c>
      <c r="AF1060">
        <v>4163</v>
      </c>
      <c r="AG1060" t="s">
        <v>3365</v>
      </c>
      <c r="AI1060" t="s">
        <v>59</v>
      </c>
      <c r="AL1060" t="s">
        <v>3366</v>
      </c>
      <c r="AN1060" s="3">
        <v>46058.345833333333</v>
      </c>
      <c r="AO1060" t="s">
        <v>557</v>
      </c>
    </row>
    <row r="1061" spans="1:41" x14ac:dyDescent="0.3">
      <c r="A1061" t="s">
        <v>41</v>
      </c>
      <c r="B1061" t="s">
        <v>568</v>
      </c>
      <c r="C1061" t="s">
        <v>602</v>
      </c>
      <c r="D1061" t="s">
        <v>246</v>
      </c>
      <c r="E1061" s="1">
        <v>46057</v>
      </c>
      <c r="F1061" t="s">
        <v>44</v>
      </c>
      <c r="G1061" t="s">
        <v>485</v>
      </c>
      <c r="H1061" s="2">
        <v>0.94791666666666663</v>
      </c>
      <c r="I1061" s="2">
        <v>0.30208333333333331</v>
      </c>
      <c r="J1061" t="s">
        <v>269</v>
      </c>
      <c r="L1061" t="s">
        <v>47</v>
      </c>
      <c r="M1061" t="s">
        <v>603</v>
      </c>
      <c r="N1061" t="s">
        <v>604</v>
      </c>
      <c r="O1061">
        <v>80</v>
      </c>
      <c r="P1061" t="s">
        <v>571</v>
      </c>
      <c r="Q1061" t="s">
        <v>572</v>
      </c>
      <c r="R1061" t="s">
        <v>573</v>
      </c>
      <c r="S1061" t="s">
        <v>52</v>
      </c>
      <c r="T1061" t="s">
        <v>252</v>
      </c>
      <c r="U1061">
        <v>889797</v>
      </c>
      <c r="V1061" s="3">
        <v>46062.525694444441</v>
      </c>
      <c r="W1061" t="s">
        <v>605</v>
      </c>
      <c r="X1061" t="s">
        <v>606</v>
      </c>
      <c r="Y1061" t="str">
        <f>"0414330986"</f>
        <v>0414330986</v>
      </c>
      <c r="Z1061" t="s">
        <v>366</v>
      </c>
      <c r="AA1061" s="1">
        <v>46068</v>
      </c>
      <c r="AB1061" t="s">
        <v>576</v>
      </c>
      <c r="AD1061" t="s">
        <v>41</v>
      </c>
      <c r="AE1061" t="s">
        <v>577</v>
      </c>
      <c r="AF1061">
        <v>4700</v>
      </c>
      <c r="AG1061" t="s">
        <v>572</v>
      </c>
      <c r="AI1061" t="s">
        <v>59</v>
      </c>
      <c r="AJ1061" t="str">
        <f>"0050075176"</f>
        <v>0050075176</v>
      </c>
      <c r="AN1061" s="3">
        <v>46062.525694444441</v>
      </c>
      <c r="AO1061" t="s">
        <v>573</v>
      </c>
    </row>
    <row r="1062" spans="1:41" x14ac:dyDescent="0.3">
      <c r="A1062" t="s">
        <v>41</v>
      </c>
      <c r="B1062" t="s">
        <v>2614</v>
      </c>
      <c r="C1062" t="s">
        <v>296</v>
      </c>
      <c r="D1062" t="s">
        <v>246</v>
      </c>
      <c r="E1062" s="1">
        <v>46057</v>
      </c>
      <c r="F1062" t="s">
        <v>44</v>
      </c>
      <c r="G1062" t="s">
        <v>485</v>
      </c>
      <c r="H1062" s="2">
        <v>0.94791666666666663</v>
      </c>
      <c r="I1062" s="2">
        <v>0.30208333333333331</v>
      </c>
      <c r="J1062" t="s">
        <v>296</v>
      </c>
      <c r="L1062" t="s">
        <v>633</v>
      </c>
      <c r="M1062" t="s">
        <v>2615</v>
      </c>
      <c r="N1062" t="s">
        <v>2616</v>
      </c>
      <c r="O1062">
        <v>5952430</v>
      </c>
      <c r="Q1062" t="s">
        <v>2617</v>
      </c>
      <c r="R1062" t="s">
        <v>723</v>
      </c>
      <c r="S1062" t="s">
        <v>52</v>
      </c>
      <c r="U1062">
        <v>889417</v>
      </c>
      <c r="V1062" s="3">
        <v>46057.459027777775</v>
      </c>
      <c r="W1062" t="s">
        <v>2618</v>
      </c>
      <c r="X1062" t="s">
        <v>2619</v>
      </c>
      <c r="Y1062" t="str">
        <f>"0452176928"</f>
        <v>0452176928</v>
      </c>
      <c r="Z1062" t="s">
        <v>395</v>
      </c>
      <c r="AB1062" t="s">
        <v>2620</v>
      </c>
      <c r="AD1062" t="s">
        <v>41</v>
      </c>
      <c r="AE1062" t="s">
        <v>2621</v>
      </c>
      <c r="AF1062">
        <v>4510</v>
      </c>
      <c r="AG1062" t="s">
        <v>2823</v>
      </c>
      <c r="AI1062" t="s">
        <v>59</v>
      </c>
      <c r="AL1062" t="s">
        <v>3367</v>
      </c>
      <c r="AN1062" s="3">
        <v>46058.347222222219</v>
      </c>
      <c r="AO1062" t="s">
        <v>2618</v>
      </c>
    </row>
    <row r="1063" spans="1:41" x14ac:dyDescent="0.3">
      <c r="A1063" t="s">
        <v>41</v>
      </c>
      <c r="B1063" t="s">
        <v>589</v>
      </c>
      <c r="C1063" t="s">
        <v>590</v>
      </c>
      <c r="D1063" t="s">
        <v>246</v>
      </c>
      <c r="E1063" s="1">
        <v>46027</v>
      </c>
      <c r="F1063" t="s">
        <v>569</v>
      </c>
      <c r="G1063" t="s">
        <v>45</v>
      </c>
      <c r="H1063" s="2">
        <v>0.25</v>
      </c>
      <c r="I1063" s="2">
        <v>0.25069444444444444</v>
      </c>
      <c r="J1063" t="s">
        <v>591</v>
      </c>
      <c r="L1063" t="s">
        <v>592</v>
      </c>
      <c r="M1063" t="s">
        <v>593</v>
      </c>
      <c r="N1063" t="s">
        <v>594</v>
      </c>
      <c r="O1063">
        <v>5952427</v>
      </c>
      <c r="P1063" t="s">
        <v>595</v>
      </c>
      <c r="Q1063" t="s">
        <v>596</v>
      </c>
      <c r="R1063" t="s">
        <v>392</v>
      </c>
      <c r="S1063" t="s">
        <v>52</v>
      </c>
      <c r="T1063" t="s">
        <v>252</v>
      </c>
      <c r="U1063">
        <v>886933</v>
      </c>
      <c r="V1063" s="3">
        <v>46035.694444444445</v>
      </c>
      <c r="W1063" t="s">
        <v>597</v>
      </c>
      <c r="X1063" t="s">
        <v>598</v>
      </c>
      <c r="Y1063" t="str">
        <f>"0432677728"</f>
        <v>0432677728</v>
      </c>
      <c r="Z1063" t="s">
        <v>70</v>
      </c>
      <c r="AA1063" s="1">
        <v>46054</v>
      </c>
      <c r="AB1063" t="s">
        <v>599</v>
      </c>
      <c r="AC1063" t="s">
        <v>600</v>
      </c>
      <c r="AD1063" t="s">
        <v>41</v>
      </c>
      <c r="AE1063" t="s">
        <v>600</v>
      </c>
      <c r="AF1063">
        <v>4610</v>
      </c>
      <c r="AG1063" t="s">
        <v>601</v>
      </c>
      <c r="AI1063" t="s">
        <v>59</v>
      </c>
      <c r="AJ1063" t="str">
        <f>"0050075752"</f>
        <v>0050075752</v>
      </c>
      <c r="AN1063" s="3">
        <v>46035.694444444445</v>
      </c>
      <c r="AO1063" t="s">
        <v>392</v>
      </c>
    </row>
    <row r="1064" spans="1:41" x14ac:dyDescent="0.3">
      <c r="A1064" t="s">
        <v>41</v>
      </c>
      <c r="B1064" t="s">
        <v>589</v>
      </c>
      <c r="C1064" t="s">
        <v>590</v>
      </c>
      <c r="D1064" t="s">
        <v>246</v>
      </c>
      <c r="E1064" s="1">
        <v>46027</v>
      </c>
      <c r="F1064" t="s">
        <v>569</v>
      </c>
      <c r="G1064" t="s">
        <v>45</v>
      </c>
      <c r="H1064" s="2">
        <v>0.25</v>
      </c>
      <c r="I1064" s="2">
        <v>0.25069444444444444</v>
      </c>
      <c r="J1064" t="s">
        <v>591</v>
      </c>
      <c r="L1064" t="s">
        <v>592</v>
      </c>
      <c r="M1064" t="s">
        <v>593</v>
      </c>
      <c r="N1064" t="s">
        <v>594</v>
      </c>
      <c r="O1064">
        <v>5952427</v>
      </c>
      <c r="P1064" t="s">
        <v>595</v>
      </c>
      <c r="Q1064" t="s">
        <v>596</v>
      </c>
      <c r="R1064" t="s">
        <v>392</v>
      </c>
      <c r="S1064" t="s">
        <v>52</v>
      </c>
      <c r="T1064" t="s">
        <v>252</v>
      </c>
      <c r="U1064">
        <v>886934</v>
      </c>
      <c r="V1064" s="3">
        <v>46035.694444444445</v>
      </c>
      <c r="W1064" t="s">
        <v>597</v>
      </c>
      <c r="X1064" t="s">
        <v>598</v>
      </c>
      <c r="Y1064" t="str">
        <f>"0432677728"</f>
        <v>0432677728</v>
      </c>
      <c r="Z1064" t="s">
        <v>123</v>
      </c>
      <c r="AA1064" s="1">
        <v>46054</v>
      </c>
      <c r="AB1064" t="s">
        <v>599</v>
      </c>
      <c r="AC1064" t="s">
        <v>600</v>
      </c>
      <c r="AD1064" t="s">
        <v>41</v>
      </c>
      <c r="AE1064" t="s">
        <v>600</v>
      </c>
      <c r="AF1064">
        <v>4610</v>
      </c>
      <c r="AG1064" t="s">
        <v>601</v>
      </c>
      <c r="AI1064" t="s">
        <v>59</v>
      </c>
      <c r="AJ1064" t="str">
        <f>"0050075752"</f>
        <v>0050075752</v>
      </c>
      <c r="AN1064" s="3">
        <v>46035.694444444445</v>
      </c>
      <c r="AO1064" t="s">
        <v>392</v>
      </c>
    </row>
    <row r="1065" spans="1:41" x14ac:dyDescent="0.3">
      <c r="A1065" t="s">
        <v>41</v>
      </c>
      <c r="B1065" t="s">
        <v>589</v>
      </c>
      <c r="C1065" t="s">
        <v>590</v>
      </c>
      <c r="D1065" t="s">
        <v>246</v>
      </c>
      <c r="E1065" s="1">
        <v>46027</v>
      </c>
      <c r="F1065" t="s">
        <v>569</v>
      </c>
      <c r="G1065" t="s">
        <v>45</v>
      </c>
      <c r="H1065" s="2">
        <v>0.25</v>
      </c>
      <c r="I1065" s="2">
        <v>0.25069444444444444</v>
      </c>
      <c r="J1065" t="s">
        <v>591</v>
      </c>
      <c r="L1065" t="s">
        <v>592</v>
      </c>
      <c r="M1065" t="s">
        <v>593</v>
      </c>
      <c r="N1065" t="s">
        <v>594</v>
      </c>
      <c r="O1065">
        <v>5952427</v>
      </c>
      <c r="P1065" t="s">
        <v>595</v>
      </c>
      <c r="Q1065" t="s">
        <v>596</v>
      </c>
      <c r="R1065" t="s">
        <v>392</v>
      </c>
      <c r="S1065" t="s">
        <v>52</v>
      </c>
      <c r="T1065" t="s">
        <v>252</v>
      </c>
      <c r="U1065">
        <v>886938</v>
      </c>
      <c r="V1065" s="3">
        <v>46035.696527777778</v>
      </c>
      <c r="W1065" t="s">
        <v>597</v>
      </c>
      <c r="X1065" t="s">
        <v>598</v>
      </c>
      <c r="Y1065" t="str">
        <f>"0432677728"</f>
        <v>0432677728</v>
      </c>
      <c r="Z1065" t="s">
        <v>550</v>
      </c>
      <c r="AA1065" s="1">
        <v>46054</v>
      </c>
      <c r="AB1065" t="s">
        <v>599</v>
      </c>
      <c r="AC1065" t="s">
        <v>600</v>
      </c>
      <c r="AD1065" t="s">
        <v>41</v>
      </c>
      <c r="AE1065" t="s">
        <v>600</v>
      </c>
      <c r="AF1065">
        <v>4610</v>
      </c>
      <c r="AG1065" t="s">
        <v>601</v>
      </c>
      <c r="AI1065" t="s">
        <v>59</v>
      </c>
      <c r="AJ1065" t="str">
        <f>"0050075752"</f>
        <v>0050075752</v>
      </c>
      <c r="AN1065" s="3">
        <v>46035.696527777778</v>
      </c>
      <c r="AO1065" t="s">
        <v>392</v>
      </c>
    </row>
    <row r="1066" spans="1:41" x14ac:dyDescent="0.3">
      <c r="A1066" t="s">
        <v>168</v>
      </c>
      <c r="B1066" t="s">
        <v>689</v>
      </c>
      <c r="C1066" t="s">
        <v>43</v>
      </c>
      <c r="D1066" t="s">
        <v>268</v>
      </c>
      <c r="E1066" s="1">
        <v>46027</v>
      </c>
      <c r="F1066" t="s">
        <v>569</v>
      </c>
      <c r="G1066" t="s">
        <v>45</v>
      </c>
      <c r="H1066" s="2">
        <v>0.41666666666666669</v>
      </c>
      <c r="I1066" s="2">
        <v>0.6875</v>
      </c>
      <c r="J1066" t="s">
        <v>100</v>
      </c>
      <c r="L1066" t="s">
        <v>100</v>
      </c>
      <c r="M1066" t="s">
        <v>3368</v>
      </c>
      <c r="N1066" t="s">
        <v>3369</v>
      </c>
      <c r="O1066">
        <v>5952315</v>
      </c>
      <c r="P1066" t="s">
        <v>571</v>
      </c>
      <c r="Q1066" t="s">
        <v>3370</v>
      </c>
      <c r="R1066" t="s">
        <v>3371</v>
      </c>
      <c r="S1066" t="s">
        <v>52</v>
      </c>
      <c r="T1066" t="s">
        <v>252</v>
      </c>
      <c r="U1066">
        <v>887494</v>
      </c>
      <c r="V1066" s="3">
        <v>46041.397916666669</v>
      </c>
      <c r="W1066" t="s">
        <v>3371</v>
      </c>
      <c r="X1066" t="s">
        <v>3372</v>
      </c>
      <c r="Y1066" t="str">
        <f>"0481236768"</f>
        <v>0481236768</v>
      </c>
      <c r="Z1066" t="s">
        <v>84</v>
      </c>
      <c r="AA1066" s="1">
        <v>46072</v>
      </c>
      <c r="AB1066" t="s">
        <v>695</v>
      </c>
      <c r="AD1066" t="s">
        <v>168</v>
      </c>
      <c r="AE1066" t="s">
        <v>696</v>
      </c>
      <c r="AF1066">
        <v>5606</v>
      </c>
      <c r="AG1066" t="s">
        <v>3373</v>
      </c>
      <c r="AI1066" t="s">
        <v>59</v>
      </c>
      <c r="AJ1066" t="str">
        <f>"0020184971"</f>
        <v>0020184971</v>
      </c>
      <c r="AN1066" s="3">
        <v>46041.397916666669</v>
      </c>
      <c r="AO1066" t="s">
        <v>3371</v>
      </c>
    </row>
    <row r="1067" spans="1:41" x14ac:dyDescent="0.3">
      <c r="A1067" t="s">
        <v>41</v>
      </c>
      <c r="B1067" t="s">
        <v>589</v>
      </c>
      <c r="C1067" t="s">
        <v>590</v>
      </c>
      <c r="D1067" t="s">
        <v>246</v>
      </c>
      <c r="E1067" s="1">
        <v>46027</v>
      </c>
      <c r="F1067" t="s">
        <v>569</v>
      </c>
      <c r="G1067" t="s">
        <v>128</v>
      </c>
      <c r="H1067" s="2">
        <v>0.60416666666666663</v>
      </c>
      <c r="I1067" s="2">
        <v>0.95833333333333337</v>
      </c>
      <c r="J1067" t="s">
        <v>591</v>
      </c>
      <c r="L1067" t="s">
        <v>592</v>
      </c>
      <c r="M1067" t="s">
        <v>593</v>
      </c>
      <c r="N1067" t="s">
        <v>594</v>
      </c>
      <c r="O1067">
        <v>5952427</v>
      </c>
      <c r="P1067" t="s">
        <v>595</v>
      </c>
      <c r="Q1067" t="s">
        <v>596</v>
      </c>
      <c r="R1067" t="s">
        <v>392</v>
      </c>
      <c r="S1067" t="s">
        <v>52</v>
      </c>
      <c r="T1067" t="s">
        <v>252</v>
      </c>
      <c r="U1067">
        <v>886899</v>
      </c>
      <c r="V1067" s="3">
        <v>46035.52847222222</v>
      </c>
      <c r="W1067" t="s">
        <v>597</v>
      </c>
      <c r="X1067" t="s">
        <v>598</v>
      </c>
      <c r="Y1067" t="str">
        <f>"0432677728"</f>
        <v>0432677728</v>
      </c>
      <c r="Z1067" t="s">
        <v>585</v>
      </c>
      <c r="AA1067" s="1">
        <v>46054</v>
      </c>
      <c r="AB1067" t="s">
        <v>599</v>
      </c>
      <c r="AC1067" t="s">
        <v>600</v>
      </c>
      <c r="AD1067" t="s">
        <v>41</v>
      </c>
      <c r="AE1067" t="s">
        <v>600</v>
      </c>
      <c r="AF1067">
        <v>4610</v>
      </c>
      <c r="AG1067" t="s">
        <v>601</v>
      </c>
      <c r="AI1067" t="s">
        <v>59</v>
      </c>
      <c r="AJ1067" t="str">
        <f>"0050075752"</f>
        <v>0050075752</v>
      </c>
      <c r="AN1067" s="3">
        <v>46035.52847222222</v>
      </c>
      <c r="AO1067" t="s">
        <v>392</v>
      </c>
    </row>
    <row r="1068" spans="1:41" x14ac:dyDescent="0.3">
      <c r="A1068" t="s">
        <v>41</v>
      </c>
      <c r="B1068" t="s">
        <v>568</v>
      </c>
      <c r="C1068" t="s">
        <v>602</v>
      </c>
      <c r="D1068" t="s">
        <v>246</v>
      </c>
      <c r="E1068" s="1">
        <v>46027</v>
      </c>
      <c r="F1068" t="s">
        <v>569</v>
      </c>
      <c r="G1068" t="s">
        <v>485</v>
      </c>
      <c r="H1068" s="2">
        <v>0.94791666666666663</v>
      </c>
      <c r="I1068" s="2">
        <v>0.30208333333333331</v>
      </c>
      <c r="J1068" t="s">
        <v>269</v>
      </c>
      <c r="L1068" t="s">
        <v>47</v>
      </c>
      <c r="M1068" t="s">
        <v>603</v>
      </c>
      <c r="N1068" t="s">
        <v>604</v>
      </c>
      <c r="O1068">
        <v>80</v>
      </c>
      <c r="P1068" t="s">
        <v>571</v>
      </c>
      <c r="Q1068" t="s">
        <v>572</v>
      </c>
      <c r="R1068" t="s">
        <v>573</v>
      </c>
      <c r="S1068" t="s">
        <v>52</v>
      </c>
      <c r="T1068" t="s">
        <v>252</v>
      </c>
      <c r="U1068">
        <v>886829</v>
      </c>
      <c r="V1068" s="3">
        <v>46034.605555555558</v>
      </c>
      <c r="W1068" t="s">
        <v>605</v>
      </c>
      <c r="X1068" t="s">
        <v>606</v>
      </c>
      <c r="Y1068" t="str">
        <f>"0414330986"</f>
        <v>0414330986</v>
      </c>
      <c r="Z1068" t="s">
        <v>585</v>
      </c>
      <c r="AA1068" s="1">
        <v>46068</v>
      </c>
      <c r="AB1068" t="s">
        <v>576</v>
      </c>
      <c r="AD1068" t="s">
        <v>41</v>
      </c>
      <c r="AE1068" t="s">
        <v>577</v>
      </c>
      <c r="AF1068">
        <v>4700</v>
      </c>
      <c r="AG1068" t="s">
        <v>572</v>
      </c>
      <c r="AI1068" t="s">
        <v>59</v>
      </c>
      <c r="AJ1068" t="str">
        <f>"0050075176"</f>
        <v>0050075176</v>
      </c>
      <c r="AN1068" s="3">
        <v>46034.605555555558</v>
      </c>
      <c r="AO1068" t="s">
        <v>573</v>
      </c>
    </row>
    <row r="1069" spans="1:41" x14ac:dyDescent="0.3">
      <c r="A1069" t="s">
        <v>61</v>
      </c>
      <c r="B1069" t="s">
        <v>62</v>
      </c>
      <c r="C1069" t="s">
        <v>43</v>
      </c>
      <c r="D1069" t="s">
        <v>63</v>
      </c>
      <c r="E1069" s="1">
        <v>46058</v>
      </c>
      <c r="F1069" t="s">
        <v>621</v>
      </c>
      <c r="G1069" t="s">
        <v>45</v>
      </c>
      <c r="H1069" s="2">
        <v>0.27083333333333331</v>
      </c>
      <c r="I1069" s="2">
        <v>0.99861111111111112</v>
      </c>
      <c r="J1069" t="s">
        <v>185</v>
      </c>
      <c r="L1069" t="s">
        <v>186</v>
      </c>
      <c r="M1069" t="s">
        <v>1474</v>
      </c>
      <c r="N1069" t="s">
        <v>1475</v>
      </c>
      <c r="O1069">
        <v>22552</v>
      </c>
      <c r="Q1069" t="s">
        <v>66</v>
      </c>
      <c r="R1069" t="s">
        <v>67</v>
      </c>
      <c r="S1069" t="s">
        <v>52</v>
      </c>
      <c r="U1069">
        <v>889436</v>
      </c>
      <c r="V1069" s="3">
        <v>46049.379166666666</v>
      </c>
      <c r="W1069" t="s">
        <v>1476</v>
      </c>
      <c r="X1069" t="s">
        <v>1477</v>
      </c>
      <c r="Y1069" t="str">
        <f>"0421669341"</f>
        <v>0421669341</v>
      </c>
      <c r="Z1069" t="s">
        <v>795</v>
      </c>
      <c r="AB1069" t="s">
        <v>71</v>
      </c>
      <c r="AD1069" t="s">
        <v>61</v>
      </c>
      <c r="AE1069" t="s">
        <v>72</v>
      </c>
      <c r="AF1069">
        <v>2747</v>
      </c>
      <c r="AG1069" t="s">
        <v>73</v>
      </c>
      <c r="AI1069" t="s">
        <v>59</v>
      </c>
      <c r="AL1069" t="s">
        <v>3374</v>
      </c>
      <c r="AN1069" s="3">
        <v>46058.585416666669</v>
      </c>
      <c r="AO1069" t="s">
        <v>1476</v>
      </c>
    </row>
    <row r="1070" spans="1:41" x14ac:dyDescent="0.3">
      <c r="A1070" t="s">
        <v>61</v>
      </c>
      <c r="B1070" t="s">
        <v>655</v>
      </c>
      <c r="C1070" t="s">
        <v>43</v>
      </c>
      <c r="D1070" t="s">
        <v>656</v>
      </c>
      <c r="E1070" s="1">
        <v>46058</v>
      </c>
      <c r="F1070" t="s">
        <v>621</v>
      </c>
      <c r="G1070" t="s">
        <v>45</v>
      </c>
      <c r="H1070" s="2">
        <v>0.28125</v>
      </c>
      <c r="I1070" s="2">
        <v>0.99861111111111112</v>
      </c>
      <c r="J1070" t="s">
        <v>101</v>
      </c>
      <c r="L1070" t="s">
        <v>47</v>
      </c>
      <c r="M1070" t="s">
        <v>785</v>
      </c>
      <c r="N1070" t="s">
        <v>905</v>
      </c>
      <c r="O1070">
        <v>5950885</v>
      </c>
      <c r="Q1070" t="s">
        <v>665</v>
      </c>
      <c r="R1070" t="s">
        <v>67</v>
      </c>
      <c r="S1070" t="s">
        <v>52</v>
      </c>
      <c r="U1070">
        <v>889448</v>
      </c>
      <c r="V1070" s="3">
        <v>46042.432638888888</v>
      </c>
      <c r="W1070" t="s">
        <v>906</v>
      </c>
      <c r="X1070" t="s">
        <v>907</v>
      </c>
      <c r="Y1070" t="str">
        <f>"0421650139"</f>
        <v>0421650139</v>
      </c>
      <c r="Z1070" t="s">
        <v>3375</v>
      </c>
      <c r="AB1070" t="s">
        <v>662</v>
      </c>
      <c r="AC1070" t="s">
        <v>663</v>
      </c>
      <c r="AD1070" t="s">
        <v>61</v>
      </c>
      <c r="AE1070" t="s">
        <v>664</v>
      </c>
      <c r="AF1070">
        <v>2067</v>
      </c>
      <c r="AG1070" t="s">
        <v>665</v>
      </c>
      <c r="AI1070" t="s">
        <v>59</v>
      </c>
      <c r="AL1070" t="s">
        <v>3376</v>
      </c>
      <c r="AN1070" s="3">
        <v>46058.693055555559</v>
      </c>
      <c r="AO1070" t="s">
        <v>906</v>
      </c>
    </row>
    <row r="1071" spans="1:41" x14ac:dyDescent="0.3">
      <c r="A1071" t="s">
        <v>61</v>
      </c>
      <c r="B1071" t="s">
        <v>655</v>
      </c>
      <c r="C1071" t="s">
        <v>43</v>
      </c>
      <c r="D1071" t="s">
        <v>656</v>
      </c>
      <c r="E1071" s="1">
        <v>46058</v>
      </c>
      <c r="F1071" t="s">
        <v>621</v>
      </c>
      <c r="G1071" t="s">
        <v>45</v>
      </c>
      <c r="H1071" s="2">
        <v>0.29166666666666669</v>
      </c>
      <c r="I1071" s="2">
        <v>0.99861111111111112</v>
      </c>
      <c r="J1071" t="s">
        <v>185</v>
      </c>
      <c r="K1071" t="s">
        <v>2136</v>
      </c>
      <c r="L1071" t="s">
        <v>47</v>
      </c>
      <c r="M1071" t="s">
        <v>657</v>
      </c>
      <c r="N1071" t="s">
        <v>658</v>
      </c>
      <c r="O1071">
        <v>22959</v>
      </c>
      <c r="Q1071" t="s">
        <v>665</v>
      </c>
      <c r="R1071" t="s">
        <v>145</v>
      </c>
      <c r="S1071" t="s">
        <v>52</v>
      </c>
      <c r="U1071">
        <v>889430</v>
      </c>
      <c r="V1071" s="3">
        <v>46053.619444444441</v>
      </c>
      <c r="W1071" t="s">
        <v>660</v>
      </c>
      <c r="X1071" t="s">
        <v>661</v>
      </c>
      <c r="Y1071" t="str">
        <f>"0451533427"</f>
        <v>0451533427</v>
      </c>
      <c r="Z1071" t="s">
        <v>70</v>
      </c>
      <c r="AB1071" t="s">
        <v>662</v>
      </c>
      <c r="AC1071" t="s">
        <v>663</v>
      </c>
      <c r="AD1071" t="s">
        <v>61</v>
      </c>
      <c r="AE1071" t="s">
        <v>664</v>
      </c>
      <c r="AF1071">
        <v>2067</v>
      </c>
      <c r="AG1071" t="s">
        <v>665</v>
      </c>
      <c r="AI1071" t="s">
        <v>59</v>
      </c>
      <c r="AL1071" t="s">
        <v>3376</v>
      </c>
      <c r="AN1071" s="3">
        <v>46058.529861111114</v>
      </c>
      <c r="AO1071" t="s">
        <v>660</v>
      </c>
    </row>
    <row r="1072" spans="1:41" x14ac:dyDescent="0.3">
      <c r="A1072" t="s">
        <v>75</v>
      </c>
      <c r="B1072" t="s">
        <v>895</v>
      </c>
      <c r="C1072" t="s">
        <v>896</v>
      </c>
      <c r="D1072" t="s">
        <v>184</v>
      </c>
      <c r="E1072" s="1">
        <v>46058</v>
      </c>
      <c r="F1072" t="s">
        <v>621</v>
      </c>
      <c r="G1072" t="s">
        <v>45</v>
      </c>
      <c r="H1072" s="2">
        <v>0.29166666666666669</v>
      </c>
      <c r="I1072" s="2">
        <v>0.60416666666666663</v>
      </c>
      <c r="J1072" t="s">
        <v>2679</v>
      </c>
      <c r="L1072" t="s">
        <v>2973</v>
      </c>
      <c r="M1072" t="s">
        <v>3377</v>
      </c>
      <c r="N1072" t="s">
        <v>3378</v>
      </c>
      <c r="O1072">
        <v>5952207</v>
      </c>
      <c r="Q1072" t="s">
        <v>2681</v>
      </c>
      <c r="R1072" t="s">
        <v>81</v>
      </c>
      <c r="S1072" t="s">
        <v>52</v>
      </c>
      <c r="U1072">
        <v>889462</v>
      </c>
      <c r="V1072" s="3">
        <v>46055.517361111109</v>
      </c>
      <c r="W1072" t="s">
        <v>3379</v>
      </c>
      <c r="X1072" t="s">
        <v>3380</v>
      </c>
      <c r="Y1072" t="str">
        <f>"0412718451"</f>
        <v>0412718451</v>
      </c>
      <c r="Z1072" t="s">
        <v>70</v>
      </c>
      <c r="AA1072" s="1">
        <v>46058</v>
      </c>
      <c r="AB1072" t="s">
        <v>902</v>
      </c>
      <c r="AD1072" t="s">
        <v>75</v>
      </c>
      <c r="AE1072" t="s">
        <v>903</v>
      </c>
      <c r="AF1072">
        <v>6009</v>
      </c>
      <c r="AG1072" t="s">
        <v>2681</v>
      </c>
      <c r="AI1072" t="s">
        <v>59</v>
      </c>
      <c r="AL1072" t="s">
        <v>87</v>
      </c>
      <c r="AN1072" s="3">
        <v>46058.732638888891</v>
      </c>
      <c r="AO1072" t="s">
        <v>3379</v>
      </c>
    </row>
    <row r="1073" spans="1:41" x14ac:dyDescent="0.3">
      <c r="A1073" t="s">
        <v>168</v>
      </c>
      <c r="B1073" t="s">
        <v>282</v>
      </c>
      <c r="C1073" t="s">
        <v>43</v>
      </c>
      <c r="D1073" t="s">
        <v>283</v>
      </c>
      <c r="E1073" s="1">
        <v>46058</v>
      </c>
      <c r="F1073" t="s">
        <v>621</v>
      </c>
      <c r="G1073" t="s">
        <v>45</v>
      </c>
      <c r="H1073" s="2">
        <v>0.29166666666666669</v>
      </c>
      <c r="I1073" s="2">
        <v>0.5</v>
      </c>
      <c r="J1073" t="s">
        <v>185</v>
      </c>
      <c r="K1073" t="s">
        <v>284</v>
      </c>
      <c r="L1073" t="s">
        <v>186</v>
      </c>
      <c r="M1073" t="s">
        <v>285</v>
      </c>
      <c r="N1073" t="s">
        <v>286</v>
      </c>
      <c r="O1073">
        <v>5951416</v>
      </c>
      <c r="Q1073" t="s">
        <v>287</v>
      </c>
      <c r="R1073" t="s">
        <v>231</v>
      </c>
      <c r="S1073" t="s">
        <v>52</v>
      </c>
      <c r="U1073">
        <v>889429</v>
      </c>
      <c r="V1073" s="3">
        <v>46056.633333333331</v>
      </c>
      <c r="W1073" t="s">
        <v>288</v>
      </c>
      <c r="X1073" t="s">
        <v>289</v>
      </c>
      <c r="Y1073" t="str">
        <f>"0423562542"</f>
        <v>0423562542</v>
      </c>
      <c r="Z1073" t="s">
        <v>2531</v>
      </c>
      <c r="AB1073" t="s">
        <v>291</v>
      </c>
      <c r="AC1073" t="s">
        <v>292</v>
      </c>
      <c r="AD1073" t="s">
        <v>168</v>
      </c>
      <c r="AE1073" t="s">
        <v>293</v>
      </c>
      <c r="AF1073">
        <v>5037</v>
      </c>
      <c r="AG1073" t="s">
        <v>294</v>
      </c>
      <c r="AI1073" t="s">
        <v>59</v>
      </c>
      <c r="AL1073" t="s">
        <v>3342</v>
      </c>
      <c r="AN1073" s="3">
        <v>46058.525000000001</v>
      </c>
      <c r="AO1073" t="s">
        <v>288</v>
      </c>
    </row>
    <row r="1074" spans="1:41" x14ac:dyDescent="0.3">
      <c r="A1074" t="s">
        <v>168</v>
      </c>
      <c r="B1074" t="s">
        <v>266</v>
      </c>
      <c r="D1074" t="s">
        <v>268</v>
      </c>
      <c r="E1074" s="1">
        <v>46058</v>
      </c>
      <c r="F1074" t="s">
        <v>621</v>
      </c>
      <c r="G1074" t="s">
        <v>45</v>
      </c>
      <c r="H1074" s="2">
        <v>0.29166666666666669</v>
      </c>
      <c r="I1074" s="2">
        <v>0.64583333333333337</v>
      </c>
      <c r="J1074" t="s">
        <v>296</v>
      </c>
      <c r="K1074" t="s">
        <v>297</v>
      </c>
      <c r="L1074" t="s">
        <v>298</v>
      </c>
      <c r="M1074" t="s">
        <v>299</v>
      </c>
      <c r="N1074" t="s">
        <v>300</v>
      </c>
      <c r="O1074">
        <v>5951986</v>
      </c>
      <c r="Q1074" t="s">
        <v>274</v>
      </c>
      <c r="R1074" t="s">
        <v>176</v>
      </c>
      <c r="S1074" t="s">
        <v>52</v>
      </c>
      <c r="U1074">
        <v>889447</v>
      </c>
      <c r="V1074" s="3">
        <v>45993.425000000003</v>
      </c>
      <c r="W1074" t="s">
        <v>302</v>
      </c>
      <c r="X1074" t="s">
        <v>303</v>
      </c>
      <c r="Y1074" t="str">
        <f>"0452633734"</f>
        <v>0452633734</v>
      </c>
      <c r="Z1074" t="s">
        <v>3381</v>
      </c>
      <c r="AB1074" t="s">
        <v>277</v>
      </c>
      <c r="AC1074" t="s">
        <v>278</v>
      </c>
      <c r="AD1074" t="s">
        <v>168</v>
      </c>
      <c r="AE1074" t="s">
        <v>279</v>
      </c>
      <c r="AF1074">
        <v>5092</v>
      </c>
      <c r="AG1074" t="s">
        <v>274</v>
      </c>
      <c r="AI1074" t="s">
        <v>59</v>
      </c>
      <c r="AL1074" t="s">
        <v>3382</v>
      </c>
      <c r="AM1074" t="s">
        <v>281</v>
      </c>
      <c r="AN1074" s="3">
        <v>46058.665972222225</v>
      </c>
      <c r="AO1074" t="s">
        <v>302</v>
      </c>
    </row>
    <row r="1075" spans="1:41" x14ac:dyDescent="0.3">
      <c r="A1075" t="s">
        <v>168</v>
      </c>
      <c r="B1075" t="s">
        <v>441</v>
      </c>
      <c r="C1075" t="s">
        <v>43</v>
      </c>
      <c r="E1075" s="1">
        <v>46058</v>
      </c>
      <c r="F1075" t="s">
        <v>621</v>
      </c>
      <c r="G1075" t="s">
        <v>128</v>
      </c>
      <c r="H1075" s="2">
        <v>0.29166666666666669</v>
      </c>
      <c r="I1075" s="2">
        <v>0.70833333333333337</v>
      </c>
      <c r="J1075" t="s">
        <v>185</v>
      </c>
      <c r="L1075" t="s">
        <v>186</v>
      </c>
      <c r="M1075" t="s">
        <v>942</v>
      </c>
      <c r="N1075" t="s">
        <v>943</v>
      </c>
      <c r="O1075">
        <v>5950867</v>
      </c>
      <c r="Q1075" t="s">
        <v>944</v>
      </c>
      <c r="R1075" t="s">
        <v>1934</v>
      </c>
      <c r="S1075" t="s">
        <v>52</v>
      </c>
      <c r="U1075">
        <v>889450</v>
      </c>
      <c r="V1075" s="3">
        <v>46036.591666666667</v>
      </c>
      <c r="W1075" t="s">
        <v>945</v>
      </c>
      <c r="X1075" t="s">
        <v>946</v>
      </c>
      <c r="Y1075" t="str">
        <f>"0413415810"</f>
        <v>0413415810</v>
      </c>
      <c r="Z1075" t="s">
        <v>1635</v>
      </c>
      <c r="AA1075" s="1">
        <v>46058</v>
      </c>
      <c r="AB1075" t="s">
        <v>448</v>
      </c>
      <c r="AD1075" t="s">
        <v>168</v>
      </c>
      <c r="AE1075" t="s">
        <v>180</v>
      </c>
      <c r="AF1075">
        <v>5063</v>
      </c>
      <c r="AG1075" t="s">
        <v>944</v>
      </c>
      <c r="AI1075" t="s">
        <v>59</v>
      </c>
      <c r="AL1075" t="s">
        <v>3383</v>
      </c>
      <c r="AN1075" s="3">
        <v>46058.70208333333</v>
      </c>
      <c r="AO1075" t="s">
        <v>945</v>
      </c>
    </row>
    <row r="1076" spans="1:41" x14ac:dyDescent="0.3">
      <c r="A1076" t="s">
        <v>306</v>
      </c>
      <c r="B1076" t="s">
        <v>528</v>
      </c>
      <c r="C1076" t="s">
        <v>1523</v>
      </c>
      <c r="D1076" t="s">
        <v>63</v>
      </c>
      <c r="E1076" s="1">
        <v>46058</v>
      </c>
      <c r="F1076" t="s">
        <v>621</v>
      </c>
      <c r="G1076" t="s">
        <v>45</v>
      </c>
      <c r="H1076" s="2">
        <v>0.29166666666666669</v>
      </c>
      <c r="I1076" s="2">
        <v>0.60416666666666663</v>
      </c>
      <c r="J1076" t="s">
        <v>296</v>
      </c>
      <c r="L1076" t="s">
        <v>2374</v>
      </c>
      <c r="M1076" t="s">
        <v>2375</v>
      </c>
      <c r="N1076" t="s">
        <v>2376</v>
      </c>
      <c r="O1076">
        <v>5952415</v>
      </c>
      <c r="Q1076" t="s">
        <v>3043</v>
      </c>
      <c r="R1076" t="s">
        <v>1248</v>
      </c>
      <c r="S1076" t="s">
        <v>52</v>
      </c>
      <c r="U1076">
        <v>889440</v>
      </c>
      <c r="V1076" s="3">
        <v>46054.321527777778</v>
      </c>
      <c r="W1076" t="s">
        <v>2378</v>
      </c>
      <c r="X1076" t="s">
        <v>2379</v>
      </c>
      <c r="Y1076" t="str">
        <f>"0422461185"</f>
        <v>0422461185</v>
      </c>
      <c r="Z1076" t="s">
        <v>70</v>
      </c>
      <c r="AA1076" s="1">
        <v>46058</v>
      </c>
      <c r="AB1076" t="s">
        <v>537</v>
      </c>
      <c r="AD1076" t="s">
        <v>306</v>
      </c>
      <c r="AE1076" t="s">
        <v>538</v>
      </c>
      <c r="AF1076">
        <v>3152</v>
      </c>
      <c r="AG1076" t="s">
        <v>2757</v>
      </c>
      <c r="AI1076" t="s">
        <v>59</v>
      </c>
      <c r="AL1076" t="s">
        <v>3384</v>
      </c>
      <c r="AN1076" s="3">
        <v>46058.627083333333</v>
      </c>
      <c r="AO1076" t="s">
        <v>2378</v>
      </c>
    </row>
    <row r="1077" spans="1:41" x14ac:dyDescent="0.3">
      <c r="A1077" t="s">
        <v>168</v>
      </c>
      <c r="B1077" t="s">
        <v>441</v>
      </c>
      <c r="C1077" t="s">
        <v>43</v>
      </c>
      <c r="E1077" s="1">
        <v>46058</v>
      </c>
      <c r="F1077" t="s">
        <v>621</v>
      </c>
      <c r="G1077" t="s">
        <v>45</v>
      </c>
      <c r="H1077" s="2">
        <v>0.29166666666666669</v>
      </c>
      <c r="I1077" s="2">
        <v>0.52083333333333337</v>
      </c>
      <c r="J1077" t="s">
        <v>185</v>
      </c>
      <c r="K1077" t="s">
        <v>678</v>
      </c>
      <c r="L1077" t="s">
        <v>186</v>
      </c>
      <c r="M1077" t="s">
        <v>1918</v>
      </c>
      <c r="N1077" t="s">
        <v>1919</v>
      </c>
      <c r="O1077">
        <v>21455</v>
      </c>
      <c r="Q1077" t="s">
        <v>944</v>
      </c>
      <c r="R1077" t="s">
        <v>500</v>
      </c>
      <c r="S1077" t="s">
        <v>52</v>
      </c>
      <c r="U1077">
        <v>889434</v>
      </c>
      <c r="V1077" s="3">
        <v>46050.959027777775</v>
      </c>
      <c r="W1077" t="s">
        <v>1920</v>
      </c>
      <c r="X1077" t="s">
        <v>1921</v>
      </c>
      <c r="Y1077" t="str">
        <f>"0431412572"</f>
        <v>0431412572</v>
      </c>
      <c r="Z1077" t="s">
        <v>3385</v>
      </c>
      <c r="AB1077" t="s">
        <v>448</v>
      </c>
      <c r="AD1077" t="s">
        <v>168</v>
      </c>
      <c r="AE1077" t="s">
        <v>180</v>
      </c>
      <c r="AF1077">
        <v>5063</v>
      </c>
      <c r="AG1077" t="s">
        <v>944</v>
      </c>
      <c r="AI1077" t="s">
        <v>59</v>
      </c>
      <c r="AL1077" t="s">
        <v>3386</v>
      </c>
      <c r="AN1077" s="3">
        <v>46058.540972222225</v>
      </c>
      <c r="AO1077" t="s">
        <v>1920</v>
      </c>
    </row>
    <row r="1078" spans="1:41" x14ac:dyDescent="0.3">
      <c r="A1078" t="s">
        <v>61</v>
      </c>
      <c r="B1078" t="s">
        <v>1271</v>
      </c>
      <c r="C1078" t="s">
        <v>1272</v>
      </c>
      <c r="D1078" t="s">
        <v>184</v>
      </c>
      <c r="E1078" s="1">
        <v>46058</v>
      </c>
      <c r="F1078" t="s">
        <v>621</v>
      </c>
      <c r="G1078" t="s">
        <v>45</v>
      </c>
      <c r="H1078" s="2">
        <v>0.29166666666666669</v>
      </c>
      <c r="I1078" s="2">
        <v>0.64583333333333337</v>
      </c>
      <c r="J1078" t="s">
        <v>590</v>
      </c>
      <c r="L1078" t="s">
        <v>487</v>
      </c>
      <c r="M1078" t="s">
        <v>2461</v>
      </c>
      <c r="N1078" t="s">
        <v>2462</v>
      </c>
      <c r="O1078">
        <v>22373</v>
      </c>
      <c r="Q1078" t="s">
        <v>2463</v>
      </c>
      <c r="R1078" t="s">
        <v>132</v>
      </c>
      <c r="S1078" t="s">
        <v>52</v>
      </c>
      <c r="U1078">
        <v>889444</v>
      </c>
      <c r="V1078" s="3">
        <v>46051.370138888888</v>
      </c>
      <c r="W1078" t="s">
        <v>2464</v>
      </c>
      <c r="X1078" t="s">
        <v>2465</v>
      </c>
      <c r="Y1078" t="str">
        <f>"0410812981"</f>
        <v>0410812981</v>
      </c>
      <c r="Z1078" t="s">
        <v>1917</v>
      </c>
      <c r="AB1078" t="s">
        <v>1278</v>
      </c>
      <c r="AD1078" t="s">
        <v>61</v>
      </c>
      <c r="AE1078" t="s">
        <v>1279</v>
      </c>
      <c r="AF1078">
        <v>2145</v>
      </c>
      <c r="AG1078" t="s">
        <v>2463</v>
      </c>
      <c r="AI1078" t="s">
        <v>59</v>
      </c>
      <c r="AL1078" t="s">
        <v>3376</v>
      </c>
      <c r="AN1078" s="3">
        <v>46058.647222222222</v>
      </c>
      <c r="AO1078" t="s">
        <v>2464</v>
      </c>
    </row>
    <row r="1079" spans="1:41" x14ac:dyDescent="0.3">
      <c r="A1079" t="s">
        <v>41</v>
      </c>
      <c r="B1079" t="s">
        <v>568</v>
      </c>
      <c r="D1079" t="s">
        <v>246</v>
      </c>
      <c r="E1079" s="1">
        <v>46058</v>
      </c>
      <c r="F1079" t="s">
        <v>621</v>
      </c>
      <c r="G1079" t="s">
        <v>45</v>
      </c>
      <c r="H1079" s="2">
        <v>0.29166666666666669</v>
      </c>
      <c r="I1079" s="2">
        <v>0.8125</v>
      </c>
      <c r="J1079" t="s">
        <v>269</v>
      </c>
      <c r="L1079" t="s">
        <v>172</v>
      </c>
      <c r="M1079" t="s">
        <v>311</v>
      </c>
      <c r="N1079" t="s">
        <v>570</v>
      </c>
      <c r="O1079">
        <v>5951685</v>
      </c>
      <c r="P1079" t="s">
        <v>571</v>
      </c>
      <c r="Q1079" t="s">
        <v>572</v>
      </c>
      <c r="R1079" t="s">
        <v>573</v>
      </c>
      <c r="S1079" t="s">
        <v>52</v>
      </c>
      <c r="T1079" t="s">
        <v>252</v>
      </c>
      <c r="U1079">
        <v>889792</v>
      </c>
      <c r="V1079" s="3">
        <v>46062.522222222222</v>
      </c>
      <c r="W1079" t="s">
        <v>574</v>
      </c>
      <c r="X1079" t="s">
        <v>575</v>
      </c>
      <c r="Y1079" t="str">
        <f>"0407007024"</f>
        <v>0407007024</v>
      </c>
      <c r="Z1079" t="s">
        <v>290</v>
      </c>
      <c r="AA1079" s="1">
        <v>46075</v>
      </c>
      <c r="AB1079" t="s">
        <v>576</v>
      </c>
      <c r="AD1079" t="s">
        <v>41</v>
      </c>
      <c r="AE1079" t="s">
        <v>577</v>
      </c>
      <c r="AF1079">
        <v>4700</v>
      </c>
      <c r="AG1079" t="s">
        <v>572</v>
      </c>
      <c r="AI1079" t="s">
        <v>59</v>
      </c>
      <c r="AJ1079" t="str">
        <f>"0050076113"</f>
        <v>0050076113</v>
      </c>
      <c r="AN1079" s="3">
        <v>46062.522222222222</v>
      </c>
      <c r="AO1079" t="s">
        <v>573</v>
      </c>
    </row>
    <row r="1080" spans="1:41" x14ac:dyDescent="0.3">
      <c r="A1080" t="s">
        <v>41</v>
      </c>
      <c r="B1080" t="s">
        <v>1557</v>
      </c>
      <c r="C1080" t="s">
        <v>183</v>
      </c>
      <c r="D1080" t="s">
        <v>63</v>
      </c>
      <c r="E1080" s="1">
        <v>46058</v>
      </c>
      <c r="F1080" t="s">
        <v>621</v>
      </c>
      <c r="G1080" t="s">
        <v>45</v>
      </c>
      <c r="H1080" s="2">
        <v>0.29166666666666669</v>
      </c>
      <c r="I1080" s="2">
        <v>0.75</v>
      </c>
      <c r="J1080" t="s">
        <v>185</v>
      </c>
      <c r="L1080" t="s">
        <v>186</v>
      </c>
      <c r="M1080" t="s">
        <v>1558</v>
      </c>
      <c r="N1080" t="s">
        <v>1055</v>
      </c>
      <c r="O1080">
        <v>5952442</v>
      </c>
      <c r="Q1080" t="s">
        <v>2817</v>
      </c>
      <c r="R1080" t="s">
        <v>1248</v>
      </c>
      <c r="S1080" t="s">
        <v>52</v>
      </c>
      <c r="U1080">
        <v>889463</v>
      </c>
      <c r="V1080" s="3">
        <v>46051.76666666667</v>
      </c>
      <c r="W1080" t="s">
        <v>1560</v>
      </c>
      <c r="X1080" t="s">
        <v>1561</v>
      </c>
      <c r="Y1080" t="str">
        <f>"0459639482"</f>
        <v>0459639482</v>
      </c>
      <c r="Z1080" t="s">
        <v>70</v>
      </c>
      <c r="AA1080" s="1">
        <v>46058</v>
      </c>
      <c r="AB1080" t="s">
        <v>1562</v>
      </c>
      <c r="AD1080" t="s">
        <v>41</v>
      </c>
      <c r="AE1080" t="s">
        <v>1563</v>
      </c>
      <c r="AF1080">
        <v>4109</v>
      </c>
      <c r="AG1080" t="s">
        <v>2817</v>
      </c>
      <c r="AI1080" t="s">
        <v>59</v>
      </c>
      <c r="AL1080" t="s">
        <v>3387</v>
      </c>
      <c r="AN1080" s="3">
        <v>46058.734027777777</v>
      </c>
      <c r="AO1080" t="s">
        <v>1560</v>
      </c>
    </row>
    <row r="1081" spans="1:41" x14ac:dyDescent="0.3">
      <c r="A1081" t="s">
        <v>168</v>
      </c>
      <c r="B1081" t="s">
        <v>282</v>
      </c>
      <c r="C1081" t="s">
        <v>43</v>
      </c>
      <c r="D1081" t="s">
        <v>283</v>
      </c>
      <c r="E1081" s="1">
        <v>46058</v>
      </c>
      <c r="F1081" t="s">
        <v>621</v>
      </c>
      <c r="G1081" t="s">
        <v>45</v>
      </c>
      <c r="H1081" s="2">
        <v>0.29166666666666669</v>
      </c>
      <c r="I1081" s="2">
        <v>0.5</v>
      </c>
      <c r="J1081" t="s">
        <v>185</v>
      </c>
      <c r="K1081" t="s">
        <v>284</v>
      </c>
      <c r="L1081" t="s">
        <v>186</v>
      </c>
      <c r="M1081" t="s">
        <v>2532</v>
      </c>
      <c r="N1081" t="s">
        <v>2533</v>
      </c>
      <c r="O1081">
        <v>22897</v>
      </c>
      <c r="Q1081" t="s">
        <v>287</v>
      </c>
      <c r="R1081" t="s">
        <v>231</v>
      </c>
      <c r="S1081" t="s">
        <v>52</v>
      </c>
      <c r="U1081">
        <v>889428</v>
      </c>
      <c r="V1081" s="3">
        <v>46056.633333333331</v>
      </c>
      <c r="W1081" t="s">
        <v>2534</v>
      </c>
      <c r="X1081" t="s">
        <v>2535</v>
      </c>
      <c r="Y1081" t="str">
        <f>"0413562918"</f>
        <v>0413562918</v>
      </c>
      <c r="Z1081" t="s">
        <v>2442</v>
      </c>
      <c r="AA1081" s="1">
        <v>46058</v>
      </c>
      <c r="AB1081" t="s">
        <v>291</v>
      </c>
      <c r="AC1081" t="s">
        <v>292</v>
      </c>
      <c r="AD1081" t="s">
        <v>168</v>
      </c>
      <c r="AE1081" t="s">
        <v>293</v>
      </c>
      <c r="AF1081">
        <v>5037</v>
      </c>
      <c r="AG1081" t="s">
        <v>294</v>
      </c>
      <c r="AI1081" t="s">
        <v>59</v>
      </c>
      <c r="AL1081" t="s">
        <v>3388</v>
      </c>
      <c r="AN1081" s="3">
        <v>46058.517361111109</v>
      </c>
      <c r="AO1081" t="s">
        <v>2534</v>
      </c>
    </row>
    <row r="1082" spans="1:41" x14ac:dyDescent="0.3">
      <c r="A1082" t="s">
        <v>61</v>
      </c>
      <c r="B1082" t="s">
        <v>158</v>
      </c>
      <c r="C1082" t="s">
        <v>43</v>
      </c>
      <c r="D1082" t="s">
        <v>127</v>
      </c>
      <c r="E1082" s="1">
        <v>46058</v>
      </c>
      <c r="F1082" t="s">
        <v>621</v>
      </c>
      <c r="G1082" t="s">
        <v>45</v>
      </c>
      <c r="H1082" s="2">
        <v>0.29166666666666669</v>
      </c>
      <c r="I1082" s="2">
        <v>0.98958333333333337</v>
      </c>
      <c r="J1082" t="s">
        <v>185</v>
      </c>
      <c r="K1082" t="s">
        <v>238</v>
      </c>
      <c r="L1082" t="s">
        <v>186</v>
      </c>
      <c r="M1082" t="s">
        <v>1295</v>
      </c>
      <c r="N1082" t="s">
        <v>489</v>
      </c>
      <c r="O1082">
        <v>22571</v>
      </c>
      <c r="Q1082" t="s">
        <v>162</v>
      </c>
      <c r="R1082" t="s">
        <v>67</v>
      </c>
      <c r="S1082" t="s">
        <v>52</v>
      </c>
      <c r="U1082">
        <v>889479</v>
      </c>
      <c r="V1082" s="3">
        <v>46050.631249999999</v>
      </c>
      <c r="W1082" t="s">
        <v>3313</v>
      </c>
      <c r="X1082" t="s">
        <v>3314</v>
      </c>
      <c r="Y1082" t="str">
        <f>"0402089755"</f>
        <v>0402089755</v>
      </c>
      <c r="Z1082" t="s">
        <v>802</v>
      </c>
      <c r="AA1082" s="1">
        <v>46058</v>
      </c>
      <c r="AB1082" t="s">
        <v>166</v>
      </c>
      <c r="AD1082" t="s">
        <v>61</v>
      </c>
      <c r="AE1082" t="s">
        <v>167</v>
      </c>
      <c r="AF1082">
        <v>2011</v>
      </c>
      <c r="AG1082" t="s">
        <v>162</v>
      </c>
      <c r="AI1082" t="s">
        <v>59</v>
      </c>
      <c r="AL1082" t="s">
        <v>3376</v>
      </c>
      <c r="AN1082" s="3">
        <v>46058.792361111111</v>
      </c>
      <c r="AO1082" t="s">
        <v>3313</v>
      </c>
    </row>
    <row r="1083" spans="1:41" x14ac:dyDescent="0.3">
      <c r="A1083" t="s">
        <v>61</v>
      </c>
      <c r="B1083" t="s">
        <v>1079</v>
      </c>
      <c r="C1083" t="s">
        <v>43</v>
      </c>
      <c r="D1083" t="s">
        <v>63</v>
      </c>
      <c r="E1083" s="1">
        <v>46058</v>
      </c>
      <c r="F1083" t="s">
        <v>621</v>
      </c>
      <c r="G1083" t="s">
        <v>45</v>
      </c>
      <c r="H1083" s="2">
        <v>0.29166666666666669</v>
      </c>
      <c r="I1083" s="2">
        <v>0.72916666666666663</v>
      </c>
      <c r="J1083" t="s">
        <v>185</v>
      </c>
      <c r="K1083" t="s">
        <v>1290</v>
      </c>
      <c r="L1083" t="s">
        <v>186</v>
      </c>
      <c r="M1083" t="s">
        <v>777</v>
      </c>
      <c r="N1083" t="s">
        <v>778</v>
      </c>
      <c r="O1083">
        <v>5952331</v>
      </c>
      <c r="Q1083" t="s">
        <v>1826</v>
      </c>
      <c r="R1083" t="s">
        <v>132</v>
      </c>
      <c r="S1083" t="s">
        <v>52</v>
      </c>
      <c r="U1083">
        <v>889438</v>
      </c>
      <c r="V1083" s="3">
        <v>46057.470833333333</v>
      </c>
      <c r="W1083" t="s">
        <v>780</v>
      </c>
      <c r="X1083" t="s">
        <v>781</v>
      </c>
      <c r="Y1083" t="str">
        <f>"0478730906"</f>
        <v>0478730906</v>
      </c>
      <c r="Z1083" t="s">
        <v>70</v>
      </c>
      <c r="AA1083" s="1">
        <v>46058</v>
      </c>
      <c r="AB1083" t="s">
        <v>1085</v>
      </c>
      <c r="AD1083" t="s">
        <v>61</v>
      </c>
      <c r="AE1083" t="s">
        <v>1086</v>
      </c>
      <c r="AF1083">
        <v>2031</v>
      </c>
      <c r="AG1083" t="s">
        <v>3389</v>
      </c>
      <c r="AI1083" t="s">
        <v>59</v>
      </c>
      <c r="AL1083" t="s">
        <v>370</v>
      </c>
      <c r="AN1083" s="3">
        <v>46058.603472222225</v>
      </c>
      <c r="AO1083" t="s">
        <v>780</v>
      </c>
    </row>
    <row r="1084" spans="1:41" x14ac:dyDescent="0.3">
      <c r="A1084" t="s">
        <v>41</v>
      </c>
      <c r="B1084" t="s">
        <v>1557</v>
      </c>
      <c r="C1084" t="s">
        <v>3390</v>
      </c>
      <c r="D1084" t="s">
        <v>63</v>
      </c>
      <c r="E1084" s="1">
        <v>46058</v>
      </c>
      <c r="F1084" t="s">
        <v>621</v>
      </c>
      <c r="G1084" t="s">
        <v>45</v>
      </c>
      <c r="H1084" s="2">
        <v>0.29166666666666669</v>
      </c>
      <c r="I1084" s="2">
        <v>0.625</v>
      </c>
      <c r="J1084" t="s">
        <v>296</v>
      </c>
      <c r="L1084" t="s">
        <v>1453</v>
      </c>
      <c r="M1084" t="s">
        <v>3226</v>
      </c>
      <c r="N1084" t="s">
        <v>518</v>
      </c>
      <c r="O1084">
        <v>5952424</v>
      </c>
      <c r="Q1084" t="s">
        <v>2800</v>
      </c>
      <c r="R1084" t="s">
        <v>1472</v>
      </c>
      <c r="S1084" t="s">
        <v>52</v>
      </c>
      <c r="U1084">
        <v>889433</v>
      </c>
      <c r="V1084" s="3">
        <v>46049.62777777778</v>
      </c>
      <c r="W1084" t="s">
        <v>3227</v>
      </c>
      <c r="X1084" t="s">
        <v>3228</v>
      </c>
      <c r="Y1084" t="str">
        <f>"0426367609"</f>
        <v>0426367609</v>
      </c>
      <c r="Z1084" t="s">
        <v>290</v>
      </c>
      <c r="AB1084" t="s">
        <v>1562</v>
      </c>
      <c r="AD1084" t="s">
        <v>41</v>
      </c>
      <c r="AE1084" t="s">
        <v>1563</v>
      </c>
      <c r="AF1084">
        <v>4109</v>
      </c>
      <c r="AG1084" t="s">
        <v>3391</v>
      </c>
      <c r="AI1084" t="s">
        <v>59</v>
      </c>
      <c r="AL1084" t="s">
        <v>3392</v>
      </c>
      <c r="AN1084" s="3">
        <v>46058.540972222225</v>
      </c>
      <c r="AO1084" t="s">
        <v>3227</v>
      </c>
    </row>
    <row r="1085" spans="1:41" x14ac:dyDescent="0.3">
      <c r="A1085" t="s">
        <v>61</v>
      </c>
      <c r="B1085" t="s">
        <v>182</v>
      </c>
      <c r="C1085" t="s">
        <v>202</v>
      </c>
      <c r="D1085" t="s">
        <v>184</v>
      </c>
      <c r="E1085" s="1">
        <v>46058</v>
      </c>
      <c r="F1085" t="s">
        <v>621</v>
      </c>
      <c r="G1085" t="s">
        <v>45</v>
      </c>
      <c r="H1085" s="2">
        <v>0.29166666666666669</v>
      </c>
      <c r="I1085" s="2">
        <v>0.99861111111111112</v>
      </c>
      <c r="J1085" t="s">
        <v>46</v>
      </c>
      <c r="L1085" t="s">
        <v>47</v>
      </c>
      <c r="M1085" t="s">
        <v>914</v>
      </c>
      <c r="N1085" t="s">
        <v>915</v>
      </c>
      <c r="O1085">
        <v>5951931</v>
      </c>
      <c r="Q1085" t="s">
        <v>3393</v>
      </c>
      <c r="R1085" t="s">
        <v>132</v>
      </c>
      <c r="S1085" t="s">
        <v>52</v>
      </c>
      <c r="U1085">
        <v>889437</v>
      </c>
      <c r="V1085" s="3">
        <v>46058.230555555558</v>
      </c>
      <c r="W1085" t="s">
        <v>917</v>
      </c>
      <c r="X1085" t="s">
        <v>918</v>
      </c>
      <c r="Y1085" t="str">
        <f>"0402155331"</f>
        <v>0402155331</v>
      </c>
      <c r="Z1085" t="s">
        <v>70</v>
      </c>
      <c r="AA1085" s="1">
        <v>46058</v>
      </c>
      <c r="AB1085" t="s">
        <v>193</v>
      </c>
      <c r="AD1085" t="s">
        <v>61</v>
      </c>
      <c r="AE1085" t="s">
        <v>194</v>
      </c>
      <c r="AF1085">
        <v>2229</v>
      </c>
      <c r="AG1085" t="s">
        <v>1704</v>
      </c>
      <c r="AI1085" t="s">
        <v>59</v>
      </c>
      <c r="AL1085" t="s">
        <v>3394</v>
      </c>
      <c r="AN1085" s="3">
        <v>46058.603472222225</v>
      </c>
      <c r="AO1085" t="s">
        <v>917</v>
      </c>
    </row>
    <row r="1086" spans="1:41" x14ac:dyDescent="0.3">
      <c r="A1086" t="s">
        <v>306</v>
      </c>
      <c r="B1086" t="s">
        <v>1751</v>
      </c>
      <c r="C1086" t="s">
        <v>2840</v>
      </c>
      <c r="D1086" t="s">
        <v>184</v>
      </c>
      <c r="E1086" s="1">
        <v>46058</v>
      </c>
      <c r="F1086" t="s">
        <v>621</v>
      </c>
      <c r="G1086" t="s">
        <v>45</v>
      </c>
      <c r="H1086" s="2">
        <v>0.29166666666666669</v>
      </c>
      <c r="I1086" s="2">
        <v>0.625</v>
      </c>
      <c r="J1086" t="s">
        <v>296</v>
      </c>
      <c r="L1086" t="s">
        <v>1753</v>
      </c>
      <c r="M1086" t="s">
        <v>1754</v>
      </c>
      <c r="N1086" t="s">
        <v>1755</v>
      </c>
      <c r="O1086">
        <v>20486</v>
      </c>
      <c r="Q1086" t="s">
        <v>413</v>
      </c>
      <c r="R1086" t="s">
        <v>759</v>
      </c>
      <c r="S1086" t="s">
        <v>119</v>
      </c>
      <c r="T1086" t="s">
        <v>760</v>
      </c>
      <c r="U1086" t="s">
        <v>3395</v>
      </c>
      <c r="V1086" s="3">
        <v>46084.526388888888</v>
      </c>
      <c r="W1086" t="s">
        <v>1757</v>
      </c>
      <c r="X1086" t="s">
        <v>1758</v>
      </c>
      <c r="Y1086" t="str">
        <f>"0432381966"</f>
        <v>0432381966</v>
      </c>
      <c r="Z1086" t="s">
        <v>70</v>
      </c>
      <c r="AB1086" t="s">
        <v>1759</v>
      </c>
      <c r="AD1086" t="s">
        <v>306</v>
      </c>
      <c r="AE1086" t="s">
        <v>1760</v>
      </c>
      <c r="AF1086">
        <v>3199</v>
      </c>
      <c r="AG1086" t="s">
        <v>413</v>
      </c>
      <c r="AI1086" t="s">
        <v>59</v>
      </c>
      <c r="AM1086" t="s">
        <v>3396</v>
      </c>
      <c r="AN1086" s="3">
        <v>46084.526388888888</v>
      </c>
      <c r="AO1086" t="s">
        <v>759</v>
      </c>
    </row>
    <row r="1087" spans="1:41" x14ac:dyDescent="0.3">
      <c r="A1087" t="s">
        <v>306</v>
      </c>
      <c r="B1087" t="s">
        <v>1751</v>
      </c>
      <c r="C1087" t="s">
        <v>2840</v>
      </c>
      <c r="D1087" t="s">
        <v>184</v>
      </c>
      <c r="E1087" s="1">
        <v>46058</v>
      </c>
      <c r="F1087" t="s">
        <v>621</v>
      </c>
      <c r="G1087" t="s">
        <v>45</v>
      </c>
      <c r="H1087" s="2">
        <v>0.29166666666666669</v>
      </c>
      <c r="I1087" s="2">
        <v>0.625</v>
      </c>
      <c r="J1087" t="s">
        <v>496</v>
      </c>
      <c r="L1087" t="s">
        <v>1753</v>
      </c>
      <c r="M1087" t="s">
        <v>1754</v>
      </c>
      <c r="N1087" t="s">
        <v>1755</v>
      </c>
      <c r="O1087">
        <v>20486</v>
      </c>
      <c r="Q1087" t="s">
        <v>413</v>
      </c>
      <c r="R1087" t="s">
        <v>759</v>
      </c>
      <c r="S1087" t="s">
        <v>119</v>
      </c>
      <c r="T1087" t="s">
        <v>760</v>
      </c>
      <c r="U1087" t="s">
        <v>3397</v>
      </c>
      <c r="V1087" s="3">
        <v>46084.526388888888</v>
      </c>
      <c r="W1087" t="s">
        <v>1757</v>
      </c>
      <c r="X1087" t="s">
        <v>1758</v>
      </c>
      <c r="Y1087" t="str">
        <f>"0432381966"</f>
        <v>0432381966</v>
      </c>
      <c r="Z1087" t="s">
        <v>70</v>
      </c>
      <c r="AB1087" t="s">
        <v>1759</v>
      </c>
      <c r="AD1087" t="s">
        <v>306</v>
      </c>
      <c r="AE1087" t="s">
        <v>1760</v>
      </c>
      <c r="AF1087">
        <v>3199</v>
      </c>
      <c r="AG1087" t="s">
        <v>413</v>
      </c>
      <c r="AI1087" t="s">
        <v>59</v>
      </c>
      <c r="AM1087" t="s">
        <v>3396</v>
      </c>
      <c r="AN1087" s="3">
        <v>46084.526388888888</v>
      </c>
      <c r="AO1087" t="s">
        <v>759</v>
      </c>
    </row>
    <row r="1088" spans="1:41" x14ac:dyDescent="0.3">
      <c r="A1088" t="s">
        <v>306</v>
      </c>
      <c r="B1088" t="s">
        <v>1751</v>
      </c>
      <c r="C1088" t="s">
        <v>2840</v>
      </c>
      <c r="D1088" t="s">
        <v>184</v>
      </c>
      <c r="E1088" s="1">
        <v>46058</v>
      </c>
      <c r="F1088" t="s">
        <v>621</v>
      </c>
      <c r="G1088" t="s">
        <v>45</v>
      </c>
      <c r="H1088" s="2">
        <v>0.29166666666666669</v>
      </c>
      <c r="I1088" s="2">
        <v>0.625</v>
      </c>
      <c r="J1088" t="s">
        <v>1314</v>
      </c>
      <c r="L1088" t="s">
        <v>1753</v>
      </c>
      <c r="M1088" t="s">
        <v>1754</v>
      </c>
      <c r="N1088" t="s">
        <v>1755</v>
      </c>
      <c r="O1088">
        <v>20486</v>
      </c>
      <c r="Q1088" t="s">
        <v>413</v>
      </c>
      <c r="R1088" t="s">
        <v>476</v>
      </c>
      <c r="S1088" t="s">
        <v>119</v>
      </c>
      <c r="T1088" t="s">
        <v>414</v>
      </c>
      <c r="U1088">
        <v>889961</v>
      </c>
      <c r="V1088" s="3">
        <v>46052.563194444447</v>
      </c>
      <c r="W1088" t="s">
        <v>1757</v>
      </c>
      <c r="X1088" t="s">
        <v>1758</v>
      </c>
      <c r="Y1088" t="str">
        <f>"0432381966"</f>
        <v>0432381966</v>
      </c>
      <c r="Z1088" t="s">
        <v>70</v>
      </c>
      <c r="AB1088" t="s">
        <v>1759</v>
      </c>
      <c r="AD1088" t="s">
        <v>306</v>
      </c>
      <c r="AE1088" t="s">
        <v>1760</v>
      </c>
      <c r="AF1088">
        <v>3199</v>
      </c>
      <c r="AI1088" t="s">
        <v>59</v>
      </c>
      <c r="AL1088" t="s">
        <v>1068</v>
      </c>
      <c r="AM1088" t="s">
        <v>3398</v>
      </c>
      <c r="AN1088" s="3">
        <v>46052.564583333333</v>
      </c>
      <c r="AO1088" t="s">
        <v>476</v>
      </c>
    </row>
    <row r="1089" spans="1:41" x14ac:dyDescent="0.3">
      <c r="A1089" t="s">
        <v>168</v>
      </c>
      <c r="B1089" t="s">
        <v>2846</v>
      </c>
      <c r="C1089" t="s">
        <v>43</v>
      </c>
      <c r="D1089" t="s">
        <v>719</v>
      </c>
      <c r="E1089" s="1">
        <v>46058</v>
      </c>
      <c r="F1089" t="s">
        <v>621</v>
      </c>
      <c r="G1089" t="s">
        <v>45</v>
      </c>
      <c r="H1089" s="2">
        <v>0.29166666666666669</v>
      </c>
      <c r="I1089" s="2">
        <v>0.66666666666666663</v>
      </c>
      <c r="J1089" t="s">
        <v>1011</v>
      </c>
      <c r="K1089" t="s">
        <v>2847</v>
      </c>
      <c r="L1089" t="s">
        <v>186</v>
      </c>
      <c r="M1089" t="s">
        <v>729</v>
      </c>
      <c r="N1089" t="s">
        <v>1939</v>
      </c>
      <c r="O1089">
        <v>5950817</v>
      </c>
      <c r="Q1089" t="s">
        <v>2848</v>
      </c>
      <c r="R1089" t="s">
        <v>500</v>
      </c>
      <c r="S1089" t="s">
        <v>52</v>
      </c>
      <c r="U1089">
        <v>889445</v>
      </c>
      <c r="V1089" s="3">
        <v>46028.79583333333</v>
      </c>
      <c r="W1089" t="s">
        <v>2849</v>
      </c>
      <c r="X1089" t="s">
        <v>2850</v>
      </c>
      <c r="Y1089" t="str">
        <f>"0426051216"</f>
        <v>0426051216</v>
      </c>
      <c r="Z1089" t="s">
        <v>366</v>
      </c>
      <c r="AA1089" s="1">
        <v>46058</v>
      </c>
      <c r="AB1089" t="s">
        <v>2851</v>
      </c>
      <c r="AD1089" t="s">
        <v>168</v>
      </c>
      <c r="AE1089" t="s">
        <v>384</v>
      </c>
      <c r="AF1089">
        <v>5000</v>
      </c>
      <c r="AG1089" t="s">
        <v>2852</v>
      </c>
      <c r="AI1089" t="s">
        <v>59</v>
      </c>
      <c r="AL1089" t="s">
        <v>3399</v>
      </c>
      <c r="AN1089" s="3">
        <v>46058.657638888886</v>
      </c>
      <c r="AO1089" t="s">
        <v>2849</v>
      </c>
    </row>
    <row r="1090" spans="1:41" x14ac:dyDescent="0.3">
      <c r="A1090" t="s">
        <v>168</v>
      </c>
      <c r="B1090" t="s">
        <v>376</v>
      </c>
      <c r="C1090" t="s">
        <v>43</v>
      </c>
      <c r="D1090" t="s">
        <v>127</v>
      </c>
      <c r="E1090" s="1">
        <v>46058</v>
      </c>
      <c r="F1090" t="s">
        <v>621</v>
      </c>
      <c r="G1090" t="s">
        <v>45</v>
      </c>
      <c r="H1090" s="2">
        <v>0.29166666666666669</v>
      </c>
      <c r="I1090" s="2">
        <v>0.625</v>
      </c>
      <c r="J1090" t="s">
        <v>185</v>
      </c>
      <c r="L1090" t="s">
        <v>186</v>
      </c>
      <c r="M1090" t="s">
        <v>2691</v>
      </c>
      <c r="N1090" t="s">
        <v>2691</v>
      </c>
      <c r="O1090">
        <v>22687</v>
      </c>
      <c r="Q1090" t="s">
        <v>670</v>
      </c>
      <c r="R1090" t="s">
        <v>231</v>
      </c>
      <c r="S1090" t="s">
        <v>52</v>
      </c>
      <c r="U1090">
        <v>889427</v>
      </c>
      <c r="V1090" s="3">
        <v>46008.594444444447</v>
      </c>
      <c r="W1090" t="s">
        <v>2692</v>
      </c>
      <c r="X1090" t="s">
        <v>2693</v>
      </c>
      <c r="Y1090" t="str">
        <f>"0433922671"</f>
        <v>0433922671</v>
      </c>
      <c r="Z1090" t="s">
        <v>673</v>
      </c>
      <c r="AB1090" t="s">
        <v>383</v>
      </c>
      <c r="AD1090" t="s">
        <v>168</v>
      </c>
      <c r="AE1090" t="s">
        <v>384</v>
      </c>
      <c r="AF1090">
        <v>5000</v>
      </c>
      <c r="AG1090" t="s">
        <v>674</v>
      </c>
      <c r="AI1090" t="s">
        <v>59</v>
      </c>
      <c r="AL1090" t="s">
        <v>385</v>
      </c>
      <c r="AN1090" s="3">
        <v>46058.515277777777</v>
      </c>
      <c r="AO1090" t="s">
        <v>2692</v>
      </c>
    </row>
    <row r="1091" spans="1:41" x14ac:dyDescent="0.3">
      <c r="A1091" t="s">
        <v>61</v>
      </c>
      <c r="B1091" t="s">
        <v>1271</v>
      </c>
      <c r="C1091" t="s">
        <v>1272</v>
      </c>
      <c r="D1091" t="s">
        <v>184</v>
      </c>
      <c r="E1091" s="1">
        <v>46058</v>
      </c>
      <c r="F1091" t="s">
        <v>621</v>
      </c>
      <c r="G1091" t="s">
        <v>45</v>
      </c>
      <c r="H1091" s="2">
        <v>0.29166666666666669</v>
      </c>
      <c r="I1091" s="2">
        <v>0.8125</v>
      </c>
      <c r="J1091" t="s">
        <v>486</v>
      </c>
      <c r="L1091" t="s">
        <v>487</v>
      </c>
      <c r="M1091" t="s">
        <v>1490</v>
      </c>
      <c r="N1091" t="s">
        <v>1491</v>
      </c>
      <c r="O1091">
        <v>21218</v>
      </c>
      <c r="Q1091" t="s">
        <v>1190</v>
      </c>
      <c r="R1091" t="s">
        <v>67</v>
      </c>
      <c r="S1091" t="s">
        <v>52</v>
      </c>
      <c r="U1091">
        <v>889475</v>
      </c>
      <c r="V1091" s="3">
        <v>46056.350694444445</v>
      </c>
      <c r="W1091" t="s">
        <v>1493</v>
      </c>
      <c r="X1091" t="s">
        <v>1494</v>
      </c>
      <c r="Y1091" t="str">
        <f>"0401746606"</f>
        <v>0401746606</v>
      </c>
      <c r="Z1091" t="s">
        <v>1013</v>
      </c>
      <c r="AB1091" t="s">
        <v>1278</v>
      </c>
      <c r="AD1091" t="s">
        <v>61</v>
      </c>
      <c r="AE1091" t="s">
        <v>1279</v>
      </c>
      <c r="AF1091">
        <v>2145</v>
      </c>
      <c r="AG1091" t="s">
        <v>1190</v>
      </c>
      <c r="AI1091" t="s">
        <v>59</v>
      </c>
      <c r="AL1091" t="s">
        <v>3376</v>
      </c>
      <c r="AN1091" s="3">
        <v>46058.785416666666</v>
      </c>
      <c r="AO1091" t="s">
        <v>1493</v>
      </c>
    </row>
    <row r="1092" spans="1:41" x14ac:dyDescent="0.3">
      <c r="A1092" t="s">
        <v>306</v>
      </c>
      <c r="B1092" t="s">
        <v>2789</v>
      </c>
      <c r="C1092" t="s">
        <v>1354</v>
      </c>
      <c r="D1092" t="s">
        <v>90</v>
      </c>
      <c r="E1092" s="1">
        <v>46058</v>
      </c>
      <c r="F1092" t="s">
        <v>621</v>
      </c>
      <c r="G1092" t="s">
        <v>45</v>
      </c>
      <c r="H1092" s="2">
        <v>0.29166666666666669</v>
      </c>
      <c r="I1092" s="2">
        <v>0.625</v>
      </c>
      <c r="J1092" t="s">
        <v>1354</v>
      </c>
      <c r="L1092" t="s">
        <v>1327</v>
      </c>
      <c r="M1092" t="s">
        <v>1328</v>
      </c>
      <c r="N1092" t="s">
        <v>1329</v>
      </c>
      <c r="O1092">
        <v>20185</v>
      </c>
      <c r="P1092">
        <v>11668229</v>
      </c>
      <c r="Q1092" t="s">
        <v>98</v>
      </c>
      <c r="R1092" t="s">
        <v>500</v>
      </c>
      <c r="S1092" t="s">
        <v>52</v>
      </c>
      <c r="U1092">
        <v>889442</v>
      </c>
      <c r="V1092" s="3">
        <v>46057.888888888891</v>
      </c>
      <c r="W1092" t="s">
        <v>1331</v>
      </c>
      <c r="X1092" t="s">
        <v>1332</v>
      </c>
      <c r="Y1092" t="str">
        <f>"0422616195"</f>
        <v>0422616195</v>
      </c>
      <c r="Z1092" t="s">
        <v>70</v>
      </c>
      <c r="AA1092" s="1">
        <v>46058</v>
      </c>
      <c r="AB1092" t="s">
        <v>2790</v>
      </c>
      <c r="AD1092" t="s">
        <v>306</v>
      </c>
      <c r="AE1092" t="s">
        <v>1520</v>
      </c>
      <c r="AF1092">
        <v>3002</v>
      </c>
      <c r="AG1092" t="s">
        <v>1245</v>
      </c>
      <c r="AI1092" t="s">
        <v>59</v>
      </c>
      <c r="AL1092" t="s">
        <v>3400</v>
      </c>
      <c r="AN1092" s="3">
        <v>46058.632638888892</v>
      </c>
      <c r="AO1092" t="s">
        <v>1331</v>
      </c>
    </row>
    <row r="1093" spans="1:41" x14ac:dyDescent="0.3">
      <c r="A1093" t="s">
        <v>61</v>
      </c>
      <c r="B1093" t="s">
        <v>753</v>
      </c>
      <c r="C1093" t="s">
        <v>484</v>
      </c>
      <c r="D1093" t="s">
        <v>754</v>
      </c>
      <c r="E1093" s="1">
        <v>46058</v>
      </c>
      <c r="F1093" t="s">
        <v>621</v>
      </c>
      <c r="G1093" t="s">
        <v>45</v>
      </c>
      <c r="H1093" s="2">
        <v>0.29166666666666669</v>
      </c>
      <c r="I1093" s="2">
        <v>0.8125</v>
      </c>
      <c r="J1093" t="s">
        <v>389</v>
      </c>
      <c r="L1093" t="s">
        <v>755</v>
      </c>
      <c r="M1093" t="s">
        <v>756</v>
      </c>
      <c r="N1093" t="s">
        <v>757</v>
      </c>
      <c r="O1093">
        <v>5951482</v>
      </c>
      <c r="Q1093" t="s">
        <v>3401</v>
      </c>
      <c r="R1093" t="s">
        <v>67</v>
      </c>
      <c r="S1093" t="s">
        <v>52</v>
      </c>
      <c r="U1093">
        <v>889480</v>
      </c>
      <c r="V1093" s="3">
        <v>46051.422222222223</v>
      </c>
      <c r="W1093" t="s">
        <v>762</v>
      </c>
      <c r="X1093" t="s">
        <v>763</v>
      </c>
      <c r="Y1093" t="str">
        <f>"0418119924"</f>
        <v>0418119924</v>
      </c>
      <c r="Z1093" t="s">
        <v>2417</v>
      </c>
      <c r="AB1093" t="s">
        <v>764</v>
      </c>
      <c r="AD1093" t="s">
        <v>61</v>
      </c>
      <c r="AE1093" t="s">
        <v>765</v>
      </c>
      <c r="AF1093">
        <v>2220</v>
      </c>
      <c r="AG1093" t="s">
        <v>2438</v>
      </c>
      <c r="AI1093" t="s">
        <v>59</v>
      </c>
      <c r="AL1093" t="s">
        <v>3376</v>
      </c>
      <c r="AN1093" s="3">
        <v>46058.806944444441</v>
      </c>
      <c r="AO1093" t="s">
        <v>762</v>
      </c>
    </row>
    <row r="1094" spans="1:41" x14ac:dyDescent="0.3">
      <c r="A1094" t="s">
        <v>61</v>
      </c>
      <c r="B1094" t="s">
        <v>768</v>
      </c>
      <c r="C1094" t="s">
        <v>296</v>
      </c>
      <c r="D1094" t="s">
        <v>769</v>
      </c>
      <c r="E1094" s="1">
        <v>46058</v>
      </c>
      <c r="F1094" t="s">
        <v>621</v>
      </c>
      <c r="G1094" t="s">
        <v>45</v>
      </c>
      <c r="H1094" s="2">
        <v>0.3125</v>
      </c>
      <c r="I1094" s="2">
        <v>0.625</v>
      </c>
      <c r="J1094" t="s">
        <v>296</v>
      </c>
      <c r="L1094" t="s">
        <v>298</v>
      </c>
      <c r="M1094" t="s">
        <v>770</v>
      </c>
      <c r="N1094" t="s">
        <v>771</v>
      </c>
      <c r="O1094">
        <v>5952291</v>
      </c>
      <c r="Q1094" t="s">
        <v>1957</v>
      </c>
      <c r="R1094" t="s">
        <v>67</v>
      </c>
      <c r="S1094" t="s">
        <v>52</v>
      </c>
      <c r="U1094">
        <v>889441</v>
      </c>
      <c r="V1094" s="3">
        <v>46050.375</v>
      </c>
      <c r="W1094" t="s">
        <v>773</v>
      </c>
      <c r="X1094" t="s">
        <v>774</v>
      </c>
      <c r="Y1094" t="str">
        <f>"0432174467"</f>
        <v>0432174467</v>
      </c>
      <c r="Z1094" t="s">
        <v>527</v>
      </c>
      <c r="AB1094" t="s">
        <v>775</v>
      </c>
      <c r="AD1094" t="s">
        <v>61</v>
      </c>
      <c r="AE1094" t="s">
        <v>776</v>
      </c>
      <c r="AF1094">
        <v>2076</v>
      </c>
      <c r="AG1094" t="s">
        <v>1957</v>
      </c>
      <c r="AI1094" t="s">
        <v>59</v>
      </c>
      <c r="AL1094" t="s">
        <v>3376</v>
      </c>
      <c r="AN1094" s="3">
        <v>46058.627083333333</v>
      </c>
      <c r="AO1094" t="s">
        <v>773</v>
      </c>
    </row>
    <row r="1095" spans="1:41" x14ac:dyDescent="0.3">
      <c r="A1095" t="s">
        <v>306</v>
      </c>
      <c r="B1095" t="s">
        <v>820</v>
      </c>
      <c r="C1095" t="s">
        <v>100</v>
      </c>
      <c r="D1095" t="s">
        <v>127</v>
      </c>
      <c r="E1095" s="1">
        <v>46058</v>
      </c>
      <c r="F1095" t="s">
        <v>621</v>
      </c>
      <c r="G1095" t="s">
        <v>45</v>
      </c>
      <c r="H1095" s="2">
        <v>0.3125</v>
      </c>
      <c r="I1095" s="2">
        <v>0.66666666666666663</v>
      </c>
      <c r="J1095" t="s">
        <v>451</v>
      </c>
      <c r="L1095" t="s">
        <v>452</v>
      </c>
      <c r="M1095" t="s">
        <v>821</v>
      </c>
      <c r="N1095" t="s">
        <v>822</v>
      </c>
      <c r="O1095">
        <v>20712</v>
      </c>
      <c r="Q1095" t="s">
        <v>823</v>
      </c>
      <c r="R1095" t="s">
        <v>476</v>
      </c>
      <c r="S1095" t="s">
        <v>52</v>
      </c>
      <c r="U1095">
        <v>889431</v>
      </c>
      <c r="V1095" s="3">
        <v>46052.490972222222</v>
      </c>
      <c r="W1095" t="s">
        <v>824</v>
      </c>
      <c r="X1095" t="s">
        <v>825</v>
      </c>
      <c r="Y1095" t="str">
        <f>"0439419256"</f>
        <v>0439419256</v>
      </c>
      <c r="Z1095" t="s">
        <v>70</v>
      </c>
      <c r="AA1095" s="1">
        <v>46058</v>
      </c>
      <c r="AB1095" t="s">
        <v>826</v>
      </c>
      <c r="AD1095" t="s">
        <v>306</v>
      </c>
      <c r="AE1095" t="s">
        <v>827</v>
      </c>
      <c r="AF1095">
        <v>3181</v>
      </c>
      <c r="AG1095" t="s">
        <v>823</v>
      </c>
      <c r="AI1095" t="s">
        <v>59</v>
      </c>
      <c r="AL1095" t="s">
        <v>87</v>
      </c>
      <c r="AN1095" s="3">
        <v>46058.534722222219</v>
      </c>
      <c r="AO1095" t="s">
        <v>824</v>
      </c>
    </row>
    <row r="1096" spans="1:41" x14ac:dyDescent="0.3">
      <c r="A1096" t="s">
        <v>75</v>
      </c>
      <c r="B1096" t="s">
        <v>1104</v>
      </c>
      <c r="C1096" t="s">
        <v>43</v>
      </c>
      <c r="D1096" t="s">
        <v>700</v>
      </c>
      <c r="E1096" s="1">
        <v>46058</v>
      </c>
      <c r="F1096" t="s">
        <v>621</v>
      </c>
      <c r="G1096" t="s">
        <v>45</v>
      </c>
      <c r="H1096" s="2">
        <v>0.3125</v>
      </c>
      <c r="I1096" s="2">
        <v>0.5625</v>
      </c>
      <c r="J1096" t="s">
        <v>101</v>
      </c>
      <c r="L1096" t="s">
        <v>159</v>
      </c>
      <c r="M1096" t="s">
        <v>187</v>
      </c>
      <c r="N1096" t="s">
        <v>1105</v>
      </c>
      <c r="O1096">
        <v>21727</v>
      </c>
      <c r="Q1096" t="s">
        <v>1106</v>
      </c>
      <c r="R1096" t="s">
        <v>81</v>
      </c>
      <c r="S1096" t="s">
        <v>52</v>
      </c>
      <c r="U1096">
        <v>889446</v>
      </c>
      <c r="V1096" s="3">
        <v>46049.642361111109</v>
      </c>
      <c r="W1096" t="s">
        <v>1107</v>
      </c>
      <c r="X1096" t="s">
        <v>1108</v>
      </c>
      <c r="Y1096" t="str">
        <f>"0407897784"</f>
        <v>0407897784</v>
      </c>
      <c r="Z1096" t="s">
        <v>70</v>
      </c>
      <c r="AA1096" s="1">
        <v>46058</v>
      </c>
      <c r="AB1096" t="s">
        <v>920</v>
      </c>
      <c r="AC1096" t="s">
        <v>1109</v>
      </c>
      <c r="AD1096" t="s">
        <v>75</v>
      </c>
      <c r="AE1096" t="s">
        <v>1110</v>
      </c>
      <c r="AF1096">
        <v>6014</v>
      </c>
      <c r="AG1096" t="s">
        <v>1106</v>
      </c>
      <c r="AI1096" t="s">
        <v>59</v>
      </c>
      <c r="AL1096" t="s">
        <v>3402</v>
      </c>
      <c r="AN1096" s="3">
        <v>46058.664583333331</v>
      </c>
      <c r="AO1096" t="s">
        <v>1107</v>
      </c>
    </row>
    <row r="1097" spans="1:41" x14ac:dyDescent="0.3">
      <c r="A1097" t="s">
        <v>306</v>
      </c>
      <c r="B1097" t="s">
        <v>699</v>
      </c>
      <c r="C1097" t="s">
        <v>43</v>
      </c>
      <c r="D1097" t="s">
        <v>700</v>
      </c>
      <c r="E1097" s="1">
        <v>46058</v>
      </c>
      <c r="F1097" t="s">
        <v>621</v>
      </c>
      <c r="G1097" t="s">
        <v>45</v>
      </c>
      <c r="H1097" s="2">
        <v>0.3125</v>
      </c>
      <c r="I1097" s="2">
        <v>0.45833333333333331</v>
      </c>
      <c r="J1097" t="s">
        <v>701</v>
      </c>
      <c r="L1097" t="s">
        <v>702</v>
      </c>
      <c r="M1097" t="s">
        <v>703</v>
      </c>
      <c r="N1097" t="s">
        <v>704</v>
      </c>
      <c r="O1097">
        <v>20947</v>
      </c>
      <c r="Q1097" t="s">
        <v>413</v>
      </c>
      <c r="R1097" t="s">
        <v>759</v>
      </c>
      <c r="S1097" t="s">
        <v>119</v>
      </c>
      <c r="T1097" t="s">
        <v>760</v>
      </c>
      <c r="U1097" t="s">
        <v>3403</v>
      </c>
      <c r="V1097" s="3">
        <v>46070.548611111109</v>
      </c>
      <c r="W1097" t="s">
        <v>706</v>
      </c>
      <c r="X1097" t="s">
        <v>707</v>
      </c>
      <c r="Y1097" t="str">
        <f>"0437759431"</f>
        <v>0437759431</v>
      </c>
      <c r="Z1097" t="s">
        <v>70</v>
      </c>
      <c r="AB1097" t="s">
        <v>708</v>
      </c>
      <c r="AD1097" t="s">
        <v>306</v>
      </c>
      <c r="AE1097" t="s">
        <v>709</v>
      </c>
      <c r="AF1097">
        <v>3806</v>
      </c>
      <c r="AG1097" t="s">
        <v>413</v>
      </c>
      <c r="AI1097" t="s">
        <v>59</v>
      </c>
      <c r="AM1097" t="s">
        <v>3404</v>
      </c>
      <c r="AN1097" s="3">
        <v>46070.548611111109</v>
      </c>
      <c r="AO1097" t="s">
        <v>759</v>
      </c>
    </row>
    <row r="1098" spans="1:41" x14ac:dyDescent="0.3">
      <c r="A1098" t="s">
        <v>306</v>
      </c>
      <c r="B1098" t="s">
        <v>699</v>
      </c>
      <c r="C1098" t="s">
        <v>43</v>
      </c>
      <c r="D1098" t="s">
        <v>700</v>
      </c>
      <c r="E1098" s="1">
        <v>46058</v>
      </c>
      <c r="F1098" t="s">
        <v>621</v>
      </c>
      <c r="G1098" t="s">
        <v>45</v>
      </c>
      <c r="H1098" s="2">
        <v>0.3125</v>
      </c>
      <c r="I1098" s="2">
        <v>0.47916666666666669</v>
      </c>
      <c r="J1098" t="s">
        <v>701</v>
      </c>
      <c r="L1098" t="s">
        <v>702</v>
      </c>
      <c r="M1098" t="s">
        <v>703</v>
      </c>
      <c r="N1098" t="s">
        <v>704</v>
      </c>
      <c r="O1098">
        <v>20947</v>
      </c>
      <c r="Q1098" t="s">
        <v>413</v>
      </c>
      <c r="R1098" t="s">
        <v>759</v>
      </c>
      <c r="S1098" t="s">
        <v>119</v>
      </c>
      <c r="T1098" t="s">
        <v>760</v>
      </c>
      <c r="U1098" t="s">
        <v>3405</v>
      </c>
      <c r="V1098" s="3">
        <v>46070.55</v>
      </c>
      <c r="W1098" t="s">
        <v>706</v>
      </c>
      <c r="X1098" t="s">
        <v>707</v>
      </c>
      <c r="Y1098" t="str">
        <f>"0437759431"</f>
        <v>0437759431</v>
      </c>
      <c r="Z1098" t="s">
        <v>70</v>
      </c>
      <c r="AB1098" t="s">
        <v>708</v>
      </c>
      <c r="AD1098" t="s">
        <v>306</v>
      </c>
      <c r="AE1098" t="s">
        <v>709</v>
      </c>
      <c r="AF1098">
        <v>3806</v>
      </c>
      <c r="AG1098" t="s">
        <v>413</v>
      </c>
      <c r="AI1098" t="s">
        <v>59</v>
      </c>
      <c r="AM1098" t="s">
        <v>3406</v>
      </c>
      <c r="AN1098" s="3">
        <v>46070.55</v>
      </c>
      <c r="AO1098" t="s">
        <v>759</v>
      </c>
    </row>
    <row r="1099" spans="1:41" x14ac:dyDescent="0.3">
      <c r="A1099" t="s">
        <v>306</v>
      </c>
      <c r="B1099" t="s">
        <v>699</v>
      </c>
      <c r="C1099" t="s">
        <v>43</v>
      </c>
      <c r="D1099" t="s">
        <v>700</v>
      </c>
      <c r="E1099" s="1">
        <v>46058</v>
      </c>
      <c r="F1099" t="s">
        <v>621</v>
      </c>
      <c r="G1099" t="s">
        <v>45</v>
      </c>
      <c r="H1099" s="2">
        <v>0.3125</v>
      </c>
      <c r="I1099" s="2">
        <v>0.54166666666666663</v>
      </c>
      <c r="J1099" t="s">
        <v>701</v>
      </c>
      <c r="L1099" t="s">
        <v>702</v>
      </c>
      <c r="M1099" t="s">
        <v>703</v>
      </c>
      <c r="N1099" t="s">
        <v>704</v>
      </c>
      <c r="O1099">
        <v>20947</v>
      </c>
      <c r="Q1099" t="s">
        <v>705</v>
      </c>
      <c r="R1099" t="s">
        <v>314</v>
      </c>
      <c r="S1099" t="s">
        <v>52</v>
      </c>
      <c r="U1099">
        <v>889425</v>
      </c>
      <c r="V1099" s="3">
        <v>46055.592361111114</v>
      </c>
      <c r="W1099" t="s">
        <v>706</v>
      </c>
      <c r="X1099" t="s">
        <v>707</v>
      </c>
      <c r="Y1099" t="str">
        <f>"0437759431"</f>
        <v>0437759431</v>
      </c>
      <c r="Z1099" t="s">
        <v>55</v>
      </c>
      <c r="AA1099" s="1">
        <v>46058</v>
      </c>
      <c r="AB1099" t="s">
        <v>708</v>
      </c>
      <c r="AD1099" t="s">
        <v>306</v>
      </c>
      <c r="AE1099" t="s">
        <v>709</v>
      </c>
      <c r="AF1099">
        <v>3806</v>
      </c>
      <c r="AG1099" t="s">
        <v>2779</v>
      </c>
      <c r="AI1099" t="s">
        <v>59</v>
      </c>
      <c r="AL1099" t="s">
        <v>87</v>
      </c>
      <c r="AN1099" s="3">
        <v>46058.456944444442</v>
      </c>
      <c r="AO1099" t="s">
        <v>706</v>
      </c>
    </row>
    <row r="1100" spans="1:41" x14ac:dyDescent="0.3">
      <c r="A1100" t="s">
        <v>61</v>
      </c>
      <c r="B1100" t="s">
        <v>62</v>
      </c>
      <c r="C1100" t="s">
        <v>43</v>
      </c>
      <c r="D1100" t="s">
        <v>63</v>
      </c>
      <c r="E1100" s="1">
        <v>46058</v>
      </c>
      <c r="F1100" t="s">
        <v>621</v>
      </c>
      <c r="G1100" t="s">
        <v>45</v>
      </c>
      <c r="H1100" s="2">
        <v>0.3125</v>
      </c>
      <c r="I1100" s="2">
        <v>0.99861111111111112</v>
      </c>
      <c r="J1100" t="s">
        <v>185</v>
      </c>
      <c r="L1100" t="s">
        <v>784</v>
      </c>
      <c r="M1100" t="s">
        <v>785</v>
      </c>
      <c r="N1100" t="s">
        <v>786</v>
      </c>
      <c r="O1100">
        <v>5951112</v>
      </c>
      <c r="Q1100" t="s">
        <v>3407</v>
      </c>
      <c r="R1100" t="s">
        <v>67</v>
      </c>
      <c r="S1100" t="s">
        <v>52</v>
      </c>
      <c r="U1100">
        <v>889460</v>
      </c>
      <c r="V1100" s="3">
        <v>46051.37222222222</v>
      </c>
      <c r="W1100" t="s">
        <v>787</v>
      </c>
      <c r="X1100" t="s">
        <v>788</v>
      </c>
      <c r="Y1100" t="str">
        <f>"0423329386"</f>
        <v>0423329386</v>
      </c>
      <c r="Z1100" t="s">
        <v>70</v>
      </c>
      <c r="AB1100" t="s">
        <v>71</v>
      </c>
      <c r="AD1100" t="s">
        <v>61</v>
      </c>
      <c r="AE1100" t="s">
        <v>72</v>
      </c>
      <c r="AF1100">
        <v>2747</v>
      </c>
      <c r="AG1100" t="s">
        <v>73</v>
      </c>
      <c r="AI1100" t="s">
        <v>59</v>
      </c>
      <c r="AL1100" t="s">
        <v>3408</v>
      </c>
      <c r="AN1100" s="3">
        <v>46058.724305555559</v>
      </c>
      <c r="AO1100" t="s">
        <v>787</v>
      </c>
    </row>
    <row r="1101" spans="1:41" x14ac:dyDescent="0.3">
      <c r="A1101" t="s">
        <v>75</v>
      </c>
      <c r="B1101" t="s">
        <v>2220</v>
      </c>
      <c r="C1101" t="s">
        <v>43</v>
      </c>
      <c r="D1101" t="s">
        <v>2221</v>
      </c>
      <c r="E1101" s="1">
        <v>46058</v>
      </c>
      <c r="F1101" t="s">
        <v>621</v>
      </c>
      <c r="G1101" t="s">
        <v>45</v>
      </c>
      <c r="H1101" s="2">
        <v>0.3125</v>
      </c>
      <c r="I1101" s="2">
        <v>0.77083333333333337</v>
      </c>
      <c r="J1101" t="s">
        <v>101</v>
      </c>
      <c r="L1101" t="s">
        <v>159</v>
      </c>
      <c r="M1101" t="s">
        <v>250</v>
      </c>
      <c r="N1101" t="s">
        <v>2302</v>
      </c>
      <c r="O1101">
        <v>5952443</v>
      </c>
      <c r="Q1101" t="s">
        <v>2222</v>
      </c>
      <c r="R1101" t="s">
        <v>81</v>
      </c>
      <c r="S1101" t="s">
        <v>52</v>
      </c>
      <c r="U1101">
        <v>889535</v>
      </c>
      <c r="V1101" s="3">
        <v>46056.703472222223</v>
      </c>
      <c r="W1101" t="s">
        <v>2304</v>
      </c>
      <c r="X1101" t="s">
        <v>2305</v>
      </c>
      <c r="Y1101" t="str">
        <f>"0402925703"</f>
        <v>0402925703</v>
      </c>
      <c r="Z1101" t="s">
        <v>70</v>
      </c>
      <c r="AA1101" s="1">
        <v>46058</v>
      </c>
      <c r="AB1101" t="s">
        <v>2225</v>
      </c>
      <c r="AC1101" t="s">
        <v>2226</v>
      </c>
      <c r="AD1101" t="s">
        <v>75</v>
      </c>
      <c r="AE1101" t="s">
        <v>903</v>
      </c>
      <c r="AF1101">
        <v>6009</v>
      </c>
      <c r="AG1101" t="s">
        <v>2222</v>
      </c>
      <c r="AI1101" t="s">
        <v>59</v>
      </c>
      <c r="AL1101" t="s">
        <v>87</v>
      </c>
      <c r="AN1101" s="3">
        <v>46058.939583333333</v>
      </c>
      <c r="AO1101" t="s">
        <v>2304</v>
      </c>
    </row>
    <row r="1102" spans="1:41" x14ac:dyDescent="0.3">
      <c r="A1102" t="s">
        <v>41</v>
      </c>
      <c r="B1102" t="s">
        <v>426</v>
      </c>
      <c r="C1102" t="s">
        <v>43</v>
      </c>
      <c r="D1102" t="s">
        <v>246</v>
      </c>
      <c r="E1102" s="1">
        <v>46058</v>
      </c>
      <c r="F1102" t="s">
        <v>621</v>
      </c>
      <c r="G1102" t="s">
        <v>45</v>
      </c>
      <c r="H1102" s="2">
        <v>0.32291666666666669</v>
      </c>
      <c r="I1102" s="2">
        <v>0.71875</v>
      </c>
      <c r="J1102" t="s">
        <v>185</v>
      </c>
      <c r="K1102" t="s">
        <v>427</v>
      </c>
      <c r="L1102" t="s">
        <v>815</v>
      </c>
      <c r="M1102" t="s">
        <v>816</v>
      </c>
      <c r="N1102" t="s">
        <v>817</v>
      </c>
      <c r="O1102">
        <v>22501</v>
      </c>
      <c r="Q1102" t="s">
        <v>1826</v>
      </c>
      <c r="R1102" t="s">
        <v>51</v>
      </c>
      <c r="S1102" t="s">
        <v>52</v>
      </c>
      <c r="U1102">
        <v>889465</v>
      </c>
      <c r="V1102" s="3">
        <v>46052.652777777781</v>
      </c>
      <c r="W1102" t="s">
        <v>818</v>
      </c>
      <c r="X1102" t="s">
        <v>819</v>
      </c>
      <c r="Y1102" t="str">
        <f>"0432588228"</f>
        <v>0432588228</v>
      </c>
      <c r="Z1102" t="s">
        <v>366</v>
      </c>
      <c r="AB1102" t="s">
        <v>434</v>
      </c>
      <c r="AD1102" t="s">
        <v>41</v>
      </c>
      <c r="AE1102" t="s">
        <v>435</v>
      </c>
      <c r="AF1102">
        <v>4163</v>
      </c>
      <c r="AG1102" t="s">
        <v>249</v>
      </c>
      <c r="AI1102" t="s">
        <v>59</v>
      </c>
      <c r="AL1102" t="s">
        <v>249</v>
      </c>
      <c r="AN1102" s="3">
        <v>46058.759722222225</v>
      </c>
      <c r="AO1102" t="s">
        <v>818</v>
      </c>
    </row>
    <row r="1103" spans="1:41" x14ac:dyDescent="0.3">
      <c r="A1103" t="s">
        <v>75</v>
      </c>
      <c r="B1103" t="s">
        <v>1972</v>
      </c>
      <c r="C1103" t="s">
        <v>3409</v>
      </c>
      <c r="D1103" t="s">
        <v>700</v>
      </c>
      <c r="E1103" s="1">
        <v>46058</v>
      </c>
      <c r="F1103" t="s">
        <v>621</v>
      </c>
      <c r="G1103" t="s">
        <v>45</v>
      </c>
      <c r="H1103" s="2">
        <v>0.33333333333333331</v>
      </c>
      <c r="I1103" s="2">
        <v>0.75</v>
      </c>
      <c r="J1103" t="s">
        <v>185</v>
      </c>
      <c r="L1103" t="s">
        <v>3410</v>
      </c>
      <c r="M1103" t="s">
        <v>3411</v>
      </c>
      <c r="N1103" t="s">
        <v>3412</v>
      </c>
      <c r="O1103">
        <v>5952387</v>
      </c>
      <c r="Q1103" t="s">
        <v>3413</v>
      </c>
      <c r="R1103" t="s">
        <v>556</v>
      </c>
      <c r="S1103" t="s">
        <v>52</v>
      </c>
      <c r="U1103">
        <v>889487</v>
      </c>
      <c r="V1103" s="3">
        <v>46057.815972222219</v>
      </c>
      <c r="W1103" t="s">
        <v>3414</v>
      </c>
      <c r="X1103" t="s">
        <v>3415</v>
      </c>
      <c r="Y1103" t="str">
        <f>"0480582659"</f>
        <v>0480582659</v>
      </c>
      <c r="Z1103" t="s">
        <v>70</v>
      </c>
      <c r="AA1103" s="1">
        <v>46058</v>
      </c>
      <c r="AB1103" t="s">
        <v>811</v>
      </c>
      <c r="AC1103" t="s">
        <v>1992</v>
      </c>
      <c r="AD1103" t="s">
        <v>75</v>
      </c>
      <c r="AE1103" t="s">
        <v>1993</v>
      </c>
      <c r="AF1103">
        <v>6008</v>
      </c>
      <c r="AG1103" t="s">
        <v>3416</v>
      </c>
      <c r="AI1103" t="s">
        <v>59</v>
      </c>
      <c r="AL1103" t="s">
        <v>3417</v>
      </c>
      <c r="AM1103" s="4" t="s">
        <v>3418</v>
      </c>
      <c r="AN1103" s="3">
        <v>46058.851388888892</v>
      </c>
      <c r="AO1103" t="s">
        <v>3414</v>
      </c>
    </row>
    <row r="1104" spans="1:41" x14ac:dyDescent="0.3">
      <c r="A1104" t="s">
        <v>41</v>
      </c>
      <c r="B1104" t="s">
        <v>138</v>
      </c>
      <c r="C1104" t="s">
        <v>139</v>
      </c>
      <c r="D1104" t="s">
        <v>127</v>
      </c>
      <c r="E1104" s="1">
        <v>46058</v>
      </c>
      <c r="F1104" t="s">
        <v>621</v>
      </c>
      <c r="G1104" t="s">
        <v>45</v>
      </c>
      <c r="H1104" s="2">
        <v>0.33333333333333331</v>
      </c>
      <c r="I1104" s="2">
        <v>0.66666666666666663</v>
      </c>
      <c r="J1104" t="s">
        <v>140</v>
      </c>
      <c r="L1104" t="s">
        <v>141</v>
      </c>
      <c r="M1104" t="s">
        <v>142</v>
      </c>
      <c r="N1104" t="s">
        <v>143</v>
      </c>
      <c r="O1104">
        <v>22649</v>
      </c>
      <c r="Q1104" t="s">
        <v>3419</v>
      </c>
      <c r="R1104" t="s">
        <v>1472</v>
      </c>
      <c r="S1104" t="s">
        <v>52</v>
      </c>
      <c r="U1104">
        <v>889452</v>
      </c>
      <c r="V1104" s="3">
        <v>46055.609722222223</v>
      </c>
      <c r="W1104" t="s">
        <v>146</v>
      </c>
      <c r="X1104" t="s">
        <v>147</v>
      </c>
      <c r="Y1104" t="str">
        <f>"0407039143"</f>
        <v>0407039143</v>
      </c>
      <c r="Z1104" t="s">
        <v>123</v>
      </c>
      <c r="AB1104" t="s">
        <v>148</v>
      </c>
      <c r="AC1104" t="s">
        <v>149</v>
      </c>
      <c r="AD1104" t="s">
        <v>41</v>
      </c>
      <c r="AE1104" t="s">
        <v>150</v>
      </c>
      <c r="AF1104">
        <v>4000</v>
      </c>
      <c r="AG1104" t="s">
        <v>3419</v>
      </c>
      <c r="AI1104" t="s">
        <v>59</v>
      </c>
      <c r="AL1104" t="s">
        <v>2622</v>
      </c>
      <c r="AN1104" s="3">
        <v>46058.707638888889</v>
      </c>
      <c r="AO1104" t="s">
        <v>146</v>
      </c>
    </row>
    <row r="1105" spans="1:41" x14ac:dyDescent="0.3">
      <c r="A1105" t="s">
        <v>41</v>
      </c>
      <c r="B1105" t="s">
        <v>1452</v>
      </c>
      <c r="D1105" t="s">
        <v>246</v>
      </c>
      <c r="E1105" s="1">
        <v>46058</v>
      </c>
      <c r="F1105" t="s">
        <v>621</v>
      </c>
      <c r="G1105" t="s">
        <v>45</v>
      </c>
      <c r="H1105" s="2">
        <v>0.33333333333333331</v>
      </c>
      <c r="I1105" s="2">
        <v>0.66666666666666663</v>
      </c>
      <c r="J1105" t="s">
        <v>296</v>
      </c>
      <c r="L1105" t="s">
        <v>1453</v>
      </c>
      <c r="M1105" t="s">
        <v>1454</v>
      </c>
      <c r="N1105" t="s">
        <v>1455</v>
      </c>
      <c r="O1105">
        <v>5951941</v>
      </c>
      <c r="Q1105" t="s">
        <v>1456</v>
      </c>
      <c r="R1105" t="s">
        <v>573</v>
      </c>
      <c r="S1105" t="s">
        <v>52</v>
      </c>
      <c r="T1105" t="s">
        <v>252</v>
      </c>
      <c r="U1105">
        <v>889951</v>
      </c>
      <c r="V1105" s="3">
        <v>46063.347222222219</v>
      </c>
      <c r="W1105" t="s">
        <v>1457</v>
      </c>
      <c r="X1105" t="s">
        <v>1458</v>
      </c>
      <c r="Y1105" t="str">
        <f>"0413847722"</f>
        <v>0413847722</v>
      </c>
      <c r="Z1105" t="s">
        <v>395</v>
      </c>
      <c r="AA1105" s="1">
        <v>46097</v>
      </c>
      <c r="AB1105" t="s">
        <v>1459</v>
      </c>
      <c r="AD1105" t="s">
        <v>41</v>
      </c>
      <c r="AE1105" t="s">
        <v>1460</v>
      </c>
      <c r="AF1105">
        <v>4740</v>
      </c>
      <c r="AG1105" t="s">
        <v>1456</v>
      </c>
      <c r="AI1105" t="s">
        <v>59</v>
      </c>
      <c r="AJ1105" t="str">
        <f>"0050076628"</f>
        <v>0050076628</v>
      </c>
      <c r="AN1105" s="3">
        <v>46063.347222222219</v>
      </c>
      <c r="AO1105" t="s">
        <v>573</v>
      </c>
    </row>
    <row r="1106" spans="1:41" x14ac:dyDescent="0.3">
      <c r="A1106" t="s">
        <v>75</v>
      </c>
      <c r="B1106" t="s">
        <v>895</v>
      </c>
      <c r="C1106" t="s">
        <v>896</v>
      </c>
      <c r="D1106" t="s">
        <v>184</v>
      </c>
      <c r="E1106" s="1">
        <v>46058</v>
      </c>
      <c r="F1106" t="s">
        <v>621</v>
      </c>
      <c r="G1106" t="s">
        <v>45</v>
      </c>
      <c r="H1106" s="2">
        <v>0.33333333333333331</v>
      </c>
      <c r="I1106" s="2">
        <v>0.58333333333333337</v>
      </c>
      <c r="J1106" t="s">
        <v>46</v>
      </c>
      <c r="L1106" t="s">
        <v>47</v>
      </c>
      <c r="M1106" t="s">
        <v>924</v>
      </c>
      <c r="N1106" t="s">
        <v>925</v>
      </c>
      <c r="O1106">
        <v>5951405</v>
      </c>
      <c r="Q1106" t="s">
        <v>3420</v>
      </c>
      <c r="R1106" t="s">
        <v>556</v>
      </c>
      <c r="S1106" t="s">
        <v>52</v>
      </c>
      <c r="U1106">
        <v>889449</v>
      </c>
      <c r="V1106" s="3">
        <v>46058.047222222223</v>
      </c>
      <c r="W1106" t="s">
        <v>927</v>
      </c>
      <c r="X1106" t="s">
        <v>928</v>
      </c>
      <c r="Y1106" t="str">
        <f>"0406099115"</f>
        <v>0406099115</v>
      </c>
      <c r="Z1106" t="s">
        <v>70</v>
      </c>
      <c r="AA1106" s="1">
        <v>46058</v>
      </c>
      <c r="AB1106" t="s">
        <v>902</v>
      </c>
      <c r="AD1106" t="s">
        <v>75</v>
      </c>
      <c r="AE1106" t="s">
        <v>903</v>
      </c>
      <c r="AF1106">
        <v>6009</v>
      </c>
      <c r="AG1106" t="s">
        <v>3421</v>
      </c>
      <c r="AI1106" t="s">
        <v>59</v>
      </c>
      <c r="AL1106" t="s">
        <v>3422</v>
      </c>
      <c r="AN1106" s="3">
        <v>46058.701388888891</v>
      </c>
      <c r="AO1106" t="s">
        <v>927</v>
      </c>
    </row>
    <row r="1107" spans="1:41" x14ac:dyDescent="0.3">
      <c r="A1107" t="s">
        <v>168</v>
      </c>
      <c r="B1107" t="s">
        <v>847</v>
      </c>
      <c r="C1107" t="s">
        <v>848</v>
      </c>
      <c r="D1107" t="s">
        <v>268</v>
      </c>
      <c r="E1107" s="1">
        <v>46058</v>
      </c>
      <c r="F1107" t="s">
        <v>621</v>
      </c>
      <c r="G1107" t="s">
        <v>45</v>
      </c>
      <c r="H1107" s="2">
        <v>0.35416666666666669</v>
      </c>
      <c r="I1107" s="2">
        <v>0.70833333333333337</v>
      </c>
      <c r="J1107" t="s">
        <v>101</v>
      </c>
      <c r="K1107" t="s">
        <v>270</v>
      </c>
      <c r="L1107" t="s">
        <v>159</v>
      </c>
      <c r="M1107" t="s">
        <v>1552</v>
      </c>
      <c r="N1107" t="s">
        <v>1553</v>
      </c>
      <c r="O1107">
        <v>5951790</v>
      </c>
      <c r="Q1107" t="s">
        <v>3423</v>
      </c>
      <c r="R1107" t="s">
        <v>231</v>
      </c>
      <c r="S1107" t="s">
        <v>52</v>
      </c>
      <c r="U1107">
        <v>889453</v>
      </c>
      <c r="V1107" s="3">
        <v>46029.518055555556</v>
      </c>
      <c r="W1107" t="s">
        <v>1554</v>
      </c>
      <c r="X1107" t="s">
        <v>1555</v>
      </c>
      <c r="Y1107" t="str">
        <f>"0402115073"</f>
        <v>0402115073</v>
      </c>
      <c r="Z1107" t="s">
        <v>2595</v>
      </c>
      <c r="AB1107" t="s">
        <v>847</v>
      </c>
      <c r="AC1107" t="s">
        <v>855</v>
      </c>
      <c r="AD1107" t="s">
        <v>168</v>
      </c>
      <c r="AE1107" t="s">
        <v>856</v>
      </c>
      <c r="AF1107">
        <v>5112</v>
      </c>
      <c r="AG1107" t="s">
        <v>3423</v>
      </c>
      <c r="AI1107" t="s">
        <v>59</v>
      </c>
      <c r="AL1107" t="s">
        <v>3424</v>
      </c>
      <c r="AN1107" s="3">
        <v>46058.714583333334</v>
      </c>
      <c r="AO1107" t="s">
        <v>1554</v>
      </c>
    </row>
    <row r="1108" spans="1:41" x14ac:dyDescent="0.3">
      <c r="A1108" t="s">
        <v>61</v>
      </c>
      <c r="B1108" t="s">
        <v>929</v>
      </c>
      <c r="C1108" t="s">
        <v>929</v>
      </c>
      <c r="D1108" t="s">
        <v>309</v>
      </c>
      <c r="E1108" s="1">
        <v>46069</v>
      </c>
      <c r="F1108" t="s">
        <v>569</v>
      </c>
      <c r="G1108" t="s">
        <v>45</v>
      </c>
      <c r="H1108" s="2">
        <v>0.45833333333333331</v>
      </c>
      <c r="I1108" s="2">
        <v>0.91666666666666663</v>
      </c>
      <c r="J1108" t="s">
        <v>3425</v>
      </c>
      <c r="L1108" t="s">
        <v>931</v>
      </c>
      <c r="M1108" t="s">
        <v>932</v>
      </c>
      <c r="N1108" t="s">
        <v>933</v>
      </c>
      <c r="O1108">
        <v>5952462</v>
      </c>
      <c r="P1108" t="s">
        <v>3426</v>
      </c>
      <c r="Q1108" t="s">
        <v>3427</v>
      </c>
      <c r="R1108" t="s">
        <v>3428</v>
      </c>
      <c r="S1108" t="s">
        <v>119</v>
      </c>
      <c r="V1108" s="3">
        <v>46069.648611111108</v>
      </c>
      <c r="W1108" t="s">
        <v>936</v>
      </c>
      <c r="X1108" t="s">
        <v>937</v>
      </c>
      <c r="Y1108" t="str">
        <f>"9999999999"</f>
        <v>9999999999</v>
      </c>
      <c r="Z1108" t="s">
        <v>70</v>
      </c>
      <c r="AA1108" s="1">
        <v>46069</v>
      </c>
      <c r="AB1108" t="s">
        <v>938</v>
      </c>
      <c r="AD1108" t="s">
        <v>61</v>
      </c>
      <c r="AE1108" t="s">
        <v>939</v>
      </c>
      <c r="AF1108">
        <v>2085</v>
      </c>
      <c r="AG1108" t="s">
        <v>3427</v>
      </c>
      <c r="AI1108" t="s">
        <v>59</v>
      </c>
      <c r="AL1108" t="s">
        <v>3429</v>
      </c>
      <c r="AN1108" s="3">
        <v>46069.652777777781</v>
      </c>
      <c r="AO1108" t="s">
        <v>3428</v>
      </c>
    </row>
    <row r="1109" spans="1:41" x14ac:dyDescent="0.3">
      <c r="A1109" t="s">
        <v>61</v>
      </c>
      <c r="B1109" t="s">
        <v>655</v>
      </c>
      <c r="C1109" t="s">
        <v>43</v>
      </c>
      <c r="D1109" t="s">
        <v>656</v>
      </c>
      <c r="E1109" s="1">
        <v>46069</v>
      </c>
      <c r="F1109" t="s">
        <v>569</v>
      </c>
      <c r="G1109" t="s">
        <v>45</v>
      </c>
      <c r="H1109" s="2">
        <v>0.47916666666666669</v>
      </c>
      <c r="I1109" s="2">
        <v>0.99861111111111112</v>
      </c>
      <c r="J1109" t="s">
        <v>185</v>
      </c>
      <c r="K1109" t="s">
        <v>327</v>
      </c>
      <c r="L1109" t="s">
        <v>47</v>
      </c>
      <c r="M1109" t="s">
        <v>657</v>
      </c>
      <c r="N1109" t="s">
        <v>658</v>
      </c>
      <c r="O1109">
        <v>22959</v>
      </c>
      <c r="Q1109" t="s">
        <v>665</v>
      </c>
      <c r="R1109" t="s">
        <v>1248</v>
      </c>
      <c r="S1109" t="s">
        <v>52</v>
      </c>
      <c r="U1109">
        <v>890678</v>
      </c>
      <c r="V1109" s="3">
        <v>46058.814583333333</v>
      </c>
      <c r="W1109" t="s">
        <v>660</v>
      </c>
      <c r="X1109" t="s">
        <v>661</v>
      </c>
      <c r="Y1109" t="str">
        <f>"0451533427"</f>
        <v>0451533427</v>
      </c>
      <c r="Z1109" t="s">
        <v>70</v>
      </c>
      <c r="AB1109" t="s">
        <v>662</v>
      </c>
      <c r="AC1109" t="s">
        <v>663</v>
      </c>
      <c r="AD1109" t="s">
        <v>61</v>
      </c>
      <c r="AE1109" t="s">
        <v>664</v>
      </c>
      <c r="AF1109">
        <v>2067</v>
      </c>
      <c r="AG1109" t="s">
        <v>665</v>
      </c>
      <c r="AI1109" t="s">
        <v>59</v>
      </c>
      <c r="AL1109" t="s">
        <v>3430</v>
      </c>
      <c r="AN1109" s="3">
        <v>46069.767361111109</v>
      </c>
      <c r="AO1109" t="s">
        <v>660</v>
      </c>
    </row>
    <row r="1110" spans="1:41" x14ac:dyDescent="0.3">
      <c r="A1110" t="s">
        <v>75</v>
      </c>
      <c r="B1110" t="s">
        <v>804</v>
      </c>
      <c r="C1110" t="s">
        <v>43</v>
      </c>
      <c r="D1110" t="s">
        <v>700</v>
      </c>
      <c r="E1110" s="1">
        <v>46069</v>
      </c>
      <c r="F1110" t="s">
        <v>569</v>
      </c>
      <c r="G1110" t="s">
        <v>128</v>
      </c>
      <c r="H1110" s="2">
        <v>0.5</v>
      </c>
      <c r="I1110" s="2">
        <v>0.75</v>
      </c>
      <c r="J1110" t="s">
        <v>101</v>
      </c>
      <c r="L1110" t="s">
        <v>159</v>
      </c>
      <c r="M1110" t="s">
        <v>1051</v>
      </c>
      <c r="N1110" t="s">
        <v>2213</v>
      </c>
      <c r="O1110">
        <v>22543</v>
      </c>
      <c r="Q1110" t="s">
        <v>1864</v>
      </c>
      <c r="R1110" t="s">
        <v>81</v>
      </c>
      <c r="S1110" t="s">
        <v>52</v>
      </c>
      <c r="U1110">
        <v>890693</v>
      </c>
      <c r="V1110" s="3">
        <v>46066.540972222225</v>
      </c>
      <c r="W1110" t="s">
        <v>2215</v>
      </c>
      <c r="X1110" t="s">
        <v>2216</v>
      </c>
      <c r="Y1110" t="str">
        <f>"0433875003"</f>
        <v>0433875003</v>
      </c>
      <c r="Z1110" t="s">
        <v>70</v>
      </c>
      <c r="AA1110" s="1">
        <v>46069</v>
      </c>
      <c r="AB1110" t="s">
        <v>811</v>
      </c>
      <c r="AC1110" t="s">
        <v>812</v>
      </c>
      <c r="AD1110" t="s">
        <v>75</v>
      </c>
      <c r="AE1110" t="s">
        <v>813</v>
      </c>
      <c r="AF1110">
        <v>6050</v>
      </c>
      <c r="AG1110" t="s">
        <v>1864</v>
      </c>
      <c r="AI1110" t="s">
        <v>59</v>
      </c>
      <c r="AL1110" t="s">
        <v>87</v>
      </c>
      <c r="AN1110" s="3">
        <v>46069.802777777775</v>
      </c>
      <c r="AO1110" t="s">
        <v>2215</v>
      </c>
    </row>
    <row r="1111" spans="1:41" x14ac:dyDescent="0.3">
      <c r="A1111" t="s">
        <v>168</v>
      </c>
      <c r="B1111" t="s">
        <v>441</v>
      </c>
      <c r="C1111" t="s">
        <v>100</v>
      </c>
      <c r="E1111" s="1">
        <v>46069</v>
      </c>
      <c r="F1111" t="s">
        <v>569</v>
      </c>
      <c r="G1111" t="s">
        <v>45</v>
      </c>
      <c r="H1111" s="2">
        <v>0.5</v>
      </c>
      <c r="I1111" s="2">
        <v>0.75</v>
      </c>
      <c r="J1111" t="s">
        <v>100</v>
      </c>
      <c r="L1111" t="s">
        <v>100</v>
      </c>
      <c r="M1111" t="s">
        <v>402</v>
      </c>
      <c r="N1111" t="s">
        <v>403</v>
      </c>
      <c r="O1111">
        <v>21398</v>
      </c>
      <c r="Q1111" t="s">
        <v>981</v>
      </c>
      <c r="R1111" t="s">
        <v>176</v>
      </c>
      <c r="S1111" t="s">
        <v>52</v>
      </c>
      <c r="U1111">
        <v>890676</v>
      </c>
      <c r="V1111" s="3">
        <v>46056.506249999999</v>
      </c>
      <c r="W1111" t="s">
        <v>405</v>
      </c>
      <c r="X1111" t="s">
        <v>406</v>
      </c>
      <c r="Y1111" t="str">
        <f>"0423877972"</f>
        <v>0423877972</v>
      </c>
      <c r="Z1111" t="s">
        <v>70</v>
      </c>
      <c r="AB1111" t="s">
        <v>448</v>
      </c>
      <c r="AD1111" t="s">
        <v>168</v>
      </c>
      <c r="AE1111" t="s">
        <v>180</v>
      </c>
      <c r="AF1111">
        <v>5063</v>
      </c>
      <c r="AG1111" t="s">
        <v>981</v>
      </c>
      <c r="AI1111" t="s">
        <v>59</v>
      </c>
      <c r="AL1111" t="s">
        <v>3431</v>
      </c>
      <c r="AN1111" s="3">
        <v>46069.76458333333</v>
      </c>
      <c r="AO1111" t="s">
        <v>405</v>
      </c>
    </row>
    <row r="1112" spans="1:41" x14ac:dyDescent="0.3">
      <c r="A1112" t="s">
        <v>168</v>
      </c>
      <c r="B1112" t="s">
        <v>982</v>
      </c>
      <c r="C1112" t="s">
        <v>100</v>
      </c>
      <c r="D1112" t="s">
        <v>127</v>
      </c>
      <c r="E1112" s="1">
        <v>46069</v>
      </c>
      <c r="F1112" t="s">
        <v>569</v>
      </c>
      <c r="G1112" t="s">
        <v>128</v>
      </c>
      <c r="H1112" s="2">
        <v>0.5</v>
      </c>
      <c r="I1112" s="2">
        <v>0.83333333333333337</v>
      </c>
      <c r="J1112" t="s">
        <v>100</v>
      </c>
      <c r="L1112" t="s">
        <v>100</v>
      </c>
      <c r="M1112" t="s">
        <v>411</v>
      </c>
      <c r="N1112" t="s">
        <v>412</v>
      </c>
      <c r="O1112">
        <v>228</v>
      </c>
      <c r="Q1112" t="s">
        <v>983</v>
      </c>
      <c r="R1112" t="s">
        <v>231</v>
      </c>
      <c r="S1112" t="s">
        <v>52</v>
      </c>
      <c r="U1112">
        <v>890698</v>
      </c>
      <c r="V1112" s="3">
        <v>46030.459722222222</v>
      </c>
      <c r="W1112" t="s">
        <v>415</v>
      </c>
      <c r="X1112" t="s">
        <v>416</v>
      </c>
      <c r="Y1112" t="str">
        <f>"0414869673"</f>
        <v>0414869673</v>
      </c>
      <c r="Z1112" t="s">
        <v>395</v>
      </c>
      <c r="AB1112" t="s">
        <v>985</v>
      </c>
      <c r="AD1112" t="s">
        <v>168</v>
      </c>
      <c r="AE1112" t="s">
        <v>279</v>
      </c>
      <c r="AF1112">
        <v>5092</v>
      </c>
      <c r="AG1112" t="s">
        <v>986</v>
      </c>
      <c r="AI1112" t="s">
        <v>59</v>
      </c>
      <c r="AL1112" t="s">
        <v>987</v>
      </c>
      <c r="AN1112" s="3">
        <v>46069.857638888891</v>
      </c>
      <c r="AO1112" t="s">
        <v>415</v>
      </c>
    </row>
    <row r="1113" spans="1:41" x14ac:dyDescent="0.3">
      <c r="A1113" t="s">
        <v>168</v>
      </c>
      <c r="B1113" t="s">
        <v>376</v>
      </c>
      <c r="C1113" t="s">
        <v>43</v>
      </c>
      <c r="D1113" t="s">
        <v>127</v>
      </c>
      <c r="E1113" s="1">
        <v>46069</v>
      </c>
      <c r="F1113" t="s">
        <v>569</v>
      </c>
      <c r="G1113" t="s">
        <v>45</v>
      </c>
      <c r="H1113" s="2">
        <v>0.50069444444444444</v>
      </c>
      <c r="I1113" s="2">
        <v>0.875</v>
      </c>
      <c r="J1113" t="s">
        <v>185</v>
      </c>
      <c r="K1113" t="s">
        <v>2136</v>
      </c>
      <c r="L1113" t="s">
        <v>186</v>
      </c>
      <c r="M1113" t="s">
        <v>835</v>
      </c>
      <c r="N1113" t="s">
        <v>836</v>
      </c>
      <c r="O1113">
        <v>22947</v>
      </c>
      <c r="Q1113" t="s">
        <v>3432</v>
      </c>
      <c r="R1113" t="s">
        <v>208</v>
      </c>
      <c r="S1113" t="s">
        <v>119</v>
      </c>
      <c r="U1113">
        <v>891500</v>
      </c>
      <c r="V1113" s="3">
        <v>46066.759722222225</v>
      </c>
      <c r="W1113" t="s">
        <v>837</v>
      </c>
      <c r="X1113" t="s">
        <v>838</v>
      </c>
      <c r="Y1113" t="str">
        <f>"0415626656"</f>
        <v>0415626656</v>
      </c>
      <c r="Z1113" t="s">
        <v>70</v>
      </c>
      <c r="AB1113" t="s">
        <v>383</v>
      </c>
      <c r="AD1113" t="s">
        <v>168</v>
      </c>
      <c r="AE1113" t="s">
        <v>384</v>
      </c>
      <c r="AF1113">
        <v>5000</v>
      </c>
      <c r="AG1113" t="s">
        <v>2997</v>
      </c>
      <c r="AI1113" t="s">
        <v>59</v>
      </c>
      <c r="AL1113" t="s">
        <v>1534</v>
      </c>
      <c r="AN1113" s="3">
        <v>46069.663194444445</v>
      </c>
      <c r="AO1113" t="s">
        <v>176</v>
      </c>
    </row>
    <row r="1114" spans="1:41" x14ac:dyDescent="0.3">
      <c r="A1114" t="s">
        <v>168</v>
      </c>
      <c r="B1114" t="s">
        <v>215</v>
      </c>
      <c r="C1114" t="s">
        <v>43</v>
      </c>
      <c r="D1114" t="s">
        <v>127</v>
      </c>
      <c r="E1114" s="1">
        <v>46069</v>
      </c>
      <c r="F1114" t="s">
        <v>569</v>
      </c>
      <c r="G1114" t="s">
        <v>128</v>
      </c>
      <c r="H1114" s="2">
        <v>0.50069444444444444</v>
      </c>
      <c r="I1114" s="2">
        <v>0.75</v>
      </c>
      <c r="J1114" t="s">
        <v>258</v>
      </c>
      <c r="K1114" t="s">
        <v>259</v>
      </c>
      <c r="L1114" t="s">
        <v>186</v>
      </c>
      <c r="M1114" t="s">
        <v>651</v>
      </c>
      <c r="N1114" t="s">
        <v>412</v>
      </c>
      <c r="O1114">
        <v>21855</v>
      </c>
      <c r="Q1114" t="s">
        <v>3433</v>
      </c>
      <c r="R1114" t="s">
        <v>500</v>
      </c>
      <c r="S1114" t="s">
        <v>52</v>
      </c>
      <c r="U1114">
        <v>890675</v>
      </c>
      <c r="V1114" s="3">
        <v>46069.761111111111</v>
      </c>
      <c r="W1114" t="s">
        <v>652</v>
      </c>
      <c r="X1114" t="s">
        <v>653</v>
      </c>
      <c r="Y1114" t="str">
        <f>"0407317111"</f>
        <v>0407317111</v>
      </c>
      <c r="Z1114" t="s">
        <v>70</v>
      </c>
      <c r="AB1114" t="s">
        <v>222</v>
      </c>
      <c r="AD1114" t="s">
        <v>168</v>
      </c>
      <c r="AE1114" t="s">
        <v>223</v>
      </c>
      <c r="AF1114">
        <v>5069</v>
      </c>
      <c r="AG1114" t="s">
        <v>219</v>
      </c>
      <c r="AI1114" t="s">
        <v>59</v>
      </c>
      <c r="AL1114" t="s">
        <v>3434</v>
      </c>
      <c r="AN1114" s="3">
        <v>46069.763194444444</v>
      </c>
      <c r="AO1114" t="s">
        <v>652</v>
      </c>
    </row>
    <row r="1115" spans="1:41" x14ac:dyDescent="0.3">
      <c r="A1115" t="s">
        <v>61</v>
      </c>
      <c r="B1115" t="s">
        <v>753</v>
      </c>
      <c r="C1115" t="s">
        <v>216</v>
      </c>
      <c r="D1115" t="s">
        <v>754</v>
      </c>
      <c r="E1115" s="1">
        <v>46069</v>
      </c>
      <c r="F1115" t="s">
        <v>569</v>
      </c>
      <c r="G1115" t="s">
        <v>128</v>
      </c>
      <c r="H1115" s="2">
        <v>0.52083333333333337</v>
      </c>
      <c r="I1115" s="2">
        <v>0.98958333333333337</v>
      </c>
      <c r="J1115" t="s">
        <v>101</v>
      </c>
      <c r="L1115" t="s">
        <v>159</v>
      </c>
      <c r="M1115" t="s">
        <v>3435</v>
      </c>
      <c r="N1115" t="s">
        <v>3436</v>
      </c>
      <c r="O1115">
        <v>5951267</v>
      </c>
      <c r="Q1115" t="s">
        <v>3437</v>
      </c>
      <c r="R1115" t="s">
        <v>67</v>
      </c>
      <c r="S1115" t="s">
        <v>52</v>
      </c>
      <c r="U1115">
        <v>890697</v>
      </c>
      <c r="V1115" s="3">
        <v>46066.508333333331</v>
      </c>
      <c r="W1115" t="s">
        <v>3438</v>
      </c>
      <c r="X1115" t="s">
        <v>3439</v>
      </c>
      <c r="Y1115" t="str">
        <f>"0405574066"</f>
        <v>0405574066</v>
      </c>
      <c r="Z1115" t="s">
        <v>70</v>
      </c>
      <c r="AA1115" s="1">
        <v>46069</v>
      </c>
      <c r="AB1115" t="s">
        <v>764</v>
      </c>
      <c r="AD1115" t="s">
        <v>61</v>
      </c>
      <c r="AE1115" t="s">
        <v>765</v>
      </c>
      <c r="AF1115">
        <v>2220</v>
      </c>
      <c r="AG1115" t="s">
        <v>3440</v>
      </c>
      <c r="AI1115" t="s">
        <v>59</v>
      </c>
      <c r="AL1115" t="s">
        <v>3441</v>
      </c>
      <c r="AN1115" s="3">
        <v>46069.827777777777</v>
      </c>
      <c r="AO1115" t="s">
        <v>3438</v>
      </c>
    </row>
    <row r="1116" spans="1:41" x14ac:dyDescent="0.3">
      <c r="A1116" t="s">
        <v>61</v>
      </c>
      <c r="B1116" t="s">
        <v>182</v>
      </c>
      <c r="C1116" t="s">
        <v>183</v>
      </c>
      <c r="D1116" t="s">
        <v>184</v>
      </c>
      <c r="E1116" s="1">
        <v>46069</v>
      </c>
      <c r="F1116" t="s">
        <v>569</v>
      </c>
      <c r="G1116" t="s">
        <v>128</v>
      </c>
      <c r="H1116" s="2">
        <v>0.52083333333333337</v>
      </c>
      <c r="I1116" s="2">
        <v>0.99861111111111112</v>
      </c>
      <c r="J1116" t="s">
        <v>185</v>
      </c>
      <c r="L1116" t="s">
        <v>186</v>
      </c>
      <c r="M1116" t="s">
        <v>886</v>
      </c>
      <c r="N1116" t="s">
        <v>887</v>
      </c>
      <c r="O1116">
        <v>5951205</v>
      </c>
      <c r="Q1116" t="s">
        <v>189</v>
      </c>
      <c r="R1116" t="s">
        <v>208</v>
      </c>
      <c r="S1116" t="s">
        <v>52</v>
      </c>
      <c r="U1116">
        <v>890690</v>
      </c>
      <c r="V1116" s="3">
        <v>46066.729861111111</v>
      </c>
      <c r="W1116" t="s">
        <v>889</v>
      </c>
      <c r="X1116" t="s">
        <v>890</v>
      </c>
      <c r="Y1116" t="str">
        <f>"0427481581"</f>
        <v>0427481581</v>
      </c>
      <c r="Z1116" t="s">
        <v>70</v>
      </c>
      <c r="AA1116" s="1">
        <v>46069</v>
      </c>
      <c r="AB1116" t="s">
        <v>193</v>
      </c>
      <c r="AD1116" t="s">
        <v>61</v>
      </c>
      <c r="AE1116" t="s">
        <v>194</v>
      </c>
      <c r="AF1116">
        <v>2229</v>
      </c>
      <c r="AG1116" t="s">
        <v>3442</v>
      </c>
      <c r="AI1116" t="s">
        <v>59</v>
      </c>
      <c r="AL1116" t="s">
        <v>3443</v>
      </c>
      <c r="AN1116" s="3">
        <v>46069.798611111109</v>
      </c>
      <c r="AO1116" t="s">
        <v>889</v>
      </c>
    </row>
    <row r="1117" spans="1:41" x14ac:dyDescent="0.3">
      <c r="A1117" t="s">
        <v>168</v>
      </c>
      <c r="B1117" t="s">
        <v>441</v>
      </c>
      <c r="C1117" t="s">
        <v>101</v>
      </c>
      <c r="E1117" s="1">
        <v>46069</v>
      </c>
      <c r="F1117" t="s">
        <v>569</v>
      </c>
      <c r="G1117" t="s">
        <v>128</v>
      </c>
      <c r="H1117" s="2">
        <v>0.52083333333333337</v>
      </c>
      <c r="I1117" s="2">
        <v>0.85416666666666663</v>
      </c>
      <c r="J1117" t="s">
        <v>101</v>
      </c>
      <c r="L1117" t="s">
        <v>159</v>
      </c>
      <c r="M1117" t="s">
        <v>1430</v>
      </c>
      <c r="N1117" t="s">
        <v>1431</v>
      </c>
      <c r="O1117">
        <v>5951468</v>
      </c>
      <c r="P1117" t="s">
        <v>3444</v>
      </c>
      <c r="Q1117" t="s">
        <v>944</v>
      </c>
      <c r="R1117" t="s">
        <v>556</v>
      </c>
      <c r="S1117" t="s">
        <v>52</v>
      </c>
      <c r="U1117">
        <v>890680</v>
      </c>
      <c r="V1117" s="3">
        <v>46050.943749999999</v>
      </c>
      <c r="W1117" t="s">
        <v>1432</v>
      </c>
      <c r="X1117" t="s">
        <v>1433</v>
      </c>
      <c r="Y1117" t="str">
        <f>"0476999212"</f>
        <v>0476999212</v>
      </c>
      <c r="Z1117" t="s">
        <v>70</v>
      </c>
      <c r="AB1117" t="s">
        <v>448</v>
      </c>
      <c r="AD1117" t="s">
        <v>168</v>
      </c>
      <c r="AE1117" t="s">
        <v>180</v>
      </c>
      <c r="AF1117">
        <v>5063</v>
      </c>
      <c r="AG1117" t="s">
        <v>944</v>
      </c>
      <c r="AI1117" t="s">
        <v>59</v>
      </c>
      <c r="AL1117" t="s">
        <v>3445</v>
      </c>
      <c r="AN1117" s="3">
        <v>46069.772222222222</v>
      </c>
      <c r="AO1117" t="s">
        <v>1432</v>
      </c>
    </row>
    <row r="1118" spans="1:41" x14ac:dyDescent="0.3">
      <c r="A1118" t="s">
        <v>168</v>
      </c>
      <c r="B1118" t="s">
        <v>225</v>
      </c>
      <c r="C1118" t="s">
        <v>796</v>
      </c>
      <c r="D1118" t="s">
        <v>227</v>
      </c>
      <c r="E1118" s="1">
        <v>46069</v>
      </c>
      <c r="F1118" t="s">
        <v>569</v>
      </c>
      <c r="G1118" t="s">
        <v>128</v>
      </c>
      <c r="H1118" s="2">
        <v>0.52083333333333337</v>
      </c>
      <c r="I1118" s="2">
        <v>0.75</v>
      </c>
      <c r="J1118" t="s">
        <v>185</v>
      </c>
      <c r="K1118" t="s">
        <v>238</v>
      </c>
      <c r="L1118" t="s">
        <v>186</v>
      </c>
      <c r="M1118" t="s">
        <v>1214</v>
      </c>
      <c r="N1118" t="s">
        <v>1215</v>
      </c>
      <c r="O1118">
        <v>21599</v>
      </c>
      <c r="Q1118" t="s">
        <v>230</v>
      </c>
      <c r="R1118" t="s">
        <v>231</v>
      </c>
      <c r="S1118" t="s">
        <v>52</v>
      </c>
      <c r="U1118">
        <v>890670</v>
      </c>
      <c r="V1118" s="3">
        <v>46042.371527777781</v>
      </c>
      <c r="W1118" t="s">
        <v>1216</v>
      </c>
      <c r="X1118" t="s">
        <v>1217</v>
      </c>
      <c r="Y1118" t="str">
        <f>"0408807092"</f>
        <v>0408807092</v>
      </c>
      <c r="Z1118" t="s">
        <v>2727</v>
      </c>
      <c r="AB1118" t="s">
        <v>235</v>
      </c>
      <c r="AD1118" t="s">
        <v>168</v>
      </c>
      <c r="AE1118" t="s">
        <v>236</v>
      </c>
      <c r="AF1118">
        <v>5087</v>
      </c>
      <c r="AG1118" t="s">
        <v>230</v>
      </c>
      <c r="AI1118" t="s">
        <v>59</v>
      </c>
      <c r="AL1118" t="s">
        <v>803</v>
      </c>
      <c r="AM1118" t="s">
        <v>3446</v>
      </c>
      <c r="AN1118" s="3">
        <v>46069.749305555553</v>
      </c>
      <c r="AO1118" t="s">
        <v>1216</v>
      </c>
    </row>
    <row r="1119" spans="1:41" x14ac:dyDescent="0.3">
      <c r="A1119" t="s">
        <v>168</v>
      </c>
      <c r="B1119" t="s">
        <v>1205</v>
      </c>
      <c r="C1119" t="s">
        <v>216</v>
      </c>
      <c r="D1119" t="s">
        <v>127</v>
      </c>
      <c r="E1119" s="1">
        <v>46069</v>
      </c>
      <c r="F1119" t="s">
        <v>569</v>
      </c>
      <c r="G1119" t="s">
        <v>128</v>
      </c>
      <c r="H1119" s="2">
        <v>0.52083333333333337</v>
      </c>
      <c r="I1119" s="2">
        <v>0.6875</v>
      </c>
      <c r="J1119" t="s">
        <v>101</v>
      </c>
      <c r="L1119" t="s">
        <v>47</v>
      </c>
      <c r="M1119" t="s">
        <v>1179</v>
      </c>
      <c r="N1119" t="s">
        <v>1180</v>
      </c>
      <c r="O1119">
        <v>20171</v>
      </c>
      <c r="Q1119" t="s">
        <v>1208</v>
      </c>
      <c r="R1119" t="s">
        <v>500</v>
      </c>
      <c r="S1119" t="s">
        <v>52</v>
      </c>
      <c r="U1119">
        <v>890669</v>
      </c>
      <c r="V1119" s="3">
        <v>46068.530555555553</v>
      </c>
      <c r="W1119" t="s">
        <v>1182</v>
      </c>
      <c r="X1119" t="s">
        <v>1183</v>
      </c>
      <c r="Y1119" t="str">
        <f>"0415176379"</f>
        <v>0415176379</v>
      </c>
      <c r="Z1119" t="s">
        <v>70</v>
      </c>
      <c r="AA1119" s="1">
        <v>46069</v>
      </c>
      <c r="AB1119" t="s">
        <v>1211</v>
      </c>
      <c r="AD1119" t="s">
        <v>168</v>
      </c>
      <c r="AE1119" t="s">
        <v>1212</v>
      </c>
      <c r="AF1119">
        <v>5045</v>
      </c>
      <c r="AG1119" t="s">
        <v>1208</v>
      </c>
      <c r="AI1119" t="s">
        <v>59</v>
      </c>
      <c r="AL1119" t="s">
        <v>3447</v>
      </c>
      <c r="AN1119" s="3">
        <v>46069.736805555556</v>
      </c>
      <c r="AO1119" t="s">
        <v>1182</v>
      </c>
    </row>
    <row r="1120" spans="1:41" x14ac:dyDescent="0.3">
      <c r="A1120" t="s">
        <v>61</v>
      </c>
      <c r="B1120" t="s">
        <v>655</v>
      </c>
      <c r="C1120" t="s">
        <v>43</v>
      </c>
      <c r="D1120" t="s">
        <v>656</v>
      </c>
      <c r="E1120" s="1">
        <v>46069</v>
      </c>
      <c r="F1120" t="s">
        <v>569</v>
      </c>
      <c r="G1120" t="s">
        <v>128</v>
      </c>
      <c r="H1120" s="2">
        <v>0.52083333333333337</v>
      </c>
      <c r="I1120" s="2">
        <v>0.99861111111111112</v>
      </c>
      <c r="J1120" t="s">
        <v>101</v>
      </c>
      <c r="L1120" t="s">
        <v>47</v>
      </c>
      <c r="M1120" t="s">
        <v>785</v>
      </c>
      <c r="N1120" t="s">
        <v>905</v>
      </c>
      <c r="O1120">
        <v>5950885</v>
      </c>
      <c r="Q1120" t="s">
        <v>665</v>
      </c>
      <c r="R1120" t="s">
        <v>67</v>
      </c>
      <c r="S1120" t="s">
        <v>52</v>
      </c>
      <c r="U1120">
        <v>890686</v>
      </c>
      <c r="V1120" s="3">
        <v>46042.432638888888</v>
      </c>
      <c r="W1120" t="s">
        <v>906</v>
      </c>
      <c r="X1120" t="s">
        <v>907</v>
      </c>
      <c r="Y1120" t="str">
        <f>"0421650139"</f>
        <v>0421650139</v>
      </c>
      <c r="Z1120" t="s">
        <v>192</v>
      </c>
      <c r="AB1120" t="s">
        <v>662</v>
      </c>
      <c r="AC1120" t="s">
        <v>663</v>
      </c>
      <c r="AD1120" t="s">
        <v>61</v>
      </c>
      <c r="AE1120" t="s">
        <v>664</v>
      </c>
      <c r="AF1120">
        <v>2067</v>
      </c>
      <c r="AG1120" t="s">
        <v>665</v>
      </c>
      <c r="AI1120" t="s">
        <v>59</v>
      </c>
      <c r="AL1120" t="s">
        <v>3448</v>
      </c>
      <c r="AN1120" s="3">
        <v>46069.785416666666</v>
      </c>
      <c r="AO1120" t="s">
        <v>906</v>
      </c>
    </row>
    <row r="1121" spans="1:41" x14ac:dyDescent="0.3">
      <c r="A1121" t="s">
        <v>41</v>
      </c>
      <c r="B1121" t="s">
        <v>244</v>
      </c>
      <c r="C1121" t="s">
        <v>245</v>
      </c>
      <c r="D1121" t="s">
        <v>246</v>
      </c>
      <c r="E1121" s="1">
        <v>46069</v>
      </c>
      <c r="F1121" t="s">
        <v>569</v>
      </c>
      <c r="G1121" t="s">
        <v>45</v>
      </c>
      <c r="H1121" s="2">
        <v>0.52083333333333337</v>
      </c>
      <c r="I1121" s="2">
        <v>0.875</v>
      </c>
      <c r="J1121" t="s">
        <v>100</v>
      </c>
      <c r="L1121" t="s">
        <v>452</v>
      </c>
      <c r="M1121" t="s">
        <v>1122</v>
      </c>
      <c r="N1121" t="s">
        <v>1123</v>
      </c>
      <c r="O1121">
        <v>5951585</v>
      </c>
      <c r="P1121" t="s">
        <v>249</v>
      </c>
      <c r="Q1121" t="s">
        <v>250</v>
      </c>
      <c r="R1121" t="s">
        <v>1124</v>
      </c>
      <c r="S1121" t="s">
        <v>52</v>
      </c>
      <c r="T1121" t="s">
        <v>252</v>
      </c>
      <c r="U1121">
        <v>891474</v>
      </c>
      <c r="V1121" s="3">
        <v>46076.592361111114</v>
      </c>
      <c r="W1121" t="s">
        <v>1124</v>
      </c>
      <c r="X1121" t="s">
        <v>1125</v>
      </c>
      <c r="Y1121" t="str">
        <f>"0406622986"</f>
        <v>0406622986</v>
      </c>
      <c r="Z1121" t="s">
        <v>1201</v>
      </c>
      <c r="AA1121" s="1">
        <v>46082</v>
      </c>
      <c r="AB1121" t="s">
        <v>255</v>
      </c>
      <c r="AD1121" t="s">
        <v>41</v>
      </c>
      <c r="AE1121" t="s">
        <v>256</v>
      </c>
      <c r="AF1121">
        <v>4655</v>
      </c>
      <c r="AG1121" t="s">
        <v>3449</v>
      </c>
      <c r="AI1121" t="s">
        <v>59</v>
      </c>
      <c r="AJ1121" t="str">
        <f>"0050076953"</f>
        <v>0050076953</v>
      </c>
      <c r="AN1121" s="3">
        <v>46076.592361111114</v>
      </c>
      <c r="AO1121" t="s">
        <v>1124</v>
      </c>
    </row>
    <row r="1122" spans="1:41" x14ac:dyDescent="0.3">
      <c r="A1122" t="s">
        <v>61</v>
      </c>
      <c r="B1122" t="s">
        <v>1079</v>
      </c>
      <c r="C1122" t="s">
        <v>43</v>
      </c>
      <c r="D1122" t="s">
        <v>63</v>
      </c>
      <c r="E1122" s="1">
        <v>46069</v>
      </c>
      <c r="F1122" t="s">
        <v>569</v>
      </c>
      <c r="G1122" t="s">
        <v>128</v>
      </c>
      <c r="H1122" s="2">
        <v>0.52083333333333337</v>
      </c>
      <c r="I1122" s="2">
        <v>0.99861111111111112</v>
      </c>
      <c r="J1122" t="s">
        <v>101</v>
      </c>
      <c r="L1122" t="s">
        <v>159</v>
      </c>
      <c r="M1122" t="s">
        <v>1126</v>
      </c>
      <c r="N1122" t="s">
        <v>1127</v>
      </c>
      <c r="O1122">
        <v>21552</v>
      </c>
      <c r="Q1122" t="s">
        <v>3450</v>
      </c>
      <c r="R1122" t="s">
        <v>67</v>
      </c>
      <c r="S1122" t="s">
        <v>52</v>
      </c>
      <c r="U1122">
        <v>890704</v>
      </c>
      <c r="V1122" s="3">
        <v>46056.394444444442</v>
      </c>
      <c r="W1122" t="s">
        <v>1129</v>
      </c>
      <c r="X1122" t="s">
        <v>1130</v>
      </c>
      <c r="Y1122" t="str">
        <f>"0401723179"</f>
        <v>0401723179</v>
      </c>
      <c r="Z1122" t="s">
        <v>2417</v>
      </c>
      <c r="AB1122" t="s">
        <v>1085</v>
      </c>
      <c r="AD1122" t="s">
        <v>61</v>
      </c>
      <c r="AE1122" t="s">
        <v>1086</v>
      </c>
      <c r="AF1122">
        <v>2031</v>
      </c>
      <c r="AG1122" t="s">
        <v>353</v>
      </c>
      <c r="AI1122" t="s">
        <v>59</v>
      </c>
      <c r="AL1122" t="s">
        <v>2869</v>
      </c>
      <c r="AN1122" s="3">
        <v>46069.924305555556</v>
      </c>
      <c r="AO1122" t="s">
        <v>1129</v>
      </c>
    </row>
    <row r="1123" spans="1:41" x14ac:dyDescent="0.3">
      <c r="A1123" t="s">
        <v>168</v>
      </c>
      <c r="B1123" t="s">
        <v>441</v>
      </c>
      <c r="C1123" t="s">
        <v>101</v>
      </c>
      <c r="E1123" s="1">
        <v>46069</v>
      </c>
      <c r="F1123" t="s">
        <v>569</v>
      </c>
      <c r="G1123" t="s">
        <v>45</v>
      </c>
      <c r="H1123" s="2">
        <v>0.52083333333333337</v>
      </c>
      <c r="I1123" s="2">
        <v>0.83333333333333337</v>
      </c>
      <c r="J1123" t="s">
        <v>101</v>
      </c>
      <c r="L1123" t="s">
        <v>743</v>
      </c>
      <c r="M1123" t="s">
        <v>744</v>
      </c>
      <c r="N1123" t="s">
        <v>745</v>
      </c>
      <c r="O1123">
        <v>5951894</v>
      </c>
      <c r="Q1123" t="s">
        <v>944</v>
      </c>
      <c r="R1123" t="s">
        <v>556</v>
      </c>
      <c r="S1123" t="s">
        <v>52</v>
      </c>
      <c r="U1123">
        <v>890681</v>
      </c>
      <c r="V1123" s="3">
        <v>46050.943749999999</v>
      </c>
      <c r="W1123" t="s">
        <v>746</v>
      </c>
      <c r="X1123" t="s">
        <v>747</v>
      </c>
      <c r="Y1123" t="str">
        <f>"0420536678"</f>
        <v>0420536678</v>
      </c>
      <c r="Z1123" t="s">
        <v>70</v>
      </c>
      <c r="AA1123" s="1">
        <v>46069</v>
      </c>
      <c r="AB1123" t="s">
        <v>448</v>
      </c>
      <c r="AD1123" t="s">
        <v>168</v>
      </c>
      <c r="AE1123" t="s">
        <v>180</v>
      </c>
      <c r="AF1123">
        <v>5063</v>
      </c>
      <c r="AG1123" t="s">
        <v>944</v>
      </c>
      <c r="AI1123" t="s">
        <v>59</v>
      </c>
      <c r="AL1123" t="s">
        <v>3451</v>
      </c>
      <c r="AN1123" s="3">
        <v>46069.777083333334</v>
      </c>
      <c r="AO1123" t="s">
        <v>746</v>
      </c>
    </row>
    <row r="1124" spans="1:41" x14ac:dyDescent="0.3">
      <c r="A1124" t="s">
        <v>168</v>
      </c>
      <c r="B1124" t="s">
        <v>441</v>
      </c>
      <c r="C1124" t="s">
        <v>43</v>
      </c>
      <c r="E1124" s="1">
        <v>46069</v>
      </c>
      <c r="F1124" t="s">
        <v>569</v>
      </c>
      <c r="G1124" t="s">
        <v>128</v>
      </c>
      <c r="H1124" s="2">
        <v>0.52083333333333337</v>
      </c>
      <c r="I1124" s="2">
        <v>0.85416666666666663</v>
      </c>
      <c r="J1124" t="s">
        <v>185</v>
      </c>
      <c r="K1124" t="s">
        <v>678</v>
      </c>
      <c r="L1124" t="s">
        <v>186</v>
      </c>
      <c r="M1124" t="s">
        <v>798</v>
      </c>
      <c r="N1124" t="s">
        <v>799</v>
      </c>
      <c r="O1124">
        <v>20875</v>
      </c>
      <c r="Q1124" t="s">
        <v>944</v>
      </c>
      <c r="R1124" t="s">
        <v>556</v>
      </c>
      <c r="S1124" t="s">
        <v>52</v>
      </c>
      <c r="U1124">
        <v>890682</v>
      </c>
      <c r="V1124" s="3">
        <v>46051.079861111109</v>
      </c>
      <c r="W1124" t="s">
        <v>800</v>
      </c>
      <c r="X1124" t="s">
        <v>801</v>
      </c>
      <c r="Y1124" t="str">
        <f>"0417001267"</f>
        <v>0417001267</v>
      </c>
      <c r="Z1124" t="s">
        <v>70</v>
      </c>
      <c r="AB1124" t="s">
        <v>448</v>
      </c>
      <c r="AD1124" t="s">
        <v>168</v>
      </c>
      <c r="AE1124" t="s">
        <v>180</v>
      </c>
      <c r="AF1124">
        <v>5063</v>
      </c>
      <c r="AG1124" t="s">
        <v>944</v>
      </c>
      <c r="AI1124" t="s">
        <v>59</v>
      </c>
      <c r="AL1124" t="s">
        <v>3445</v>
      </c>
      <c r="AN1124" s="3">
        <v>46069.782638888886</v>
      </c>
      <c r="AO1124" t="s">
        <v>800</v>
      </c>
    </row>
    <row r="1125" spans="1:41" x14ac:dyDescent="0.3">
      <c r="A1125" t="s">
        <v>168</v>
      </c>
      <c r="B1125" t="s">
        <v>266</v>
      </c>
      <c r="D1125" t="s">
        <v>268</v>
      </c>
      <c r="E1125" s="1">
        <v>46069</v>
      </c>
      <c r="F1125" t="s">
        <v>569</v>
      </c>
      <c r="G1125" t="s">
        <v>128</v>
      </c>
      <c r="H1125" s="2">
        <v>0.54166666666666663</v>
      </c>
      <c r="I1125" s="2">
        <v>0.89583333333333337</v>
      </c>
      <c r="J1125" t="s">
        <v>296</v>
      </c>
      <c r="K1125" t="s">
        <v>297</v>
      </c>
      <c r="L1125" t="s">
        <v>271</v>
      </c>
      <c r="M1125" t="s">
        <v>272</v>
      </c>
      <c r="N1125" t="s">
        <v>273</v>
      </c>
      <c r="O1125">
        <v>5951312</v>
      </c>
      <c r="Q1125" t="s">
        <v>274</v>
      </c>
      <c r="R1125" t="s">
        <v>176</v>
      </c>
      <c r="S1125" t="s">
        <v>52</v>
      </c>
      <c r="U1125">
        <v>890702</v>
      </c>
      <c r="V1125" s="3">
        <v>45993.429166666669</v>
      </c>
      <c r="W1125" t="s">
        <v>275</v>
      </c>
      <c r="X1125" t="s">
        <v>276</v>
      </c>
      <c r="Y1125" t="str">
        <f>"0451788814"</f>
        <v>0451788814</v>
      </c>
      <c r="Z1125" t="s">
        <v>3007</v>
      </c>
      <c r="AB1125" t="s">
        <v>277</v>
      </c>
      <c r="AC1125" t="s">
        <v>278</v>
      </c>
      <c r="AD1125" t="s">
        <v>168</v>
      </c>
      <c r="AE1125" t="s">
        <v>279</v>
      </c>
      <c r="AF1125">
        <v>5092</v>
      </c>
      <c r="AG1125" t="s">
        <v>274</v>
      </c>
      <c r="AI1125" t="s">
        <v>59</v>
      </c>
      <c r="AL1125" t="s">
        <v>2928</v>
      </c>
      <c r="AM1125" t="s">
        <v>281</v>
      </c>
      <c r="AN1125" s="3">
        <v>46069.914583333331</v>
      </c>
      <c r="AO1125" t="s">
        <v>275</v>
      </c>
    </row>
    <row r="1126" spans="1:41" x14ac:dyDescent="0.3">
      <c r="A1126" t="s">
        <v>168</v>
      </c>
      <c r="B1126" t="s">
        <v>376</v>
      </c>
      <c r="C1126" t="s">
        <v>43</v>
      </c>
      <c r="D1126" t="s">
        <v>127</v>
      </c>
      <c r="E1126" s="1">
        <v>46069</v>
      </c>
      <c r="F1126" t="s">
        <v>569</v>
      </c>
      <c r="G1126" t="s">
        <v>128</v>
      </c>
      <c r="H1126" s="2">
        <v>0.54166666666666663</v>
      </c>
      <c r="I1126" s="2">
        <v>0.875</v>
      </c>
      <c r="J1126" t="s">
        <v>185</v>
      </c>
      <c r="K1126" t="s">
        <v>678</v>
      </c>
      <c r="L1126" t="s">
        <v>186</v>
      </c>
      <c r="M1126" t="s">
        <v>1918</v>
      </c>
      <c r="N1126" t="s">
        <v>1919</v>
      </c>
      <c r="O1126">
        <v>21455</v>
      </c>
      <c r="Q1126" t="s">
        <v>3452</v>
      </c>
      <c r="R1126" t="s">
        <v>231</v>
      </c>
      <c r="S1126" t="s">
        <v>52</v>
      </c>
      <c r="U1126">
        <v>890688</v>
      </c>
      <c r="V1126" s="3">
        <v>46044.422222222223</v>
      </c>
      <c r="W1126" t="s">
        <v>1920</v>
      </c>
      <c r="X1126" t="s">
        <v>1921</v>
      </c>
      <c r="Y1126" t="str">
        <f>"0431412572"</f>
        <v>0431412572</v>
      </c>
      <c r="Z1126" t="s">
        <v>2727</v>
      </c>
      <c r="AB1126" t="s">
        <v>383</v>
      </c>
      <c r="AD1126" t="s">
        <v>168</v>
      </c>
      <c r="AE1126" t="s">
        <v>384</v>
      </c>
      <c r="AF1126">
        <v>5000</v>
      </c>
      <c r="AG1126" t="s">
        <v>2997</v>
      </c>
      <c r="AI1126" t="s">
        <v>59</v>
      </c>
      <c r="AL1126" t="s">
        <v>1534</v>
      </c>
      <c r="AM1126" t="s">
        <v>3453</v>
      </c>
      <c r="AN1126" s="3">
        <v>46069.790277777778</v>
      </c>
      <c r="AO1126" t="s">
        <v>1920</v>
      </c>
    </row>
    <row r="1127" spans="1:41" x14ac:dyDescent="0.3">
      <c r="A1127" t="s">
        <v>168</v>
      </c>
      <c r="B1127" t="s">
        <v>376</v>
      </c>
      <c r="C1127" t="s">
        <v>216</v>
      </c>
      <c r="D1127" t="s">
        <v>1386</v>
      </c>
      <c r="E1127" s="1">
        <v>46069</v>
      </c>
      <c r="F1127" t="s">
        <v>569</v>
      </c>
      <c r="G1127" t="s">
        <v>128</v>
      </c>
      <c r="H1127" s="2">
        <v>0.54166666666666663</v>
      </c>
      <c r="I1127" s="2">
        <v>0.875</v>
      </c>
      <c r="J1127" t="s">
        <v>101</v>
      </c>
      <c r="L1127" t="s">
        <v>159</v>
      </c>
      <c r="M1127" t="s">
        <v>217</v>
      </c>
      <c r="N1127" t="s">
        <v>218</v>
      </c>
      <c r="O1127">
        <v>32</v>
      </c>
      <c r="Q1127" t="s">
        <v>1969</v>
      </c>
      <c r="R1127" t="s">
        <v>1390</v>
      </c>
      <c r="S1127" t="s">
        <v>52</v>
      </c>
      <c r="U1127">
        <v>890689</v>
      </c>
      <c r="V1127" s="3">
        <v>46069.440972222219</v>
      </c>
      <c r="W1127" t="s">
        <v>220</v>
      </c>
      <c r="X1127" t="s">
        <v>221</v>
      </c>
      <c r="Y1127" t="str">
        <f>"0426797353"</f>
        <v>0426797353</v>
      </c>
      <c r="Z1127" t="s">
        <v>70</v>
      </c>
      <c r="AA1127" s="1">
        <v>46069</v>
      </c>
      <c r="AB1127" t="s">
        <v>383</v>
      </c>
      <c r="AD1127" t="s">
        <v>168</v>
      </c>
      <c r="AE1127" t="s">
        <v>384</v>
      </c>
      <c r="AF1127">
        <v>5000</v>
      </c>
      <c r="AI1127" t="s">
        <v>59</v>
      </c>
      <c r="AL1127" t="s">
        <v>3454</v>
      </c>
      <c r="AM1127" t="s">
        <v>3455</v>
      </c>
      <c r="AN1127" s="3">
        <v>46069.794444444444</v>
      </c>
      <c r="AO1127" t="s">
        <v>220</v>
      </c>
    </row>
    <row r="1128" spans="1:41" x14ac:dyDescent="0.3">
      <c r="A1128" t="s">
        <v>168</v>
      </c>
      <c r="B1128" t="s">
        <v>376</v>
      </c>
      <c r="C1128" t="s">
        <v>202</v>
      </c>
      <c r="D1128" t="s">
        <v>127</v>
      </c>
      <c r="E1128" s="1">
        <v>46069</v>
      </c>
      <c r="F1128" t="s">
        <v>569</v>
      </c>
      <c r="G1128" t="s">
        <v>128</v>
      </c>
      <c r="H1128" s="2">
        <v>0.54166666666666663</v>
      </c>
      <c r="I1128" s="2">
        <v>0.875</v>
      </c>
      <c r="J1128" t="s">
        <v>46</v>
      </c>
      <c r="L1128" t="s">
        <v>47</v>
      </c>
      <c r="M1128" t="s">
        <v>1401</v>
      </c>
      <c r="N1128" t="s">
        <v>1944</v>
      </c>
      <c r="O1128">
        <v>22123</v>
      </c>
      <c r="Q1128" t="s">
        <v>1389</v>
      </c>
      <c r="R1128" t="s">
        <v>231</v>
      </c>
      <c r="S1128" t="s">
        <v>52</v>
      </c>
      <c r="U1128">
        <v>890699</v>
      </c>
      <c r="V1128" s="3">
        <v>46051.607638888891</v>
      </c>
      <c r="W1128" t="s">
        <v>1945</v>
      </c>
      <c r="X1128" t="s">
        <v>1946</v>
      </c>
      <c r="Y1128" t="str">
        <f>"0439908622"</f>
        <v>0439908622</v>
      </c>
      <c r="Z1128" t="s">
        <v>3456</v>
      </c>
      <c r="AB1128" t="s">
        <v>383</v>
      </c>
      <c r="AD1128" t="s">
        <v>168</v>
      </c>
      <c r="AE1128" t="s">
        <v>384</v>
      </c>
      <c r="AF1128">
        <v>5000</v>
      </c>
      <c r="AG1128" t="s">
        <v>1389</v>
      </c>
      <c r="AI1128" t="s">
        <v>59</v>
      </c>
      <c r="AL1128" t="s">
        <v>385</v>
      </c>
      <c r="AN1128" s="3">
        <v>46069.861111111109</v>
      </c>
      <c r="AO1128" t="s">
        <v>1945</v>
      </c>
    </row>
    <row r="1129" spans="1:41" x14ac:dyDescent="0.3">
      <c r="A1129" t="s">
        <v>168</v>
      </c>
      <c r="B1129" t="s">
        <v>376</v>
      </c>
      <c r="C1129" t="s">
        <v>100</v>
      </c>
      <c r="D1129" t="s">
        <v>127</v>
      </c>
      <c r="E1129" s="1">
        <v>46069</v>
      </c>
      <c r="F1129" t="s">
        <v>569</v>
      </c>
      <c r="G1129" t="s">
        <v>128</v>
      </c>
      <c r="H1129" s="2">
        <v>0.58333333333333337</v>
      </c>
      <c r="I1129" s="2">
        <v>0.875</v>
      </c>
      <c r="J1129" t="s">
        <v>100</v>
      </c>
      <c r="L1129" t="s">
        <v>100</v>
      </c>
      <c r="M1129" t="s">
        <v>1253</v>
      </c>
      <c r="N1129" t="s">
        <v>1254</v>
      </c>
      <c r="O1129">
        <v>5951043</v>
      </c>
      <c r="Q1129" t="s">
        <v>379</v>
      </c>
      <c r="R1129" t="s">
        <v>380</v>
      </c>
      <c r="S1129" t="s">
        <v>52</v>
      </c>
      <c r="U1129">
        <v>890700</v>
      </c>
      <c r="V1129" s="3">
        <v>46035.348611111112</v>
      </c>
      <c r="W1129" t="s">
        <v>1256</v>
      </c>
      <c r="X1129" t="s">
        <v>1257</v>
      </c>
      <c r="Y1129" t="str">
        <f>"0431343551"</f>
        <v>0431343551</v>
      </c>
      <c r="Z1129" t="s">
        <v>585</v>
      </c>
      <c r="AB1129" t="s">
        <v>383</v>
      </c>
      <c r="AD1129" t="s">
        <v>168</v>
      </c>
      <c r="AE1129" t="s">
        <v>384</v>
      </c>
      <c r="AF1129">
        <v>5000</v>
      </c>
      <c r="AI1129" t="s">
        <v>59</v>
      </c>
      <c r="AM1129" t="s">
        <v>2749</v>
      </c>
      <c r="AN1129" s="3">
        <v>46069.892361111109</v>
      </c>
      <c r="AO1129" t="s">
        <v>1256</v>
      </c>
    </row>
    <row r="1130" spans="1:41" x14ac:dyDescent="0.3">
      <c r="A1130" t="s">
        <v>61</v>
      </c>
      <c r="B1130" t="s">
        <v>507</v>
      </c>
      <c r="D1130" t="s">
        <v>63</v>
      </c>
      <c r="E1130" s="1">
        <v>46069</v>
      </c>
      <c r="F1130" t="s">
        <v>569</v>
      </c>
      <c r="G1130" t="s">
        <v>128</v>
      </c>
      <c r="H1130" s="2">
        <v>0.60416666666666663</v>
      </c>
      <c r="I1130" s="2">
        <v>0.8125</v>
      </c>
      <c r="J1130" t="s">
        <v>296</v>
      </c>
      <c r="L1130" t="s">
        <v>713</v>
      </c>
      <c r="M1130" t="s">
        <v>3132</v>
      </c>
      <c r="N1130" t="s">
        <v>3133</v>
      </c>
      <c r="O1130">
        <v>5952470</v>
      </c>
      <c r="Q1130" t="s">
        <v>516</v>
      </c>
      <c r="R1130" t="s">
        <v>500</v>
      </c>
      <c r="S1130" t="s">
        <v>52</v>
      </c>
      <c r="U1130">
        <v>890692</v>
      </c>
      <c r="V1130" s="3">
        <v>46068.536111111112</v>
      </c>
      <c r="W1130" t="s">
        <v>3134</v>
      </c>
      <c r="X1130" t="s">
        <v>3135</v>
      </c>
      <c r="Y1130" t="str">
        <f>"0409669602"</f>
        <v>0409669602</v>
      </c>
      <c r="Z1130" t="s">
        <v>70</v>
      </c>
      <c r="AB1130" t="s">
        <v>514</v>
      </c>
      <c r="AD1130" t="s">
        <v>61</v>
      </c>
      <c r="AE1130" t="s">
        <v>515</v>
      </c>
      <c r="AF1130">
        <v>2086</v>
      </c>
      <c r="AG1130" t="s">
        <v>516</v>
      </c>
      <c r="AI1130" t="s">
        <v>59</v>
      </c>
      <c r="AL1130" t="s">
        <v>3457</v>
      </c>
      <c r="AN1130" s="3">
        <v>46069.8</v>
      </c>
      <c r="AO1130" t="s">
        <v>3134</v>
      </c>
    </row>
    <row r="1131" spans="1:41" x14ac:dyDescent="0.3">
      <c r="A1131" t="s">
        <v>61</v>
      </c>
      <c r="B1131" t="s">
        <v>1462</v>
      </c>
      <c r="C1131" t="s">
        <v>296</v>
      </c>
      <c r="D1131" t="s">
        <v>90</v>
      </c>
      <c r="E1131" s="1">
        <v>46069</v>
      </c>
      <c r="F1131" t="s">
        <v>569</v>
      </c>
      <c r="G1131" t="s">
        <v>128</v>
      </c>
      <c r="H1131" s="2">
        <v>0.60416666666666663</v>
      </c>
      <c r="I1131" s="2">
        <v>0.91666666666666663</v>
      </c>
      <c r="J1131" t="s">
        <v>464</v>
      </c>
      <c r="L1131" t="s">
        <v>1996</v>
      </c>
      <c r="M1131" t="s">
        <v>1997</v>
      </c>
      <c r="N1131" t="s">
        <v>933</v>
      </c>
      <c r="O1131">
        <v>5952317</v>
      </c>
      <c r="Q1131" t="s">
        <v>2986</v>
      </c>
      <c r="R1131" t="s">
        <v>67</v>
      </c>
      <c r="S1131" t="s">
        <v>119</v>
      </c>
      <c r="T1131" t="s">
        <v>414</v>
      </c>
      <c r="U1131">
        <v>891611</v>
      </c>
      <c r="V1131" s="3">
        <v>46069.486111111109</v>
      </c>
      <c r="W1131" t="s">
        <v>1998</v>
      </c>
      <c r="X1131" t="s">
        <v>1999</v>
      </c>
      <c r="Y1131" t="str">
        <f>"1111111111"</f>
        <v>1111111111</v>
      </c>
      <c r="Z1131" t="s">
        <v>3458</v>
      </c>
      <c r="AB1131" t="s">
        <v>1468</v>
      </c>
      <c r="AD1131" t="s">
        <v>61</v>
      </c>
      <c r="AE1131" t="s">
        <v>1469</v>
      </c>
      <c r="AF1131">
        <v>2060</v>
      </c>
      <c r="AG1131" t="s">
        <v>2012</v>
      </c>
      <c r="AI1131" t="s">
        <v>59</v>
      </c>
      <c r="AL1131" t="s">
        <v>3459</v>
      </c>
      <c r="AN1131" s="3">
        <v>46069.502083333333</v>
      </c>
      <c r="AO1131" t="s">
        <v>67</v>
      </c>
    </row>
    <row r="1132" spans="1:41" x14ac:dyDescent="0.3">
      <c r="A1132" t="s">
        <v>41</v>
      </c>
      <c r="B1132" t="s">
        <v>426</v>
      </c>
      <c r="C1132" t="s">
        <v>296</v>
      </c>
      <c r="D1132" t="s">
        <v>246</v>
      </c>
      <c r="E1132" s="1">
        <v>46069</v>
      </c>
      <c r="F1132" t="s">
        <v>569</v>
      </c>
      <c r="G1132" t="s">
        <v>128</v>
      </c>
      <c r="H1132" s="2">
        <v>0.60416666666666663</v>
      </c>
      <c r="I1132" s="2">
        <v>0.95833333333333337</v>
      </c>
      <c r="J1132" t="s">
        <v>464</v>
      </c>
      <c r="L1132" t="s">
        <v>464</v>
      </c>
      <c r="M1132" t="s">
        <v>465</v>
      </c>
      <c r="N1132" t="s">
        <v>466</v>
      </c>
      <c r="O1132">
        <v>401722</v>
      </c>
      <c r="Q1132" t="s">
        <v>2101</v>
      </c>
      <c r="R1132" t="s">
        <v>1472</v>
      </c>
      <c r="S1132" t="s">
        <v>52</v>
      </c>
      <c r="U1132">
        <v>890713</v>
      </c>
      <c r="V1132" s="3">
        <v>46069.499305555553</v>
      </c>
      <c r="W1132" t="s">
        <v>468</v>
      </c>
      <c r="X1132" t="s">
        <v>469</v>
      </c>
      <c r="Y1132" t="str">
        <f>"0423030872"</f>
        <v>0423030872</v>
      </c>
      <c r="Z1132" t="s">
        <v>70</v>
      </c>
      <c r="AA1132" s="1">
        <v>46069</v>
      </c>
      <c r="AB1132" t="s">
        <v>434</v>
      </c>
      <c r="AD1132" t="s">
        <v>41</v>
      </c>
      <c r="AE1132" t="s">
        <v>435</v>
      </c>
      <c r="AF1132">
        <v>4163</v>
      </c>
      <c r="AG1132" t="s">
        <v>2101</v>
      </c>
      <c r="AI1132" t="s">
        <v>59</v>
      </c>
      <c r="AL1132" t="s">
        <v>3460</v>
      </c>
      <c r="AN1132" s="3">
        <v>46070.00277777778</v>
      </c>
      <c r="AO1132" t="s">
        <v>468</v>
      </c>
    </row>
    <row r="1133" spans="1:41" x14ac:dyDescent="0.3">
      <c r="A1133" t="s">
        <v>41</v>
      </c>
      <c r="B1133" t="s">
        <v>3461</v>
      </c>
      <c r="C1133" t="s">
        <v>296</v>
      </c>
      <c r="D1133" t="s">
        <v>246</v>
      </c>
      <c r="E1133" s="1">
        <v>46069</v>
      </c>
      <c r="F1133" t="s">
        <v>569</v>
      </c>
      <c r="G1133" t="s">
        <v>128</v>
      </c>
      <c r="H1133" s="2">
        <v>0.60416666666666663</v>
      </c>
      <c r="I1133" s="2">
        <v>0.95833333333333337</v>
      </c>
      <c r="J1133" t="s">
        <v>296</v>
      </c>
      <c r="L1133" t="s">
        <v>298</v>
      </c>
      <c r="M1133" t="s">
        <v>1401</v>
      </c>
      <c r="N1133" t="s">
        <v>1402</v>
      </c>
      <c r="O1133">
        <v>5952070</v>
      </c>
      <c r="Q1133" t="s">
        <v>3462</v>
      </c>
      <c r="R1133" t="s">
        <v>1472</v>
      </c>
      <c r="S1133" t="s">
        <v>52</v>
      </c>
      <c r="U1133">
        <v>890712</v>
      </c>
      <c r="V1133" s="3">
        <v>46069.524305555555</v>
      </c>
      <c r="W1133" t="s">
        <v>1404</v>
      </c>
      <c r="X1133" t="s">
        <v>1405</v>
      </c>
      <c r="Y1133" t="str">
        <f>"0474506417"</f>
        <v>0474506417</v>
      </c>
      <c r="Z1133" t="s">
        <v>70</v>
      </c>
      <c r="AA1133" s="1">
        <v>46069</v>
      </c>
      <c r="AB1133" t="s">
        <v>3463</v>
      </c>
      <c r="AD1133" t="s">
        <v>41</v>
      </c>
      <c r="AE1133" t="s">
        <v>3464</v>
      </c>
      <c r="AF1133">
        <v>4306</v>
      </c>
      <c r="AG1133" t="s">
        <v>3465</v>
      </c>
      <c r="AI1133" t="s">
        <v>59</v>
      </c>
      <c r="AN1133" s="3">
        <v>46069.986805555556</v>
      </c>
      <c r="AO1133" t="s">
        <v>1404</v>
      </c>
    </row>
    <row r="1134" spans="1:41" x14ac:dyDescent="0.3">
      <c r="A1134" t="s">
        <v>306</v>
      </c>
      <c r="B1134" t="s">
        <v>528</v>
      </c>
      <c r="C1134" t="s">
        <v>1523</v>
      </c>
      <c r="D1134" t="s">
        <v>63</v>
      </c>
      <c r="E1134" s="1">
        <v>46069</v>
      </c>
      <c r="F1134" t="s">
        <v>569</v>
      </c>
      <c r="G1134" t="s">
        <v>128</v>
      </c>
      <c r="H1134" s="2">
        <v>0.60416666666666663</v>
      </c>
      <c r="I1134" s="2">
        <v>0.91666666666666663</v>
      </c>
      <c r="J1134" t="s">
        <v>296</v>
      </c>
      <c r="L1134" t="s">
        <v>1260</v>
      </c>
      <c r="M1134" t="s">
        <v>239</v>
      </c>
      <c r="N1134" t="s">
        <v>1261</v>
      </c>
      <c r="O1134">
        <v>5952100</v>
      </c>
      <c r="Q1134" t="s">
        <v>2757</v>
      </c>
      <c r="R1134" t="s">
        <v>1248</v>
      </c>
      <c r="S1134" t="s">
        <v>52</v>
      </c>
      <c r="U1134">
        <v>890703</v>
      </c>
      <c r="V1134" s="3">
        <v>46067.318055555559</v>
      </c>
      <c r="W1134" t="s">
        <v>1262</v>
      </c>
      <c r="X1134" t="s">
        <v>1263</v>
      </c>
      <c r="Y1134" t="str">
        <f>"0420517034"</f>
        <v>0420517034</v>
      </c>
      <c r="Z1134" t="s">
        <v>70</v>
      </c>
      <c r="AA1134" s="1">
        <v>46069</v>
      </c>
      <c r="AB1134" t="s">
        <v>537</v>
      </c>
      <c r="AD1134" t="s">
        <v>306</v>
      </c>
      <c r="AE1134" t="s">
        <v>538</v>
      </c>
      <c r="AF1134">
        <v>3152</v>
      </c>
      <c r="AG1134" t="s">
        <v>2757</v>
      </c>
      <c r="AI1134" t="s">
        <v>59</v>
      </c>
      <c r="AL1134" t="s">
        <v>87</v>
      </c>
      <c r="AN1134" s="3">
        <v>46069.918055555558</v>
      </c>
      <c r="AO1134" t="s">
        <v>1262</v>
      </c>
    </row>
    <row r="1135" spans="1:41" x14ac:dyDescent="0.3">
      <c r="A1135" t="s">
        <v>41</v>
      </c>
      <c r="B1135" t="s">
        <v>3461</v>
      </c>
      <c r="C1135" t="s">
        <v>296</v>
      </c>
      <c r="D1135" t="s">
        <v>246</v>
      </c>
      <c r="E1135" s="1">
        <v>46069</v>
      </c>
      <c r="F1135" t="s">
        <v>569</v>
      </c>
      <c r="G1135" t="s">
        <v>128</v>
      </c>
      <c r="H1135" s="2">
        <v>0.60416666666666663</v>
      </c>
      <c r="I1135" s="2">
        <v>0.95833333333333337</v>
      </c>
      <c r="J1135" t="s">
        <v>464</v>
      </c>
      <c r="L1135" t="s">
        <v>540</v>
      </c>
      <c r="M1135" t="s">
        <v>563</v>
      </c>
      <c r="N1135" t="s">
        <v>564</v>
      </c>
      <c r="O1135">
        <v>402477</v>
      </c>
      <c r="Q1135" t="s">
        <v>3462</v>
      </c>
      <c r="R1135" t="s">
        <v>1472</v>
      </c>
      <c r="S1135" t="s">
        <v>119</v>
      </c>
      <c r="T1135" t="s">
        <v>414</v>
      </c>
      <c r="U1135">
        <v>891657</v>
      </c>
      <c r="V1135" s="3">
        <v>46069.537499999999</v>
      </c>
      <c r="W1135" t="s">
        <v>565</v>
      </c>
      <c r="X1135" t="s">
        <v>566</v>
      </c>
      <c r="Y1135" t="str">
        <f>"0417873276"</f>
        <v>0417873276</v>
      </c>
      <c r="Z1135" t="s">
        <v>70</v>
      </c>
      <c r="AA1135" s="1">
        <v>46069</v>
      </c>
      <c r="AB1135" t="s">
        <v>3463</v>
      </c>
      <c r="AD1135" t="s">
        <v>41</v>
      </c>
      <c r="AE1135" t="s">
        <v>3464</v>
      </c>
      <c r="AF1135">
        <v>4306</v>
      </c>
      <c r="AG1135" t="s">
        <v>3462</v>
      </c>
      <c r="AI1135" t="s">
        <v>59</v>
      </c>
      <c r="AN1135" s="3">
        <v>46069.538194444445</v>
      </c>
      <c r="AO1135" t="s">
        <v>1472</v>
      </c>
    </row>
    <row r="1136" spans="1:41" x14ac:dyDescent="0.3">
      <c r="A1136" t="s">
        <v>168</v>
      </c>
      <c r="B1136" t="s">
        <v>441</v>
      </c>
      <c r="C1136" t="s">
        <v>43</v>
      </c>
      <c r="E1136" s="1">
        <v>46069</v>
      </c>
      <c r="F1136" t="s">
        <v>569</v>
      </c>
      <c r="G1136" t="s">
        <v>128</v>
      </c>
      <c r="H1136" s="2">
        <v>0.625</v>
      </c>
      <c r="I1136" s="2">
        <v>0.85416666666666663</v>
      </c>
      <c r="J1136" t="s">
        <v>185</v>
      </c>
      <c r="K1136" t="s">
        <v>678</v>
      </c>
      <c r="L1136" t="s">
        <v>186</v>
      </c>
      <c r="M1136" t="s">
        <v>1715</v>
      </c>
      <c r="N1136" t="s">
        <v>1716</v>
      </c>
      <c r="O1136">
        <v>5952401</v>
      </c>
      <c r="Q1136" t="s">
        <v>944</v>
      </c>
      <c r="R1136" t="s">
        <v>500</v>
      </c>
      <c r="S1136" t="s">
        <v>52</v>
      </c>
      <c r="U1136">
        <v>890696</v>
      </c>
      <c r="V1136" s="3">
        <v>46050.959027777775</v>
      </c>
      <c r="W1136" t="s">
        <v>1717</v>
      </c>
      <c r="X1136" t="s">
        <v>1718</v>
      </c>
      <c r="Y1136" t="str">
        <f>"0498043204"</f>
        <v>0498043204</v>
      </c>
      <c r="Z1136" t="s">
        <v>3466</v>
      </c>
      <c r="AB1136" t="s">
        <v>448</v>
      </c>
      <c r="AD1136" t="s">
        <v>168</v>
      </c>
      <c r="AE1136" t="s">
        <v>180</v>
      </c>
      <c r="AF1136">
        <v>5063</v>
      </c>
      <c r="AG1136" t="s">
        <v>944</v>
      </c>
      <c r="AI1136" t="s">
        <v>59</v>
      </c>
      <c r="AL1136" t="s">
        <v>3445</v>
      </c>
      <c r="AN1136" s="3">
        <v>46069.814583333333</v>
      </c>
      <c r="AO1136" t="s">
        <v>1717</v>
      </c>
    </row>
    <row r="1137" spans="1:41" x14ac:dyDescent="0.3">
      <c r="A1137" t="s">
        <v>306</v>
      </c>
      <c r="B1137" t="s">
        <v>450</v>
      </c>
      <c r="C1137" t="s">
        <v>100</v>
      </c>
      <c r="D1137" t="s">
        <v>63</v>
      </c>
      <c r="E1137" s="1">
        <v>46069</v>
      </c>
      <c r="F1137" t="s">
        <v>569</v>
      </c>
      <c r="G1137" t="s">
        <v>128</v>
      </c>
      <c r="H1137" s="2">
        <v>0.625</v>
      </c>
      <c r="I1137" s="2">
        <v>0.91666666666666663</v>
      </c>
      <c r="J1137" t="s">
        <v>100</v>
      </c>
      <c r="L1137" t="s">
        <v>452</v>
      </c>
      <c r="M1137" t="s">
        <v>2544</v>
      </c>
      <c r="N1137" t="s">
        <v>2545</v>
      </c>
      <c r="O1137">
        <v>5951132</v>
      </c>
      <c r="Q1137" t="s">
        <v>3467</v>
      </c>
      <c r="R1137" t="s">
        <v>208</v>
      </c>
      <c r="S1137" t="s">
        <v>52</v>
      </c>
      <c r="U1137">
        <v>890701</v>
      </c>
      <c r="V1137" s="3">
        <v>46064.861111111109</v>
      </c>
      <c r="W1137" t="s">
        <v>2546</v>
      </c>
      <c r="X1137" t="s">
        <v>2547</v>
      </c>
      <c r="Y1137" t="str">
        <f>"0403404656"</f>
        <v>0403404656</v>
      </c>
      <c r="Z1137" t="s">
        <v>585</v>
      </c>
      <c r="AB1137" t="s">
        <v>459</v>
      </c>
      <c r="AD1137" t="s">
        <v>306</v>
      </c>
      <c r="AE1137" t="s">
        <v>460</v>
      </c>
      <c r="AF1137">
        <v>3058</v>
      </c>
      <c r="AG1137" t="s">
        <v>455</v>
      </c>
      <c r="AI1137" t="s">
        <v>59</v>
      </c>
      <c r="AL1137" t="s">
        <v>370</v>
      </c>
      <c r="AN1137" s="3">
        <v>46069.914583333331</v>
      </c>
      <c r="AO1137" t="s">
        <v>2546</v>
      </c>
    </row>
    <row r="1138" spans="1:41" x14ac:dyDescent="0.3">
      <c r="A1138" t="s">
        <v>168</v>
      </c>
      <c r="B1138" t="s">
        <v>2606</v>
      </c>
      <c r="C1138" t="s">
        <v>602</v>
      </c>
      <c r="D1138" t="s">
        <v>268</v>
      </c>
      <c r="E1138" s="1">
        <v>46069</v>
      </c>
      <c r="F1138" t="s">
        <v>569</v>
      </c>
      <c r="G1138" t="s">
        <v>128</v>
      </c>
      <c r="H1138" s="2">
        <v>0.625</v>
      </c>
      <c r="I1138" s="2">
        <v>0.89583333333333337</v>
      </c>
      <c r="J1138" t="s">
        <v>269</v>
      </c>
      <c r="L1138" t="s">
        <v>609</v>
      </c>
      <c r="M1138" t="s">
        <v>3468</v>
      </c>
      <c r="N1138" t="s">
        <v>3469</v>
      </c>
      <c r="O1138">
        <v>5950897</v>
      </c>
      <c r="Q1138" t="s">
        <v>369</v>
      </c>
      <c r="R1138" t="s">
        <v>1248</v>
      </c>
      <c r="S1138" t="s">
        <v>52</v>
      </c>
      <c r="U1138">
        <v>890711</v>
      </c>
      <c r="V1138" s="3">
        <v>46068.5</v>
      </c>
      <c r="W1138" t="s">
        <v>3470</v>
      </c>
      <c r="X1138" t="s">
        <v>3471</v>
      </c>
      <c r="Y1138" t="str">
        <f>"0424135472"</f>
        <v>0424135472</v>
      </c>
      <c r="Z1138" t="s">
        <v>70</v>
      </c>
      <c r="AA1138" s="1">
        <v>46069</v>
      </c>
      <c r="AB1138" t="s">
        <v>2608</v>
      </c>
      <c r="AC1138" t="s">
        <v>2609</v>
      </c>
      <c r="AD1138" t="s">
        <v>168</v>
      </c>
      <c r="AE1138" t="s">
        <v>2610</v>
      </c>
      <c r="AF1138">
        <v>5211</v>
      </c>
      <c r="AG1138" t="s">
        <v>369</v>
      </c>
      <c r="AI1138" t="s">
        <v>59</v>
      </c>
      <c r="AL1138" t="s">
        <v>3472</v>
      </c>
      <c r="AN1138" s="3">
        <v>46069.96597222222</v>
      </c>
      <c r="AO1138" t="s">
        <v>3470</v>
      </c>
    </row>
    <row r="1139" spans="1:41" x14ac:dyDescent="0.3">
      <c r="A1139" t="s">
        <v>41</v>
      </c>
      <c r="B1139" t="s">
        <v>1228</v>
      </c>
      <c r="C1139" t="s">
        <v>296</v>
      </c>
      <c r="D1139" t="s">
        <v>246</v>
      </c>
      <c r="E1139" s="1">
        <v>46069</v>
      </c>
      <c r="F1139" t="s">
        <v>569</v>
      </c>
      <c r="G1139" t="s">
        <v>128</v>
      </c>
      <c r="H1139" s="2">
        <v>0.625</v>
      </c>
      <c r="I1139" s="2">
        <v>0.89583333333333337</v>
      </c>
      <c r="J1139" t="s">
        <v>296</v>
      </c>
      <c r="L1139" t="s">
        <v>1229</v>
      </c>
      <c r="M1139" t="s">
        <v>1230</v>
      </c>
      <c r="N1139" t="s">
        <v>1231</v>
      </c>
      <c r="O1139">
        <v>5952329</v>
      </c>
      <c r="Q1139" t="s">
        <v>3473</v>
      </c>
      <c r="R1139" t="s">
        <v>723</v>
      </c>
      <c r="S1139" t="s">
        <v>52</v>
      </c>
      <c r="U1139">
        <v>890706</v>
      </c>
      <c r="V1139" s="3">
        <v>46069.512499999997</v>
      </c>
      <c r="W1139" t="s">
        <v>1233</v>
      </c>
      <c r="X1139" t="s">
        <v>1234</v>
      </c>
      <c r="Y1139" t="str">
        <f>"0485533840"</f>
        <v>0485533840</v>
      </c>
      <c r="Z1139" t="s">
        <v>70</v>
      </c>
      <c r="AB1139" t="s">
        <v>1235</v>
      </c>
      <c r="AD1139" t="s">
        <v>41</v>
      </c>
      <c r="AE1139" t="s">
        <v>1236</v>
      </c>
      <c r="AF1139">
        <v>4215</v>
      </c>
      <c r="AG1139" t="s">
        <v>2823</v>
      </c>
      <c r="AI1139" t="s">
        <v>59</v>
      </c>
      <c r="AL1139" t="s">
        <v>87</v>
      </c>
      <c r="AN1139" s="3">
        <v>46069.931944444441</v>
      </c>
      <c r="AO1139" t="s">
        <v>1233</v>
      </c>
    </row>
    <row r="1140" spans="1:41" x14ac:dyDescent="0.3">
      <c r="A1140" t="s">
        <v>61</v>
      </c>
      <c r="B1140" t="s">
        <v>1271</v>
      </c>
      <c r="C1140" t="s">
        <v>1272</v>
      </c>
      <c r="D1140" t="s">
        <v>184</v>
      </c>
      <c r="E1140" s="1">
        <v>46069</v>
      </c>
      <c r="F1140" t="s">
        <v>569</v>
      </c>
      <c r="G1140" t="s">
        <v>128</v>
      </c>
      <c r="H1140" s="2">
        <v>0.625</v>
      </c>
      <c r="I1140" s="2">
        <v>0.97916666666666663</v>
      </c>
      <c r="J1140" t="s">
        <v>486</v>
      </c>
      <c r="L1140" t="s">
        <v>487</v>
      </c>
      <c r="M1140" t="s">
        <v>596</v>
      </c>
      <c r="N1140" t="s">
        <v>1280</v>
      </c>
      <c r="O1140">
        <v>5952187</v>
      </c>
      <c r="Q1140" t="s">
        <v>2238</v>
      </c>
      <c r="R1140" t="s">
        <v>1248</v>
      </c>
      <c r="S1140" t="s">
        <v>52</v>
      </c>
      <c r="U1140">
        <v>890709</v>
      </c>
      <c r="V1140" s="3">
        <v>46068.463888888888</v>
      </c>
      <c r="W1140" t="s">
        <v>1281</v>
      </c>
      <c r="X1140" t="s">
        <v>1282</v>
      </c>
      <c r="Y1140" t="str">
        <f>"0417203844"</f>
        <v>0417203844</v>
      </c>
      <c r="Z1140" t="s">
        <v>70</v>
      </c>
      <c r="AB1140" t="s">
        <v>1278</v>
      </c>
      <c r="AD1140" t="s">
        <v>61</v>
      </c>
      <c r="AE1140" t="s">
        <v>1279</v>
      </c>
      <c r="AF1140">
        <v>2145</v>
      </c>
      <c r="AG1140" t="s">
        <v>1190</v>
      </c>
      <c r="AI1140" t="s">
        <v>59</v>
      </c>
      <c r="AL1140" t="s">
        <v>3474</v>
      </c>
      <c r="AN1140" s="3">
        <v>46069.963194444441</v>
      </c>
      <c r="AO1140" t="s">
        <v>1281</v>
      </c>
    </row>
    <row r="1141" spans="1:41" x14ac:dyDescent="0.3">
      <c r="A1141" t="s">
        <v>168</v>
      </c>
      <c r="B1141" t="s">
        <v>376</v>
      </c>
      <c r="C1141" t="s">
        <v>43</v>
      </c>
      <c r="D1141" t="s">
        <v>127</v>
      </c>
      <c r="E1141" s="1">
        <v>46069</v>
      </c>
      <c r="F1141" t="s">
        <v>569</v>
      </c>
      <c r="G1141" t="s">
        <v>128</v>
      </c>
      <c r="H1141" s="2">
        <v>0.625</v>
      </c>
      <c r="I1141" s="2">
        <v>0.875</v>
      </c>
      <c r="J1141" t="s">
        <v>185</v>
      </c>
      <c r="K1141" t="s">
        <v>678</v>
      </c>
      <c r="L1141" t="s">
        <v>186</v>
      </c>
      <c r="M1141" t="s">
        <v>867</v>
      </c>
      <c r="N1141" t="s">
        <v>868</v>
      </c>
      <c r="O1141">
        <v>5951869</v>
      </c>
      <c r="Q1141" t="s">
        <v>1969</v>
      </c>
      <c r="R1141" t="s">
        <v>231</v>
      </c>
      <c r="S1141" t="s">
        <v>52</v>
      </c>
      <c r="U1141">
        <v>890687</v>
      </c>
      <c r="V1141" s="3">
        <v>46044.380555555559</v>
      </c>
      <c r="W1141" t="s">
        <v>870</v>
      </c>
      <c r="X1141" t="s">
        <v>871</v>
      </c>
      <c r="Y1141" t="str">
        <f>"0435211342"</f>
        <v>0435211342</v>
      </c>
      <c r="Z1141" t="s">
        <v>1917</v>
      </c>
      <c r="AB1141" t="s">
        <v>383</v>
      </c>
      <c r="AD1141" t="s">
        <v>168</v>
      </c>
      <c r="AE1141" t="s">
        <v>384</v>
      </c>
      <c r="AF1141">
        <v>5000</v>
      </c>
      <c r="AG1141" t="s">
        <v>2997</v>
      </c>
      <c r="AI1141" t="s">
        <v>59</v>
      </c>
      <c r="AL1141" t="s">
        <v>1534</v>
      </c>
      <c r="AM1141" t="s">
        <v>3475</v>
      </c>
      <c r="AN1141" s="3">
        <v>46069.785416666666</v>
      </c>
      <c r="AO1141" t="s">
        <v>870</v>
      </c>
    </row>
    <row r="1142" spans="1:41" x14ac:dyDescent="0.3">
      <c r="A1142" t="s">
        <v>306</v>
      </c>
      <c r="B1142" t="s">
        <v>1060</v>
      </c>
      <c r="C1142" t="s">
        <v>100</v>
      </c>
      <c r="D1142" t="s">
        <v>184</v>
      </c>
      <c r="E1142" s="1">
        <v>46069</v>
      </c>
      <c r="F1142" t="s">
        <v>569</v>
      </c>
      <c r="G1142" t="s">
        <v>485</v>
      </c>
      <c r="H1142" s="2">
        <v>0.75</v>
      </c>
      <c r="I1142" s="2">
        <v>0.125</v>
      </c>
      <c r="J1142" t="s">
        <v>451</v>
      </c>
      <c r="L1142" t="s">
        <v>473</v>
      </c>
      <c r="M1142" t="s">
        <v>474</v>
      </c>
      <c r="N1142" t="s">
        <v>475</v>
      </c>
      <c r="O1142">
        <v>5950662</v>
      </c>
      <c r="Q1142" t="s">
        <v>705</v>
      </c>
      <c r="R1142" t="s">
        <v>314</v>
      </c>
      <c r="S1142" t="s">
        <v>52</v>
      </c>
      <c r="U1142">
        <v>890715</v>
      </c>
      <c r="V1142" s="3">
        <v>46069.364583333336</v>
      </c>
      <c r="W1142" t="s">
        <v>477</v>
      </c>
      <c r="X1142" t="s">
        <v>478</v>
      </c>
      <c r="Y1142" t="str">
        <f>"0449808311"</f>
        <v>0449808311</v>
      </c>
      <c r="Z1142" t="s">
        <v>70</v>
      </c>
      <c r="AA1142" s="1">
        <v>46069</v>
      </c>
      <c r="AB1142" t="s">
        <v>1066</v>
      </c>
      <c r="AD1142" t="s">
        <v>306</v>
      </c>
      <c r="AE1142" t="s">
        <v>1067</v>
      </c>
      <c r="AF1142">
        <v>3084</v>
      </c>
      <c r="AI1142" t="s">
        <v>59</v>
      </c>
      <c r="AL1142" t="s">
        <v>3476</v>
      </c>
      <c r="AM1142" t="s">
        <v>3477</v>
      </c>
      <c r="AN1142" s="3">
        <v>46070.116666666669</v>
      </c>
      <c r="AO1142" t="s">
        <v>477</v>
      </c>
    </row>
    <row r="1143" spans="1:41" x14ac:dyDescent="0.3">
      <c r="A1143" t="s">
        <v>61</v>
      </c>
      <c r="B1143" t="s">
        <v>182</v>
      </c>
      <c r="C1143" t="s">
        <v>484</v>
      </c>
      <c r="D1143" t="s">
        <v>184</v>
      </c>
      <c r="E1143" s="1">
        <v>46069</v>
      </c>
      <c r="F1143" t="s">
        <v>569</v>
      </c>
      <c r="G1143" t="s">
        <v>485</v>
      </c>
      <c r="H1143" s="2">
        <v>0.77083333333333337</v>
      </c>
      <c r="I1143" s="2">
        <v>0.29166666666666669</v>
      </c>
      <c r="J1143" t="s">
        <v>486</v>
      </c>
      <c r="L1143" t="s">
        <v>487</v>
      </c>
      <c r="M1143" t="s">
        <v>488</v>
      </c>
      <c r="N1143" t="s">
        <v>489</v>
      </c>
      <c r="O1143">
        <v>5951809</v>
      </c>
      <c r="Q1143" t="s">
        <v>490</v>
      </c>
      <c r="R1143" t="s">
        <v>67</v>
      </c>
      <c r="S1143" t="s">
        <v>52</v>
      </c>
      <c r="U1143">
        <v>890719</v>
      </c>
      <c r="V1143" s="3">
        <v>46051.538194444445</v>
      </c>
      <c r="W1143" t="s">
        <v>491</v>
      </c>
      <c r="X1143" t="s">
        <v>492</v>
      </c>
      <c r="Y1143" t="str">
        <f>"0431000508"</f>
        <v>0431000508</v>
      </c>
      <c r="Z1143" t="s">
        <v>3478</v>
      </c>
      <c r="AB1143" t="s">
        <v>193</v>
      </c>
      <c r="AD1143" t="s">
        <v>61</v>
      </c>
      <c r="AE1143" t="s">
        <v>194</v>
      </c>
      <c r="AF1143">
        <v>2229</v>
      </c>
      <c r="AG1143" t="s">
        <v>129</v>
      </c>
      <c r="AI1143" t="s">
        <v>59</v>
      </c>
      <c r="AL1143" t="s">
        <v>3479</v>
      </c>
      <c r="AN1143" s="3">
        <v>46070.29791666667</v>
      </c>
      <c r="AO1143" t="s">
        <v>491</v>
      </c>
    </row>
    <row r="1144" spans="1:41" x14ac:dyDescent="0.3">
      <c r="A1144" t="s">
        <v>61</v>
      </c>
      <c r="B1144" t="s">
        <v>507</v>
      </c>
      <c r="C1144" t="s">
        <v>2182</v>
      </c>
      <c r="D1144" t="s">
        <v>63</v>
      </c>
      <c r="E1144" s="1">
        <v>46069</v>
      </c>
      <c r="F1144" t="s">
        <v>569</v>
      </c>
      <c r="G1144" t="s">
        <v>485</v>
      </c>
      <c r="H1144" s="2">
        <v>0.79166666666666663</v>
      </c>
      <c r="I1144" s="2">
        <v>0.3125</v>
      </c>
      <c r="J1144" t="s">
        <v>590</v>
      </c>
      <c r="L1144" t="s">
        <v>487</v>
      </c>
      <c r="M1144" t="s">
        <v>1463</v>
      </c>
      <c r="N1144" t="s">
        <v>1464</v>
      </c>
      <c r="O1144">
        <v>22756</v>
      </c>
      <c r="Q1144" t="s">
        <v>516</v>
      </c>
      <c r="R1144" t="s">
        <v>500</v>
      </c>
      <c r="S1144" t="s">
        <v>52</v>
      </c>
      <c r="U1144">
        <v>890717</v>
      </c>
      <c r="V1144" s="3">
        <v>46068.574999999997</v>
      </c>
      <c r="W1144" t="s">
        <v>1466</v>
      </c>
      <c r="X1144" t="s">
        <v>1467</v>
      </c>
      <c r="Y1144" t="str">
        <f>"0416856891"</f>
        <v>0416856891</v>
      </c>
      <c r="Z1144" t="s">
        <v>70</v>
      </c>
      <c r="AA1144" s="1">
        <v>46069</v>
      </c>
      <c r="AB1144" t="s">
        <v>514</v>
      </c>
      <c r="AD1144" t="s">
        <v>61</v>
      </c>
      <c r="AE1144" t="s">
        <v>515</v>
      </c>
      <c r="AF1144">
        <v>2086</v>
      </c>
      <c r="AG1144" t="s">
        <v>516</v>
      </c>
      <c r="AI1144" t="s">
        <v>59</v>
      </c>
      <c r="AL1144" t="s">
        <v>3457</v>
      </c>
      <c r="AN1144" s="3">
        <v>46070.269444444442</v>
      </c>
      <c r="AO1144" t="s">
        <v>1466</v>
      </c>
    </row>
    <row r="1145" spans="1:41" x14ac:dyDescent="0.3">
      <c r="A1145" t="s">
        <v>306</v>
      </c>
      <c r="B1145" t="s">
        <v>1238</v>
      </c>
      <c r="C1145" t="s">
        <v>529</v>
      </c>
      <c r="D1145" t="s">
        <v>90</v>
      </c>
      <c r="E1145" s="1">
        <v>46069</v>
      </c>
      <c r="F1145" t="s">
        <v>569</v>
      </c>
      <c r="G1145" t="s">
        <v>485</v>
      </c>
      <c r="H1145" s="2">
        <v>0.79166666666666663</v>
      </c>
      <c r="I1145" s="2">
        <v>0.3125</v>
      </c>
      <c r="J1145" t="s">
        <v>529</v>
      </c>
      <c r="K1145" t="s">
        <v>530</v>
      </c>
      <c r="L1145" t="s">
        <v>531</v>
      </c>
      <c r="M1145" t="s">
        <v>532</v>
      </c>
      <c r="N1145" t="s">
        <v>533</v>
      </c>
      <c r="O1145">
        <v>20495</v>
      </c>
      <c r="P1145">
        <v>11633525</v>
      </c>
      <c r="Q1145" t="s">
        <v>98</v>
      </c>
      <c r="R1145" t="s">
        <v>500</v>
      </c>
      <c r="S1145" t="s">
        <v>52</v>
      </c>
      <c r="U1145">
        <v>890716</v>
      </c>
      <c r="V1145" s="3">
        <v>46069.691666666666</v>
      </c>
      <c r="W1145" t="s">
        <v>535</v>
      </c>
      <c r="X1145" t="s">
        <v>536</v>
      </c>
      <c r="Y1145" t="str">
        <f>"0447625522"</f>
        <v>0447625522</v>
      </c>
      <c r="Z1145" t="s">
        <v>70</v>
      </c>
      <c r="AA1145" s="1">
        <v>46069</v>
      </c>
      <c r="AB1145" t="s">
        <v>1243</v>
      </c>
      <c r="AD1145" t="s">
        <v>306</v>
      </c>
      <c r="AE1145" t="s">
        <v>1244</v>
      </c>
      <c r="AF1145">
        <v>3065</v>
      </c>
      <c r="AG1145" t="s">
        <v>1245</v>
      </c>
      <c r="AI1145" t="s">
        <v>59</v>
      </c>
      <c r="AL1145" t="s">
        <v>3480</v>
      </c>
      <c r="AN1145" s="3">
        <v>46070.215277777781</v>
      </c>
      <c r="AO1145" t="s">
        <v>535</v>
      </c>
    </row>
    <row r="1146" spans="1:41" x14ac:dyDescent="0.3">
      <c r="A1146" t="s">
        <v>306</v>
      </c>
      <c r="B1146" t="s">
        <v>2411</v>
      </c>
      <c r="C1146" t="s">
        <v>1354</v>
      </c>
      <c r="D1146" t="s">
        <v>184</v>
      </c>
      <c r="E1146" s="1">
        <v>46069</v>
      </c>
      <c r="F1146" t="s">
        <v>569</v>
      </c>
      <c r="G1146" t="s">
        <v>485</v>
      </c>
      <c r="H1146" s="2">
        <v>0.83333333333333337</v>
      </c>
      <c r="I1146" s="2">
        <v>0.3125</v>
      </c>
      <c r="J1146" t="s">
        <v>1355</v>
      </c>
      <c r="L1146" t="s">
        <v>1327</v>
      </c>
      <c r="M1146" t="s">
        <v>1328</v>
      </c>
      <c r="N1146" t="s">
        <v>1329</v>
      </c>
      <c r="O1146">
        <v>20185</v>
      </c>
      <c r="Q1146" t="s">
        <v>705</v>
      </c>
      <c r="R1146" t="s">
        <v>1248</v>
      </c>
      <c r="S1146" t="s">
        <v>119</v>
      </c>
      <c r="T1146" t="s">
        <v>414</v>
      </c>
      <c r="U1146">
        <v>891436</v>
      </c>
      <c r="V1146" s="3">
        <v>46069.775694444441</v>
      </c>
      <c r="W1146" t="s">
        <v>1331</v>
      </c>
      <c r="X1146" t="s">
        <v>1332</v>
      </c>
      <c r="Y1146" t="str">
        <f>"0422616195"</f>
        <v>0422616195</v>
      </c>
      <c r="Z1146" t="s">
        <v>70</v>
      </c>
      <c r="AB1146" t="s">
        <v>2412</v>
      </c>
      <c r="AD1146" t="s">
        <v>306</v>
      </c>
      <c r="AE1146" t="s">
        <v>827</v>
      </c>
      <c r="AF1146">
        <v>3181</v>
      </c>
      <c r="AI1146" t="s">
        <v>59</v>
      </c>
      <c r="AL1146" t="s">
        <v>3481</v>
      </c>
      <c r="AM1146" t="s">
        <v>3482</v>
      </c>
      <c r="AN1146" s="3">
        <v>46069.803472222222</v>
      </c>
      <c r="AO1146" t="s">
        <v>500</v>
      </c>
    </row>
    <row r="1147" spans="1:41" x14ac:dyDescent="0.3">
      <c r="A1147" t="s">
        <v>168</v>
      </c>
      <c r="B1147" t="s">
        <v>336</v>
      </c>
      <c r="D1147" t="s">
        <v>268</v>
      </c>
      <c r="E1147" s="1">
        <v>46069</v>
      </c>
      <c r="F1147" t="s">
        <v>569</v>
      </c>
      <c r="G1147" t="s">
        <v>485</v>
      </c>
      <c r="H1147" s="2">
        <v>0.875</v>
      </c>
      <c r="I1147" s="2">
        <v>0.3125</v>
      </c>
      <c r="J1147" t="s">
        <v>296</v>
      </c>
      <c r="K1147" t="s">
        <v>338</v>
      </c>
      <c r="L1147" t="s">
        <v>522</v>
      </c>
      <c r="M1147" t="s">
        <v>523</v>
      </c>
      <c r="N1147" t="s">
        <v>524</v>
      </c>
      <c r="O1147">
        <v>5951086</v>
      </c>
      <c r="P1147" t="s">
        <v>338</v>
      </c>
      <c r="Q1147" t="s">
        <v>342</v>
      </c>
      <c r="R1147" t="s">
        <v>176</v>
      </c>
      <c r="S1147" t="s">
        <v>52</v>
      </c>
      <c r="U1147">
        <v>890714</v>
      </c>
      <c r="V1147" s="3">
        <v>46052.443055555559</v>
      </c>
      <c r="W1147" t="s">
        <v>525</v>
      </c>
      <c r="X1147" t="s">
        <v>526</v>
      </c>
      <c r="Y1147" t="str">
        <f>"0415251474"</f>
        <v>0415251474</v>
      </c>
      <c r="Z1147" t="s">
        <v>3291</v>
      </c>
      <c r="AB1147" t="s">
        <v>346</v>
      </c>
      <c r="AD1147" t="s">
        <v>168</v>
      </c>
      <c r="AE1147" t="s">
        <v>347</v>
      </c>
      <c r="AF1147">
        <v>5042</v>
      </c>
      <c r="AG1147" t="s">
        <v>342</v>
      </c>
      <c r="AI1147" t="s">
        <v>59</v>
      </c>
      <c r="AL1147" t="s">
        <v>3483</v>
      </c>
      <c r="AM1147" t="s">
        <v>349</v>
      </c>
      <c r="AN1147" s="3">
        <v>46070.085416666669</v>
      </c>
      <c r="AO1147" t="s">
        <v>525</v>
      </c>
    </row>
    <row r="1148" spans="1:41" x14ac:dyDescent="0.3">
      <c r="A1148" t="s">
        <v>61</v>
      </c>
      <c r="B1148" t="s">
        <v>1462</v>
      </c>
      <c r="C1148" t="s">
        <v>296</v>
      </c>
      <c r="D1148" t="s">
        <v>90</v>
      </c>
      <c r="E1148" s="1">
        <v>46069</v>
      </c>
      <c r="F1148" t="s">
        <v>569</v>
      </c>
      <c r="G1148" t="s">
        <v>485</v>
      </c>
      <c r="H1148" s="2">
        <v>0.89583333333333337</v>
      </c>
      <c r="I1148" s="2">
        <v>0.3125</v>
      </c>
      <c r="J1148" t="s">
        <v>464</v>
      </c>
      <c r="L1148" t="s">
        <v>464</v>
      </c>
      <c r="M1148" t="s">
        <v>2431</v>
      </c>
      <c r="N1148" t="s">
        <v>2432</v>
      </c>
      <c r="O1148">
        <v>21966</v>
      </c>
      <c r="Q1148" t="s">
        <v>1744</v>
      </c>
      <c r="R1148" t="s">
        <v>67</v>
      </c>
      <c r="S1148" t="s">
        <v>52</v>
      </c>
      <c r="U1148">
        <v>890718</v>
      </c>
      <c r="V1148" s="3">
        <v>46069.486111111109</v>
      </c>
      <c r="W1148" t="s">
        <v>2433</v>
      </c>
      <c r="X1148" t="s">
        <v>2434</v>
      </c>
      <c r="Y1148" t="str">
        <f>"0498795565"</f>
        <v>0498795565</v>
      </c>
      <c r="Z1148" t="s">
        <v>3484</v>
      </c>
      <c r="AB1148" t="s">
        <v>1468</v>
      </c>
      <c r="AD1148" t="s">
        <v>61</v>
      </c>
      <c r="AE1148" t="s">
        <v>1469</v>
      </c>
      <c r="AF1148">
        <v>2060</v>
      </c>
      <c r="AG1148" t="s">
        <v>2012</v>
      </c>
      <c r="AI1148" t="s">
        <v>59</v>
      </c>
      <c r="AL1148" t="s">
        <v>87</v>
      </c>
      <c r="AN1148" s="3">
        <v>46070.288888888892</v>
      </c>
      <c r="AO1148" t="s">
        <v>2433</v>
      </c>
    </row>
    <row r="1149" spans="1:41" x14ac:dyDescent="0.3">
      <c r="A1149" t="s">
        <v>61</v>
      </c>
      <c r="B1149" t="s">
        <v>1462</v>
      </c>
      <c r="C1149" t="s">
        <v>296</v>
      </c>
      <c r="D1149" t="s">
        <v>90</v>
      </c>
      <c r="E1149" s="1">
        <v>46069</v>
      </c>
      <c r="F1149" t="s">
        <v>569</v>
      </c>
      <c r="G1149" t="s">
        <v>485</v>
      </c>
      <c r="H1149" s="2">
        <v>0.89583333333333337</v>
      </c>
      <c r="I1149" s="2">
        <v>0.3125</v>
      </c>
      <c r="J1149" t="s">
        <v>296</v>
      </c>
      <c r="L1149" t="s">
        <v>47</v>
      </c>
      <c r="M1149" t="s">
        <v>2657</v>
      </c>
      <c r="N1149" t="s">
        <v>933</v>
      </c>
      <c r="O1149">
        <v>5952318</v>
      </c>
      <c r="Q1149" t="s">
        <v>1744</v>
      </c>
      <c r="R1149" t="s">
        <v>67</v>
      </c>
      <c r="S1149" t="s">
        <v>119</v>
      </c>
      <c r="T1149" t="s">
        <v>414</v>
      </c>
      <c r="U1149">
        <v>891614</v>
      </c>
      <c r="V1149" s="3">
        <v>46069.486111111109</v>
      </c>
      <c r="W1149" t="s">
        <v>2659</v>
      </c>
      <c r="X1149" t="s">
        <v>2660</v>
      </c>
      <c r="Y1149" t="str">
        <f>"1111111111"</f>
        <v>1111111111</v>
      </c>
      <c r="Z1149" t="s">
        <v>3485</v>
      </c>
      <c r="AB1149" t="s">
        <v>1468</v>
      </c>
      <c r="AD1149" t="s">
        <v>61</v>
      </c>
      <c r="AE1149" t="s">
        <v>1469</v>
      </c>
      <c r="AF1149">
        <v>2060</v>
      </c>
      <c r="AG1149" t="s">
        <v>2012</v>
      </c>
      <c r="AI1149" t="s">
        <v>59</v>
      </c>
      <c r="AL1149" t="s">
        <v>3486</v>
      </c>
      <c r="AN1149" s="3">
        <v>46069.526388888888</v>
      </c>
      <c r="AO1149" t="s">
        <v>132</v>
      </c>
    </row>
    <row r="1150" spans="1:41" x14ac:dyDescent="0.3">
      <c r="A1150" t="s">
        <v>306</v>
      </c>
      <c r="B1150" t="s">
        <v>3487</v>
      </c>
      <c r="C1150" t="s">
        <v>3488</v>
      </c>
      <c r="D1150" t="s">
        <v>184</v>
      </c>
      <c r="E1150" s="1">
        <v>46069</v>
      </c>
      <c r="F1150" t="s">
        <v>569</v>
      </c>
      <c r="G1150" t="s">
        <v>485</v>
      </c>
      <c r="H1150" s="2">
        <v>0.89583333333333337</v>
      </c>
      <c r="I1150" s="2">
        <v>0.3125</v>
      </c>
      <c r="J1150" t="s">
        <v>1314</v>
      </c>
      <c r="L1150" t="s">
        <v>1337</v>
      </c>
      <c r="M1150" t="s">
        <v>1338</v>
      </c>
      <c r="N1150" t="s">
        <v>1339</v>
      </c>
      <c r="O1150">
        <v>20818</v>
      </c>
      <c r="Q1150" t="s">
        <v>705</v>
      </c>
      <c r="R1150" t="s">
        <v>314</v>
      </c>
      <c r="S1150" t="s">
        <v>119</v>
      </c>
      <c r="T1150" t="s">
        <v>414</v>
      </c>
      <c r="U1150">
        <v>891444</v>
      </c>
      <c r="V1150" s="3">
        <v>46069.661805555559</v>
      </c>
      <c r="W1150" t="s">
        <v>1340</v>
      </c>
      <c r="X1150" t="s">
        <v>1341</v>
      </c>
      <c r="Y1150" t="str">
        <f>"0449240065"</f>
        <v>0449240065</v>
      </c>
      <c r="Z1150" t="s">
        <v>70</v>
      </c>
      <c r="AB1150" t="s">
        <v>3489</v>
      </c>
      <c r="AD1150" t="s">
        <v>306</v>
      </c>
      <c r="AE1150" t="s">
        <v>3490</v>
      </c>
      <c r="AF1150">
        <v>3132</v>
      </c>
      <c r="AI1150" t="s">
        <v>59</v>
      </c>
      <c r="AL1150" t="s">
        <v>2686</v>
      </c>
      <c r="AM1150" t="s">
        <v>3491</v>
      </c>
      <c r="AN1150" s="3">
        <v>46069.677083333336</v>
      </c>
      <c r="AO1150" t="s">
        <v>500</v>
      </c>
    </row>
    <row r="1151" spans="1:41" x14ac:dyDescent="0.3">
      <c r="A1151" t="s">
        <v>61</v>
      </c>
      <c r="B1151" t="s">
        <v>1462</v>
      </c>
      <c r="C1151" t="s">
        <v>296</v>
      </c>
      <c r="D1151" t="s">
        <v>90</v>
      </c>
      <c r="E1151" s="1">
        <v>46069</v>
      </c>
      <c r="F1151" t="s">
        <v>569</v>
      </c>
      <c r="G1151" t="s">
        <v>485</v>
      </c>
      <c r="H1151" s="2">
        <v>0.89583333333333337</v>
      </c>
      <c r="I1151" s="2">
        <v>0.3125</v>
      </c>
      <c r="J1151" t="s">
        <v>296</v>
      </c>
      <c r="L1151" t="s">
        <v>298</v>
      </c>
      <c r="M1151" t="s">
        <v>508</v>
      </c>
      <c r="N1151" t="s">
        <v>509</v>
      </c>
      <c r="O1151">
        <v>22014</v>
      </c>
      <c r="Q1151" t="s">
        <v>2012</v>
      </c>
      <c r="R1151" t="s">
        <v>67</v>
      </c>
      <c r="S1151" t="s">
        <v>52</v>
      </c>
      <c r="U1151">
        <v>890725</v>
      </c>
      <c r="V1151" s="3">
        <v>46069.599999999999</v>
      </c>
      <c r="W1151" t="s">
        <v>511</v>
      </c>
      <c r="X1151" t="s">
        <v>512</v>
      </c>
      <c r="Y1151" t="str">
        <f>"0430326260"</f>
        <v>0430326260</v>
      </c>
      <c r="Z1151" t="s">
        <v>70</v>
      </c>
      <c r="AA1151" s="1">
        <v>46069</v>
      </c>
      <c r="AB1151" t="s">
        <v>1468</v>
      </c>
      <c r="AD1151" t="s">
        <v>61</v>
      </c>
      <c r="AE1151" t="s">
        <v>1469</v>
      </c>
      <c r="AF1151">
        <v>2060</v>
      </c>
      <c r="AG1151" t="s">
        <v>2012</v>
      </c>
      <c r="AI1151" t="s">
        <v>59</v>
      </c>
      <c r="AL1151" t="s">
        <v>87</v>
      </c>
      <c r="AN1151" s="3">
        <v>46070.30972222222</v>
      </c>
      <c r="AO1151" t="s">
        <v>511</v>
      </c>
    </row>
    <row r="1152" spans="1:41" x14ac:dyDescent="0.3">
      <c r="A1152" t="s">
        <v>168</v>
      </c>
      <c r="B1152" t="s">
        <v>607</v>
      </c>
      <c r="C1152" t="s">
        <v>267</v>
      </c>
      <c r="D1152" t="s">
        <v>268</v>
      </c>
      <c r="E1152" s="1">
        <v>46069</v>
      </c>
      <c r="F1152" t="s">
        <v>569</v>
      </c>
      <c r="G1152" t="s">
        <v>45</v>
      </c>
      <c r="H1152" s="2">
        <v>0.91666666666666663</v>
      </c>
      <c r="I1152" s="2">
        <v>0.35416666666666669</v>
      </c>
      <c r="J1152" t="s">
        <v>269</v>
      </c>
      <c r="K1152" t="s">
        <v>608</v>
      </c>
      <c r="L1152" t="s">
        <v>609</v>
      </c>
      <c r="M1152" t="s">
        <v>610</v>
      </c>
      <c r="N1152" t="s">
        <v>611</v>
      </c>
      <c r="O1152">
        <v>5952121</v>
      </c>
      <c r="P1152" t="s">
        <v>249</v>
      </c>
      <c r="Q1152" t="s">
        <v>612</v>
      </c>
      <c r="R1152" t="s">
        <v>613</v>
      </c>
      <c r="S1152" t="s">
        <v>52</v>
      </c>
      <c r="T1152" t="s">
        <v>252</v>
      </c>
      <c r="U1152">
        <v>891455</v>
      </c>
      <c r="V1152" s="3">
        <v>46076.458333333336</v>
      </c>
      <c r="W1152" t="s">
        <v>613</v>
      </c>
      <c r="X1152" t="s">
        <v>614</v>
      </c>
      <c r="Y1152" t="str">
        <f>"0412297150"</f>
        <v>0412297150</v>
      </c>
      <c r="Z1152" t="s">
        <v>585</v>
      </c>
      <c r="AA1152" s="1">
        <v>46077</v>
      </c>
      <c r="AB1152" t="s">
        <v>615</v>
      </c>
      <c r="AC1152" t="s">
        <v>616</v>
      </c>
      <c r="AD1152" t="s">
        <v>168</v>
      </c>
      <c r="AE1152" t="s">
        <v>617</v>
      </c>
      <c r="AF1152">
        <v>5290</v>
      </c>
      <c r="AG1152" t="s">
        <v>618</v>
      </c>
      <c r="AI1152" t="s">
        <v>59</v>
      </c>
      <c r="AJ1152" t="str">
        <f>"0020171780"</f>
        <v>0020171780</v>
      </c>
      <c r="AM1152" t="s">
        <v>3492</v>
      </c>
      <c r="AN1152" s="3">
        <v>46076.458333333336</v>
      </c>
      <c r="AO1152" t="s">
        <v>613</v>
      </c>
    </row>
    <row r="1153" spans="1:41" x14ac:dyDescent="0.3">
      <c r="A1153" t="s">
        <v>41</v>
      </c>
      <c r="B1153" t="s">
        <v>1284</v>
      </c>
      <c r="C1153" t="s">
        <v>1285</v>
      </c>
      <c r="D1153" t="s">
        <v>1286</v>
      </c>
      <c r="E1153" s="1">
        <v>46069</v>
      </c>
      <c r="F1153" t="s">
        <v>569</v>
      </c>
      <c r="G1153" t="s">
        <v>485</v>
      </c>
      <c r="H1153" s="2">
        <v>0.9375</v>
      </c>
      <c r="I1153" s="2">
        <v>0.27083333333333331</v>
      </c>
      <c r="J1153" t="s">
        <v>3493</v>
      </c>
      <c r="L1153" t="s">
        <v>540</v>
      </c>
      <c r="M1153" t="s">
        <v>541</v>
      </c>
      <c r="N1153" t="s">
        <v>542</v>
      </c>
      <c r="O1153">
        <v>402297</v>
      </c>
      <c r="Q1153" t="s">
        <v>705</v>
      </c>
      <c r="R1153" t="s">
        <v>51</v>
      </c>
      <c r="S1153" t="s">
        <v>119</v>
      </c>
      <c r="T1153" t="s">
        <v>414</v>
      </c>
      <c r="U1153">
        <v>891450</v>
      </c>
      <c r="V1153" s="3">
        <v>46069.647916666669</v>
      </c>
      <c r="W1153" t="s">
        <v>543</v>
      </c>
      <c r="X1153" t="s">
        <v>544</v>
      </c>
      <c r="Y1153" t="str">
        <f>"0434044099"</f>
        <v>0434044099</v>
      </c>
      <c r="Z1153" t="s">
        <v>70</v>
      </c>
      <c r="AA1153" s="1">
        <v>46069</v>
      </c>
      <c r="AB1153" t="s">
        <v>1288</v>
      </c>
      <c r="AD1153" t="s">
        <v>41</v>
      </c>
      <c r="AE1153" t="s">
        <v>150</v>
      </c>
      <c r="AF1153">
        <v>4000</v>
      </c>
      <c r="AI1153" t="s">
        <v>59</v>
      </c>
      <c r="AM1153" t="s">
        <v>3494</v>
      </c>
      <c r="AN1153" s="3">
        <v>46069.648611111108</v>
      </c>
      <c r="AO1153" t="s">
        <v>1472</v>
      </c>
    </row>
    <row r="1154" spans="1:41" x14ac:dyDescent="0.3">
      <c r="A1154" t="s">
        <v>41</v>
      </c>
      <c r="B1154" t="s">
        <v>632</v>
      </c>
      <c r="C1154" t="s">
        <v>296</v>
      </c>
      <c r="D1154" t="s">
        <v>246</v>
      </c>
      <c r="E1154" s="1">
        <v>46069</v>
      </c>
      <c r="F1154" t="s">
        <v>569</v>
      </c>
      <c r="G1154" t="s">
        <v>485</v>
      </c>
      <c r="H1154" s="2">
        <v>0.9375</v>
      </c>
      <c r="I1154" s="2">
        <v>0.29166666666666669</v>
      </c>
      <c r="J1154" t="s">
        <v>464</v>
      </c>
      <c r="K1154" t="s">
        <v>2096</v>
      </c>
      <c r="L1154" t="s">
        <v>540</v>
      </c>
      <c r="M1154" t="s">
        <v>1365</v>
      </c>
      <c r="N1154" t="s">
        <v>1366</v>
      </c>
      <c r="O1154">
        <v>5952403</v>
      </c>
      <c r="Q1154" t="s">
        <v>2976</v>
      </c>
      <c r="R1154" t="s">
        <v>51</v>
      </c>
      <c r="S1154" t="s">
        <v>52</v>
      </c>
      <c r="U1154">
        <v>890727</v>
      </c>
      <c r="V1154" s="3">
        <v>46063.561805555553</v>
      </c>
      <c r="W1154" t="s">
        <v>1368</v>
      </c>
      <c r="X1154" t="s">
        <v>1369</v>
      </c>
      <c r="Y1154" t="str">
        <f>"0426350044"</f>
        <v>0426350044</v>
      </c>
      <c r="Z1154" t="s">
        <v>1201</v>
      </c>
      <c r="AB1154" t="s">
        <v>640</v>
      </c>
      <c r="AD1154" t="s">
        <v>41</v>
      </c>
      <c r="AE1154" t="s">
        <v>641</v>
      </c>
      <c r="AF1154">
        <v>4305</v>
      </c>
      <c r="AG1154" t="s">
        <v>2098</v>
      </c>
      <c r="AI1154" t="s">
        <v>59</v>
      </c>
      <c r="AL1154" t="s">
        <v>1407</v>
      </c>
      <c r="AN1154" s="3">
        <v>46070.32916666667</v>
      </c>
      <c r="AO1154" t="s">
        <v>1368</v>
      </c>
    </row>
    <row r="1155" spans="1:41" x14ac:dyDescent="0.3">
      <c r="A1155" t="s">
        <v>41</v>
      </c>
      <c r="B1155" t="s">
        <v>589</v>
      </c>
      <c r="C1155" t="s">
        <v>590</v>
      </c>
      <c r="D1155" t="s">
        <v>246</v>
      </c>
      <c r="E1155" s="1">
        <v>46069</v>
      </c>
      <c r="F1155" t="s">
        <v>569</v>
      </c>
      <c r="G1155" t="s">
        <v>45</v>
      </c>
      <c r="H1155" s="2">
        <v>0.94791666666666663</v>
      </c>
      <c r="I1155" s="2">
        <v>0.30208333333333331</v>
      </c>
      <c r="J1155" t="s">
        <v>591</v>
      </c>
      <c r="L1155" t="s">
        <v>592</v>
      </c>
      <c r="M1155" t="s">
        <v>593</v>
      </c>
      <c r="N1155" t="s">
        <v>594</v>
      </c>
      <c r="O1155">
        <v>5952427</v>
      </c>
      <c r="P1155" t="s">
        <v>249</v>
      </c>
      <c r="Q1155" t="s">
        <v>596</v>
      </c>
      <c r="R1155" t="s">
        <v>597</v>
      </c>
      <c r="S1155" t="s">
        <v>52</v>
      </c>
      <c r="T1155" t="s">
        <v>252</v>
      </c>
      <c r="U1155">
        <v>891430</v>
      </c>
      <c r="V1155" s="3">
        <v>46076.399305555555</v>
      </c>
      <c r="W1155" t="s">
        <v>597</v>
      </c>
      <c r="X1155" t="s">
        <v>598</v>
      </c>
      <c r="Y1155" t="str">
        <f>"0432677728"</f>
        <v>0432677728</v>
      </c>
      <c r="Z1155" t="s">
        <v>585</v>
      </c>
      <c r="AA1155" s="1">
        <v>46082</v>
      </c>
      <c r="AB1155" t="s">
        <v>599</v>
      </c>
      <c r="AC1155" t="s">
        <v>600</v>
      </c>
      <c r="AD1155" t="s">
        <v>41</v>
      </c>
      <c r="AE1155" t="s">
        <v>600</v>
      </c>
      <c r="AF1155">
        <v>4610</v>
      </c>
      <c r="AG1155" t="s">
        <v>3495</v>
      </c>
      <c r="AI1155" t="s">
        <v>59</v>
      </c>
      <c r="AJ1155" t="str">
        <f>"0050075752"</f>
        <v>0050075752</v>
      </c>
      <c r="AN1155" s="3">
        <v>46076.399305555555</v>
      </c>
      <c r="AO1155" t="s">
        <v>597</v>
      </c>
    </row>
    <row r="1156" spans="1:41" x14ac:dyDescent="0.3">
      <c r="A1156" t="s">
        <v>41</v>
      </c>
      <c r="B1156" t="s">
        <v>2102</v>
      </c>
      <c r="C1156" t="s">
        <v>3233</v>
      </c>
      <c r="D1156" t="s">
        <v>1286</v>
      </c>
      <c r="E1156" s="1">
        <v>46069</v>
      </c>
      <c r="F1156" t="s">
        <v>569</v>
      </c>
      <c r="G1156" t="s">
        <v>485</v>
      </c>
      <c r="H1156" s="2">
        <v>0.94791666666666663</v>
      </c>
      <c r="I1156" s="2">
        <v>0.3125</v>
      </c>
      <c r="J1156" t="s">
        <v>296</v>
      </c>
      <c r="L1156" t="s">
        <v>428</v>
      </c>
      <c r="M1156" t="s">
        <v>554</v>
      </c>
      <c r="N1156" t="s">
        <v>555</v>
      </c>
      <c r="O1156">
        <v>5950685</v>
      </c>
      <c r="Q1156" t="s">
        <v>98</v>
      </c>
      <c r="R1156" t="s">
        <v>1248</v>
      </c>
      <c r="S1156" t="s">
        <v>52</v>
      </c>
      <c r="U1156">
        <v>890737</v>
      </c>
      <c r="V1156" s="3">
        <v>46069.865972222222</v>
      </c>
      <c r="W1156" t="s">
        <v>557</v>
      </c>
      <c r="X1156" t="s">
        <v>558</v>
      </c>
      <c r="Y1156" t="str">
        <f>"0431966228"</f>
        <v>0431966228</v>
      </c>
      <c r="Z1156" t="s">
        <v>70</v>
      </c>
      <c r="AA1156" s="1">
        <v>46069</v>
      </c>
      <c r="AB1156" t="s">
        <v>2107</v>
      </c>
      <c r="AD1156" t="s">
        <v>41</v>
      </c>
      <c r="AE1156" t="s">
        <v>2108</v>
      </c>
      <c r="AF1156">
        <v>4066</v>
      </c>
      <c r="AG1156" t="s">
        <v>98</v>
      </c>
      <c r="AI1156" t="s">
        <v>59</v>
      </c>
      <c r="AL1156" t="s">
        <v>87</v>
      </c>
      <c r="AN1156" s="3">
        <v>46070.354861111111</v>
      </c>
      <c r="AO1156" t="s">
        <v>557</v>
      </c>
    </row>
    <row r="1157" spans="1:41" x14ac:dyDescent="0.3">
      <c r="A1157" t="s">
        <v>168</v>
      </c>
      <c r="B1157" t="s">
        <v>689</v>
      </c>
      <c r="C1157" t="s">
        <v>43</v>
      </c>
      <c r="D1157" t="s">
        <v>268</v>
      </c>
      <c r="E1157" s="1">
        <v>46039</v>
      </c>
      <c r="F1157" t="s">
        <v>1374</v>
      </c>
      <c r="G1157" t="s">
        <v>45</v>
      </c>
      <c r="H1157" s="2">
        <v>0.25</v>
      </c>
      <c r="I1157" s="2">
        <v>0.25347222222222221</v>
      </c>
      <c r="J1157" t="s">
        <v>100</v>
      </c>
      <c r="L1157" t="s">
        <v>100</v>
      </c>
      <c r="M1157" t="s">
        <v>402</v>
      </c>
      <c r="N1157" t="s">
        <v>403</v>
      </c>
      <c r="O1157">
        <v>21398</v>
      </c>
      <c r="P1157" t="s">
        <v>249</v>
      </c>
      <c r="Q1157" t="s">
        <v>2110</v>
      </c>
      <c r="R1157" t="s">
        <v>405</v>
      </c>
      <c r="S1157" t="s">
        <v>52</v>
      </c>
      <c r="T1157" t="s">
        <v>252</v>
      </c>
      <c r="U1157">
        <v>887502</v>
      </c>
      <c r="V1157" s="3">
        <v>46041.409722222219</v>
      </c>
      <c r="W1157" t="s">
        <v>405</v>
      </c>
      <c r="X1157" t="s">
        <v>406</v>
      </c>
      <c r="Y1157" t="str">
        <f>"0423877972"</f>
        <v>0423877972</v>
      </c>
      <c r="Z1157" t="s">
        <v>70</v>
      </c>
      <c r="AA1157" s="1">
        <v>46075</v>
      </c>
      <c r="AB1157" t="s">
        <v>695</v>
      </c>
      <c r="AD1157" t="s">
        <v>168</v>
      </c>
      <c r="AE1157" t="s">
        <v>696</v>
      </c>
      <c r="AF1157">
        <v>5606</v>
      </c>
      <c r="AG1157" t="s">
        <v>3496</v>
      </c>
      <c r="AI1157" t="s">
        <v>59</v>
      </c>
      <c r="AJ1157" t="str">
        <f>"0020185674"</f>
        <v>0020185674</v>
      </c>
      <c r="AN1157" s="3">
        <v>46041.409722222219</v>
      </c>
      <c r="AO1157" t="s">
        <v>405</v>
      </c>
    </row>
    <row r="1158" spans="1:41" x14ac:dyDescent="0.3">
      <c r="A1158" t="s">
        <v>41</v>
      </c>
      <c r="B1158" t="s">
        <v>568</v>
      </c>
      <c r="C1158" t="s">
        <v>602</v>
      </c>
      <c r="D1158" t="s">
        <v>246</v>
      </c>
      <c r="E1158" s="1">
        <v>46039</v>
      </c>
      <c r="F1158" t="s">
        <v>1374</v>
      </c>
      <c r="G1158" t="s">
        <v>45</v>
      </c>
      <c r="H1158" s="2">
        <v>0.29166666666666669</v>
      </c>
      <c r="I1158" s="2">
        <v>0.64583333333333337</v>
      </c>
      <c r="J1158" t="s">
        <v>269</v>
      </c>
      <c r="L1158" t="s">
        <v>47</v>
      </c>
      <c r="M1158" t="s">
        <v>603</v>
      </c>
      <c r="N1158" t="s">
        <v>604</v>
      </c>
      <c r="O1158">
        <v>80</v>
      </c>
      <c r="P1158" t="s">
        <v>571</v>
      </c>
      <c r="Q1158" t="s">
        <v>572</v>
      </c>
      <c r="R1158" t="s">
        <v>573</v>
      </c>
      <c r="S1158" t="s">
        <v>52</v>
      </c>
      <c r="T1158" t="s">
        <v>252</v>
      </c>
      <c r="U1158">
        <v>887521</v>
      </c>
      <c r="V1158" s="3">
        <v>46041.507638888892</v>
      </c>
      <c r="W1158" t="s">
        <v>605</v>
      </c>
      <c r="X1158" t="s">
        <v>606</v>
      </c>
      <c r="Y1158" t="str">
        <f>"0414330986"</f>
        <v>0414330986</v>
      </c>
      <c r="Z1158" t="s">
        <v>290</v>
      </c>
      <c r="AA1158" s="1">
        <v>46068</v>
      </c>
      <c r="AB1158" t="s">
        <v>576</v>
      </c>
      <c r="AD1158" t="s">
        <v>41</v>
      </c>
      <c r="AE1158" t="s">
        <v>577</v>
      </c>
      <c r="AF1158">
        <v>4700</v>
      </c>
      <c r="AG1158" t="s">
        <v>572</v>
      </c>
      <c r="AI1158" t="s">
        <v>59</v>
      </c>
      <c r="AJ1158" t="str">
        <f>"0050075176"</f>
        <v>0050075176</v>
      </c>
      <c r="AN1158" s="3">
        <v>46041.507638888892</v>
      </c>
      <c r="AO1158" t="s">
        <v>573</v>
      </c>
    </row>
    <row r="1159" spans="1:41" x14ac:dyDescent="0.3">
      <c r="A1159" t="s">
        <v>61</v>
      </c>
      <c r="B1159" t="s">
        <v>578</v>
      </c>
      <c r="D1159" t="s">
        <v>579</v>
      </c>
      <c r="E1159" s="1">
        <v>46039</v>
      </c>
      <c r="F1159" t="s">
        <v>1374</v>
      </c>
      <c r="G1159" t="s">
        <v>485</v>
      </c>
      <c r="H1159" s="2">
        <v>0.875</v>
      </c>
      <c r="I1159" s="2">
        <v>0.3125</v>
      </c>
      <c r="J1159" t="s">
        <v>269</v>
      </c>
      <c r="L1159" t="s">
        <v>172</v>
      </c>
      <c r="M1159" t="s">
        <v>580</v>
      </c>
      <c r="N1159" t="s">
        <v>581</v>
      </c>
      <c r="O1159">
        <v>5951721</v>
      </c>
      <c r="P1159" t="s">
        <v>571</v>
      </c>
      <c r="Q1159" t="s">
        <v>582</v>
      </c>
      <c r="R1159" t="s">
        <v>573</v>
      </c>
      <c r="S1159" t="s">
        <v>52</v>
      </c>
      <c r="T1159" t="s">
        <v>252</v>
      </c>
      <c r="U1159">
        <v>887536</v>
      </c>
      <c r="V1159" s="3">
        <v>46041.567361111112</v>
      </c>
      <c r="W1159" t="s">
        <v>583</v>
      </c>
      <c r="X1159" t="s">
        <v>584</v>
      </c>
      <c r="Y1159" t="str">
        <f>"0456677559"</f>
        <v>0456677559</v>
      </c>
      <c r="Z1159" t="s">
        <v>375</v>
      </c>
      <c r="AA1159" s="1">
        <v>46061</v>
      </c>
      <c r="AB1159" t="s">
        <v>586</v>
      </c>
      <c r="AD1159" t="s">
        <v>61</v>
      </c>
      <c r="AE1159" t="s">
        <v>587</v>
      </c>
      <c r="AF1159">
        <v>2320</v>
      </c>
      <c r="AG1159" t="s">
        <v>588</v>
      </c>
      <c r="AI1159" t="s">
        <v>59</v>
      </c>
      <c r="AJ1159" t="str">
        <f>"0010193654"</f>
        <v>0010193654</v>
      </c>
      <c r="AN1159" s="3">
        <v>46041.567361111112</v>
      </c>
      <c r="AO1159" t="s">
        <v>573</v>
      </c>
    </row>
    <row r="1160" spans="1:41" x14ac:dyDescent="0.3">
      <c r="A1160" t="s">
        <v>41</v>
      </c>
      <c r="B1160" t="s">
        <v>568</v>
      </c>
      <c r="D1160" t="s">
        <v>246</v>
      </c>
      <c r="E1160" s="1">
        <v>46039</v>
      </c>
      <c r="F1160" t="s">
        <v>1374</v>
      </c>
      <c r="G1160" t="s">
        <v>485</v>
      </c>
      <c r="H1160" s="2">
        <v>0.94791666666666663</v>
      </c>
      <c r="I1160" s="2">
        <v>0.30208333333333331</v>
      </c>
      <c r="J1160" t="s">
        <v>269</v>
      </c>
      <c r="L1160" t="s">
        <v>172</v>
      </c>
      <c r="M1160" t="s">
        <v>311</v>
      </c>
      <c r="N1160" t="s">
        <v>570</v>
      </c>
      <c r="O1160">
        <v>5951685</v>
      </c>
      <c r="P1160" t="s">
        <v>571</v>
      </c>
      <c r="Q1160" t="s">
        <v>572</v>
      </c>
      <c r="R1160" t="s">
        <v>573</v>
      </c>
      <c r="S1160" t="s">
        <v>52</v>
      </c>
      <c r="T1160" t="s">
        <v>252</v>
      </c>
      <c r="U1160">
        <v>887546</v>
      </c>
      <c r="V1160" s="3">
        <v>46041.582638888889</v>
      </c>
      <c r="W1160" t="s">
        <v>574</v>
      </c>
      <c r="X1160" t="s">
        <v>575</v>
      </c>
      <c r="Y1160" t="str">
        <f>"0407007024"</f>
        <v>0407007024</v>
      </c>
      <c r="Z1160" t="s">
        <v>1375</v>
      </c>
      <c r="AA1160" s="1">
        <v>46075</v>
      </c>
      <c r="AB1160" t="s">
        <v>576</v>
      </c>
      <c r="AD1160" t="s">
        <v>41</v>
      </c>
      <c r="AE1160" t="s">
        <v>577</v>
      </c>
      <c r="AF1160">
        <v>4700</v>
      </c>
      <c r="AG1160" t="s">
        <v>572</v>
      </c>
      <c r="AI1160" t="s">
        <v>59</v>
      </c>
      <c r="AJ1160" t="str">
        <f>"0050076113"</f>
        <v>0050076113</v>
      </c>
      <c r="AN1160" s="3">
        <v>46041.582638888889</v>
      </c>
      <c r="AO1160" t="s">
        <v>573</v>
      </c>
    </row>
    <row r="1161" spans="1:41" x14ac:dyDescent="0.3">
      <c r="A1161" t="s">
        <v>41</v>
      </c>
      <c r="B1161" t="s">
        <v>589</v>
      </c>
      <c r="C1161" t="s">
        <v>590</v>
      </c>
      <c r="D1161" t="s">
        <v>246</v>
      </c>
      <c r="E1161" s="1">
        <v>46039</v>
      </c>
      <c r="F1161" t="s">
        <v>1374</v>
      </c>
      <c r="G1161" t="s">
        <v>485</v>
      </c>
      <c r="H1161" s="2">
        <v>0.94791666666666663</v>
      </c>
      <c r="I1161" s="2">
        <v>0.30208333333333331</v>
      </c>
      <c r="J1161" t="s">
        <v>591</v>
      </c>
      <c r="L1161" t="s">
        <v>592</v>
      </c>
      <c r="M1161" t="s">
        <v>593</v>
      </c>
      <c r="N1161" t="s">
        <v>594</v>
      </c>
      <c r="O1161">
        <v>5952427</v>
      </c>
      <c r="P1161" t="s">
        <v>595</v>
      </c>
      <c r="Q1161" t="s">
        <v>596</v>
      </c>
      <c r="R1161" t="s">
        <v>392</v>
      </c>
      <c r="S1161" t="s">
        <v>52</v>
      </c>
      <c r="T1161" t="s">
        <v>252</v>
      </c>
      <c r="U1161">
        <v>887513</v>
      </c>
      <c r="V1161" s="3">
        <v>46041.462500000001</v>
      </c>
      <c r="W1161" t="s">
        <v>597</v>
      </c>
      <c r="X1161" t="s">
        <v>598</v>
      </c>
      <c r="Y1161" t="str">
        <f>"0432677728"</f>
        <v>0432677728</v>
      </c>
      <c r="Z1161" t="s">
        <v>290</v>
      </c>
      <c r="AA1161" s="1">
        <v>46054</v>
      </c>
      <c r="AB1161" t="s">
        <v>599</v>
      </c>
      <c r="AC1161" t="s">
        <v>600</v>
      </c>
      <c r="AD1161" t="s">
        <v>41</v>
      </c>
      <c r="AE1161" t="s">
        <v>600</v>
      </c>
      <c r="AF1161">
        <v>4610</v>
      </c>
      <c r="AG1161" t="s">
        <v>601</v>
      </c>
      <c r="AI1161" t="s">
        <v>59</v>
      </c>
      <c r="AJ1161" t="str">
        <f>"0050075752"</f>
        <v>0050075752</v>
      </c>
      <c r="AN1161" s="3">
        <v>46041.462500000001</v>
      </c>
      <c r="AO1161" t="s">
        <v>392</v>
      </c>
    </row>
    <row r="1162" spans="1:41" x14ac:dyDescent="0.3">
      <c r="A1162" t="s">
        <v>168</v>
      </c>
      <c r="B1162" t="s">
        <v>441</v>
      </c>
      <c r="C1162" t="s">
        <v>101</v>
      </c>
      <c r="E1162" s="1">
        <v>46070</v>
      </c>
      <c r="F1162" t="s">
        <v>1376</v>
      </c>
      <c r="G1162" t="s">
        <v>45</v>
      </c>
      <c r="H1162" s="2">
        <v>0.27083333333333331</v>
      </c>
      <c r="I1162" s="2">
        <v>0.58333333333333337</v>
      </c>
      <c r="J1162" t="s">
        <v>101</v>
      </c>
      <c r="L1162" t="s">
        <v>2647</v>
      </c>
      <c r="M1162" t="s">
        <v>2648</v>
      </c>
      <c r="N1162" t="s">
        <v>2649</v>
      </c>
      <c r="O1162">
        <v>22802</v>
      </c>
      <c r="Q1162" t="s">
        <v>944</v>
      </c>
      <c r="R1162" t="s">
        <v>556</v>
      </c>
      <c r="S1162" t="s">
        <v>52</v>
      </c>
      <c r="U1162">
        <v>890768</v>
      </c>
      <c r="V1162" s="3">
        <v>46050.943749999999</v>
      </c>
      <c r="W1162" t="s">
        <v>2650</v>
      </c>
      <c r="X1162" t="s">
        <v>2651</v>
      </c>
      <c r="Y1162" t="str">
        <f>"0435434133"</f>
        <v>0435434133</v>
      </c>
      <c r="Z1162" t="s">
        <v>70</v>
      </c>
      <c r="AB1162" t="s">
        <v>448</v>
      </c>
      <c r="AD1162" t="s">
        <v>168</v>
      </c>
      <c r="AE1162" t="s">
        <v>180</v>
      </c>
      <c r="AF1162">
        <v>5063</v>
      </c>
      <c r="AG1162" t="s">
        <v>944</v>
      </c>
      <c r="AI1162" t="s">
        <v>59</v>
      </c>
      <c r="AL1162" t="s">
        <v>1121</v>
      </c>
      <c r="AN1162" s="3">
        <v>46070.59652777778</v>
      </c>
      <c r="AO1162" t="s">
        <v>2650</v>
      </c>
    </row>
    <row r="1163" spans="1:41" x14ac:dyDescent="0.3">
      <c r="A1163" t="s">
        <v>168</v>
      </c>
      <c r="B1163" t="s">
        <v>376</v>
      </c>
      <c r="D1163" t="s">
        <v>1386</v>
      </c>
      <c r="E1163" s="1">
        <v>46070</v>
      </c>
      <c r="F1163" t="s">
        <v>1376</v>
      </c>
      <c r="G1163" t="s">
        <v>45</v>
      </c>
      <c r="H1163" s="2">
        <v>0.27083333333333331</v>
      </c>
      <c r="I1163" s="2">
        <v>0.60416666666666663</v>
      </c>
      <c r="J1163" t="s">
        <v>101</v>
      </c>
      <c r="L1163" t="s">
        <v>159</v>
      </c>
      <c r="M1163" t="s">
        <v>1387</v>
      </c>
      <c r="N1163" t="s">
        <v>1388</v>
      </c>
      <c r="O1163">
        <v>22824</v>
      </c>
      <c r="Q1163" t="s">
        <v>1389</v>
      </c>
      <c r="R1163" t="s">
        <v>1390</v>
      </c>
      <c r="S1163" t="s">
        <v>52</v>
      </c>
      <c r="U1163">
        <v>890764</v>
      </c>
      <c r="V1163" s="3">
        <v>46050.572222222225</v>
      </c>
      <c r="W1163" t="s">
        <v>1391</v>
      </c>
      <c r="X1163" t="s">
        <v>1392</v>
      </c>
      <c r="Y1163" t="str">
        <f>"0435935699"</f>
        <v>0435935699</v>
      </c>
      <c r="Z1163" t="s">
        <v>70</v>
      </c>
      <c r="AA1163" s="1">
        <v>46070</v>
      </c>
      <c r="AB1163" t="s">
        <v>383</v>
      </c>
      <c r="AD1163" t="s">
        <v>168</v>
      </c>
      <c r="AE1163" t="s">
        <v>384</v>
      </c>
      <c r="AF1163">
        <v>5000</v>
      </c>
      <c r="AI1163" t="s">
        <v>59</v>
      </c>
      <c r="AL1163" t="s">
        <v>3497</v>
      </c>
      <c r="AM1163" t="s">
        <v>1394</v>
      </c>
      <c r="AN1163" s="3">
        <v>46070.573611111111</v>
      </c>
      <c r="AO1163" t="s">
        <v>1391</v>
      </c>
    </row>
    <row r="1164" spans="1:41" x14ac:dyDescent="0.3">
      <c r="A1164" t="s">
        <v>168</v>
      </c>
      <c r="B1164" t="s">
        <v>376</v>
      </c>
      <c r="C1164" t="s">
        <v>43</v>
      </c>
      <c r="D1164" t="s">
        <v>127</v>
      </c>
      <c r="E1164" s="1">
        <v>46070</v>
      </c>
      <c r="F1164" t="s">
        <v>1376</v>
      </c>
      <c r="G1164" t="s">
        <v>45</v>
      </c>
      <c r="H1164" s="2">
        <v>0.27083333333333331</v>
      </c>
      <c r="I1164" s="2">
        <v>0.54166666666666663</v>
      </c>
      <c r="J1164" t="s">
        <v>185</v>
      </c>
      <c r="K1164" t="s">
        <v>678</v>
      </c>
      <c r="L1164" t="s">
        <v>186</v>
      </c>
      <c r="M1164" t="s">
        <v>867</v>
      </c>
      <c r="N1164" t="s">
        <v>868</v>
      </c>
      <c r="O1164">
        <v>5951869</v>
      </c>
      <c r="Q1164" t="s">
        <v>670</v>
      </c>
      <c r="R1164" t="s">
        <v>231</v>
      </c>
      <c r="S1164" t="s">
        <v>52</v>
      </c>
      <c r="U1164">
        <v>890770</v>
      </c>
      <c r="V1164" s="3">
        <v>46044.380555555559</v>
      </c>
      <c r="W1164" t="s">
        <v>870</v>
      </c>
      <c r="X1164" t="s">
        <v>871</v>
      </c>
      <c r="Y1164" t="str">
        <f>"0435211342"</f>
        <v>0435211342</v>
      </c>
      <c r="Z1164" t="s">
        <v>2548</v>
      </c>
      <c r="AB1164" t="s">
        <v>383</v>
      </c>
      <c r="AD1164" t="s">
        <v>168</v>
      </c>
      <c r="AE1164" t="s">
        <v>384</v>
      </c>
      <c r="AF1164">
        <v>5000</v>
      </c>
      <c r="AG1164" t="s">
        <v>2997</v>
      </c>
      <c r="AI1164" t="s">
        <v>59</v>
      </c>
      <c r="AL1164" t="s">
        <v>1534</v>
      </c>
      <c r="AM1164" t="s">
        <v>3498</v>
      </c>
      <c r="AN1164" s="3">
        <v>46070.599305555559</v>
      </c>
      <c r="AO1164" t="s">
        <v>870</v>
      </c>
    </row>
    <row r="1165" spans="1:41" x14ac:dyDescent="0.3">
      <c r="A1165" t="s">
        <v>168</v>
      </c>
      <c r="B1165" t="s">
        <v>215</v>
      </c>
      <c r="C1165" t="s">
        <v>43</v>
      </c>
      <c r="D1165" t="s">
        <v>127</v>
      </c>
      <c r="E1165" s="1">
        <v>46070</v>
      </c>
      <c r="F1165" t="s">
        <v>1376</v>
      </c>
      <c r="G1165" t="s">
        <v>45</v>
      </c>
      <c r="H1165" s="2">
        <v>0.27083333333333331</v>
      </c>
      <c r="I1165" s="2">
        <v>0.58333333333333337</v>
      </c>
      <c r="J1165" t="s">
        <v>258</v>
      </c>
      <c r="K1165" t="s">
        <v>259</v>
      </c>
      <c r="L1165" t="s">
        <v>186</v>
      </c>
      <c r="M1165" t="s">
        <v>798</v>
      </c>
      <c r="N1165" t="s">
        <v>799</v>
      </c>
      <c r="O1165">
        <v>20875</v>
      </c>
      <c r="Q1165" t="s">
        <v>219</v>
      </c>
      <c r="R1165" t="s">
        <v>556</v>
      </c>
      <c r="S1165" t="s">
        <v>52</v>
      </c>
      <c r="U1165">
        <v>890769</v>
      </c>
      <c r="V1165" s="3">
        <v>46057.045138888891</v>
      </c>
      <c r="W1165" t="s">
        <v>800</v>
      </c>
      <c r="X1165" t="s">
        <v>801</v>
      </c>
      <c r="Y1165" t="str">
        <f>"0417001267"</f>
        <v>0417001267</v>
      </c>
      <c r="Z1165" t="s">
        <v>70</v>
      </c>
      <c r="AA1165" s="1">
        <v>46070</v>
      </c>
      <c r="AB1165" t="s">
        <v>222</v>
      </c>
      <c r="AD1165" t="s">
        <v>168</v>
      </c>
      <c r="AE1165" t="s">
        <v>223</v>
      </c>
      <c r="AF1165">
        <v>5069</v>
      </c>
      <c r="AG1165" t="s">
        <v>219</v>
      </c>
      <c r="AI1165" t="s">
        <v>59</v>
      </c>
      <c r="AL1165" t="s">
        <v>1121</v>
      </c>
      <c r="AN1165" s="3">
        <v>46070.599305555559</v>
      </c>
      <c r="AO1165" t="s">
        <v>800</v>
      </c>
    </row>
    <row r="1166" spans="1:41" x14ac:dyDescent="0.3">
      <c r="A1166" t="s">
        <v>168</v>
      </c>
      <c r="B1166" t="s">
        <v>215</v>
      </c>
      <c r="C1166" t="s">
        <v>43</v>
      </c>
      <c r="D1166" t="s">
        <v>127</v>
      </c>
      <c r="E1166" s="1">
        <v>46070</v>
      </c>
      <c r="F1166" t="s">
        <v>1376</v>
      </c>
      <c r="G1166" t="s">
        <v>45</v>
      </c>
      <c r="H1166" s="2">
        <v>0.27083333333333331</v>
      </c>
      <c r="I1166" s="2">
        <v>0.58333333333333337</v>
      </c>
      <c r="J1166" t="s">
        <v>1011</v>
      </c>
      <c r="K1166" t="s">
        <v>1012</v>
      </c>
      <c r="L1166" t="s">
        <v>186</v>
      </c>
      <c r="M1166" t="s">
        <v>651</v>
      </c>
      <c r="N1166" t="s">
        <v>412</v>
      </c>
      <c r="O1166">
        <v>21855</v>
      </c>
      <c r="Q1166" t="s">
        <v>219</v>
      </c>
      <c r="R1166" t="s">
        <v>556</v>
      </c>
      <c r="S1166" t="s">
        <v>52</v>
      </c>
      <c r="U1166">
        <v>890765</v>
      </c>
      <c r="V1166" s="3">
        <v>46057.046527777777</v>
      </c>
      <c r="W1166" t="s">
        <v>652</v>
      </c>
      <c r="X1166" t="s">
        <v>653</v>
      </c>
      <c r="Y1166" t="str">
        <f>"0407317111"</f>
        <v>0407317111</v>
      </c>
      <c r="Z1166" t="s">
        <v>70</v>
      </c>
      <c r="AA1166" s="1">
        <v>46070</v>
      </c>
      <c r="AB1166" t="s">
        <v>222</v>
      </c>
      <c r="AD1166" t="s">
        <v>168</v>
      </c>
      <c r="AE1166" t="s">
        <v>223</v>
      </c>
      <c r="AF1166">
        <v>5069</v>
      </c>
      <c r="AG1166" t="s">
        <v>219</v>
      </c>
      <c r="AI1166" t="s">
        <v>59</v>
      </c>
      <c r="AL1166" t="s">
        <v>1121</v>
      </c>
      <c r="AN1166" s="3">
        <v>46070.57916666667</v>
      </c>
      <c r="AO1166" t="s">
        <v>652</v>
      </c>
    </row>
    <row r="1167" spans="1:41" x14ac:dyDescent="0.3">
      <c r="A1167" t="s">
        <v>41</v>
      </c>
      <c r="B1167" t="s">
        <v>2143</v>
      </c>
      <c r="C1167" t="s">
        <v>2144</v>
      </c>
      <c r="D1167" t="s">
        <v>63</v>
      </c>
      <c r="E1167" s="1">
        <v>46070</v>
      </c>
      <c r="F1167" t="s">
        <v>1376</v>
      </c>
      <c r="G1167" t="s">
        <v>45</v>
      </c>
      <c r="H1167" s="2">
        <v>0.29166666666666669</v>
      </c>
      <c r="I1167" s="2">
        <v>0.625</v>
      </c>
      <c r="J1167" t="s">
        <v>3499</v>
      </c>
      <c r="K1167" t="s">
        <v>553</v>
      </c>
      <c r="L1167" t="s">
        <v>633</v>
      </c>
      <c r="M1167" t="s">
        <v>2145</v>
      </c>
      <c r="N1167" t="s">
        <v>2146</v>
      </c>
      <c r="O1167">
        <v>402527</v>
      </c>
      <c r="Q1167" t="s">
        <v>1472</v>
      </c>
      <c r="R1167" t="s">
        <v>500</v>
      </c>
      <c r="S1167" t="s">
        <v>52</v>
      </c>
      <c r="U1167">
        <v>890782</v>
      </c>
      <c r="V1167" s="3">
        <v>46069.897222222222</v>
      </c>
      <c r="W1167" t="s">
        <v>2148</v>
      </c>
      <c r="X1167" t="s">
        <v>2149</v>
      </c>
      <c r="Y1167" t="str">
        <f>"0401597129"</f>
        <v>0401597129</v>
      </c>
      <c r="Z1167" t="s">
        <v>70</v>
      </c>
      <c r="AA1167" s="1">
        <v>46070</v>
      </c>
      <c r="AB1167" t="s">
        <v>2150</v>
      </c>
      <c r="AD1167" t="s">
        <v>41</v>
      </c>
      <c r="AE1167" t="s">
        <v>2151</v>
      </c>
      <c r="AF1167">
        <v>4500</v>
      </c>
      <c r="AG1167" t="s">
        <v>1472</v>
      </c>
      <c r="AI1167" t="s">
        <v>59</v>
      </c>
      <c r="AL1167" t="s">
        <v>87</v>
      </c>
      <c r="AN1167" s="3">
        <v>46070.668055555558</v>
      </c>
      <c r="AO1167" t="s">
        <v>2148</v>
      </c>
    </row>
    <row r="1168" spans="1:41" x14ac:dyDescent="0.3">
      <c r="A1168" t="s">
        <v>75</v>
      </c>
      <c r="B1168" t="s">
        <v>895</v>
      </c>
      <c r="C1168" t="s">
        <v>1621</v>
      </c>
      <c r="D1168" t="s">
        <v>184</v>
      </c>
      <c r="E1168" s="1">
        <v>46070</v>
      </c>
      <c r="F1168" t="s">
        <v>1376</v>
      </c>
      <c r="G1168" t="s">
        <v>45</v>
      </c>
      <c r="H1168" s="2">
        <v>0.29166666666666669</v>
      </c>
      <c r="I1168" s="2">
        <v>0.625</v>
      </c>
      <c r="J1168" t="s">
        <v>296</v>
      </c>
      <c r="L1168" t="s">
        <v>1453</v>
      </c>
      <c r="M1168" t="s">
        <v>1622</v>
      </c>
      <c r="N1168" t="s">
        <v>1623</v>
      </c>
      <c r="O1168">
        <v>5952211</v>
      </c>
      <c r="Q1168" t="s">
        <v>2159</v>
      </c>
      <c r="R1168" t="s">
        <v>81</v>
      </c>
      <c r="S1168" t="s">
        <v>52</v>
      </c>
      <c r="U1168">
        <v>890812</v>
      </c>
      <c r="V1168" s="3">
        <v>46062.489583333336</v>
      </c>
      <c r="W1168" t="s">
        <v>1624</v>
      </c>
      <c r="X1168" t="s">
        <v>1625</v>
      </c>
      <c r="Y1168" t="str">
        <f>"0494406921"</f>
        <v>0494406921</v>
      </c>
      <c r="Z1168" t="s">
        <v>458</v>
      </c>
      <c r="AB1168" t="s">
        <v>902</v>
      </c>
      <c r="AD1168" t="s">
        <v>75</v>
      </c>
      <c r="AE1168" t="s">
        <v>903</v>
      </c>
      <c r="AF1168">
        <v>6009</v>
      </c>
      <c r="AG1168" t="s">
        <v>2159</v>
      </c>
      <c r="AI1168" t="s">
        <v>59</v>
      </c>
      <c r="AL1168" t="s">
        <v>2160</v>
      </c>
      <c r="AN1168" s="3">
        <v>46070.739583333336</v>
      </c>
      <c r="AO1168" t="s">
        <v>1624</v>
      </c>
    </row>
    <row r="1169" spans="1:41" x14ac:dyDescent="0.3">
      <c r="A1169" t="s">
        <v>61</v>
      </c>
      <c r="B1169" t="s">
        <v>126</v>
      </c>
      <c r="C1169" t="s">
        <v>43</v>
      </c>
      <c r="D1169" t="s">
        <v>127</v>
      </c>
      <c r="E1169" s="1">
        <v>46070</v>
      </c>
      <c r="F1169" t="s">
        <v>1376</v>
      </c>
      <c r="G1169" t="s">
        <v>45</v>
      </c>
      <c r="H1169" s="2">
        <v>0.29166666666666669</v>
      </c>
      <c r="I1169" s="2">
        <v>0.99861111111111112</v>
      </c>
      <c r="J1169" t="s">
        <v>46</v>
      </c>
      <c r="L1169" t="s">
        <v>47</v>
      </c>
      <c r="M1169" t="s">
        <v>129</v>
      </c>
      <c r="N1169" t="s">
        <v>130</v>
      </c>
      <c r="O1169">
        <v>21231</v>
      </c>
      <c r="Q1169" t="s">
        <v>131</v>
      </c>
      <c r="R1169" t="s">
        <v>132</v>
      </c>
      <c r="S1169" t="s">
        <v>52</v>
      </c>
      <c r="U1169">
        <v>890779</v>
      </c>
      <c r="V1169" s="3">
        <v>46042.632638888892</v>
      </c>
      <c r="W1169" t="s">
        <v>133</v>
      </c>
      <c r="X1169" t="s">
        <v>134</v>
      </c>
      <c r="Y1169" t="str">
        <f>"0425328222"</f>
        <v>0425328222</v>
      </c>
      <c r="Z1169" t="s">
        <v>3500</v>
      </c>
      <c r="AB1169" t="s">
        <v>136</v>
      </c>
      <c r="AD1169" t="s">
        <v>61</v>
      </c>
      <c r="AE1169" t="s">
        <v>137</v>
      </c>
      <c r="AF1169">
        <v>2032</v>
      </c>
      <c r="AG1169" t="s">
        <v>131</v>
      </c>
      <c r="AI1169" t="s">
        <v>59</v>
      </c>
      <c r="AL1169" t="s">
        <v>3501</v>
      </c>
      <c r="AN1169" s="3">
        <v>46070.652083333334</v>
      </c>
      <c r="AO1169" t="s">
        <v>133</v>
      </c>
    </row>
    <row r="1170" spans="1:41" x14ac:dyDescent="0.3">
      <c r="A1170" t="s">
        <v>306</v>
      </c>
      <c r="B1170" t="s">
        <v>2165</v>
      </c>
      <c r="C1170" t="s">
        <v>2166</v>
      </c>
      <c r="E1170" s="1">
        <v>46070</v>
      </c>
      <c r="F1170" t="s">
        <v>1376</v>
      </c>
      <c r="G1170" t="s">
        <v>45</v>
      </c>
      <c r="H1170" s="2">
        <v>0.29166666666666669</v>
      </c>
      <c r="I1170" s="2">
        <v>0.70833333333333337</v>
      </c>
      <c r="J1170" t="s">
        <v>101</v>
      </c>
      <c r="L1170" t="s">
        <v>2167</v>
      </c>
      <c r="M1170" t="s">
        <v>2168</v>
      </c>
      <c r="N1170" t="s">
        <v>2169</v>
      </c>
      <c r="O1170">
        <v>21033</v>
      </c>
      <c r="Q1170" t="s">
        <v>2170</v>
      </c>
      <c r="R1170" t="s">
        <v>314</v>
      </c>
      <c r="S1170" t="s">
        <v>52</v>
      </c>
      <c r="U1170">
        <v>890757</v>
      </c>
      <c r="V1170" s="3">
        <v>46063.634722222225</v>
      </c>
      <c r="W1170" t="s">
        <v>2171</v>
      </c>
      <c r="X1170" t="s">
        <v>2172</v>
      </c>
      <c r="Y1170" t="str">
        <f>"0423282929"</f>
        <v>0423282929</v>
      </c>
      <c r="Z1170" t="s">
        <v>70</v>
      </c>
      <c r="AA1170" s="1">
        <v>46070</v>
      </c>
      <c r="AB1170" t="s">
        <v>2173</v>
      </c>
      <c r="AD1170" t="s">
        <v>306</v>
      </c>
      <c r="AE1170" t="s">
        <v>2174</v>
      </c>
      <c r="AF1170">
        <v>3030</v>
      </c>
      <c r="AG1170" t="s">
        <v>2170</v>
      </c>
      <c r="AI1170" t="s">
        <v>59</v>
      </c>
      <c r="AL1170" t="s">
        <v>87</v>
      </c>
      <c r="AN1170" s="3">
        <v>46070.545138888891</v>
      </c>
      <c r="AO1170" t="s">
        <v>2171</v>
      </c>
    </row>
    <row r="1171" spans="1:41" x14ac:dyDescent="0.3">
      <c r="A1171" t="s">
        <v>168</v>
      </c>
      <c r="B1171" t="s">
        <v>169</v>
      </c>
      <c r="C1171" t="s">
        <v>170</v>
      </c>
      <c r="D1171" t="s">
        <v>127</v>
      </c>
      <c r="E1171" s="1">
        <v>46070</v>
      </c>
      <c r="F1171" t="s">
        <v>1376</v>
      </c>
      <c r="G1171" t="s">
        <v>45</v>
      </c>
      <c r="H1171" s="2">
        <v>0.29166666666666669</v>
      </c>
      <c r="I1171" s="2">
        <v>0.5</v>
      </c>
      <c r="J1171" t="s">
        <v>170</v>
      </c>
      <c r="L1171" t="s">
        <v>172</v>
      </c>
      <c r="M1171" t="s">
        <v>173</v>
      </c>
      <c r="N1171" t="s">
        <v>174</v>
      </c>
      <c r="O1171">
        <v>300006</v>
      </c>
      <c r="Q1171" t="s">
        <v>3502</v>
      </c>
      <c r="R1171" t="s">
        <v>176</v>
      </c>
      <c r="S1171" t="s">
        <v>52</v>
      </c>
      <c r="U1171">
        <v>890810</v>
      </c>
      <c r="V1171" s="3">
        <v>46056.717361111114</v>
      </c>
      <c r="W1171" t="s">
        <v>177</v>
      </c>
      <c r="X1171" t="s">
        <v>178</v>
      </c>
      <c r="Y1171" t="str">
        <f>"0430966876"</f>
        <v>0430966876</v>
      </c>
      <c r="Z1171" t="s">
        <v>123</v>
      </c>
      <c r="AB1171" t="s">
        <v>179</v>
      </c>
      <c r="AD1171" t="s">
        <v>168</v>
      </c>
      <c r="AE1171" t="s">
        <v>180</v>
      </c>
      <c r="AF1171">
        <v>5063</v>
      </c>
      <c r="AG1171" t="s">
        <v>175</v>
      </c>
      <c r="AI1171" t="s">
        <v>59</v>
      </c>
      <c r="AL1171" t="s">
        <v>3503</v>
      </c>
      <c r="AN1171" s="3">
        <v>46070.727777777778</v>
      </c>
      <c r="AO1171" t="s">
        <v>177</v>
      </c>
    </row>
    <row r="1172" spans="1:41" x14ac:dyDescent="0.3">
      <c r="A1172" t="s">
        <v>306</v>
      </c>
      <c r="B1172" t="s">
        <v>1238</v>
      </c>
      <c r="C1172" t="s">
        <v>43</v>
      </c>
      <c r="D1172" t="s">
        <v>90</v>
      </c>
      <c r="E1172" s="1">
        <v>46070</v>
      </c>
      <c r="F1172" t="s">
        <v>1376</v>
      </c>
      <c r="G1172" t="s">
        <v>45</v>
      </c>
      <c r="H1172" s="2">
        <v>0.29166666666666669</v>
      </c>
      <c r="I1172" s="2">
        <v>0.5625</v>
      </c>
      <c r="J1172" t="s">
        <v>701</v>
      </c>
      <c r="L1172" t="s">
        <v>702</v>
      </c>
      <c r="M1172" t="s">
        <v>703</v>
      </c>
      <c r="N1172" t="s">
        <v>704</v>
      </c>
      <c r="O1172">
        <v>20947</v>
      </c>
      <c r="Q1172" t="s">
        <v>98</v>
      </c>
      <c r="R1172" t="s">
        <v>314</v>
      </c>
      <c r="S1172" t="s">
        <v>52</v>
      </c>
      <c r="U1172">
        <v>890758</v>
      </c>
      <c r="V1172" s="3">
        <v>46069.64166666667</v>
      </c>
      <c r="W1172" t="s">
        <v>706</v>
      </c>
      <c r="X1172" t="s">
        <v>707</v>
      </c>
      <c r="Y1172" t="str">
        <f>"0437759431"</f>
        <v>0437759431</v>
      </c>
      <c r="Z1172" t="s">
        <v>123</v>
      </c>
      <c r="AB1172" t="s">
        <v>1243</v>
      </c>
      <c r="AD1172" t="s">
        <v>306</v>
      </c>
      <c r="AE1172" t="s">
        <v>1244</v>
      </c>
      <c r="AF1172">
        <v>3065</v>
      </c>
      <c r="AG1172" t="s">
        <v>98</v>
      </c>
      <c r="AI1172" t="s">
        <v>59</v>
      </c>
      <c r="AL1172" t="s">
        <v>87</v>
      </c>
      <c r="AN1172" s="3">
        <v>46070.55972222222</v>
      </c>
      <c r="AO1172" t="s">
        <v>706</v>
      </c>
    </row>
    <row r="1173" spans="1:41" x14ac:dyDescent="0.3">
      <c r="A1173" t="s">
        <v>306</v>
      </c>
      <c r="B1173" t="s">
        <v>386</v>
      </c>
      <c r="C1173" t="s">
        <v>387</v>
      </c>
      <c r="D1173" t="s">
        <v>388</v>
      </c>
      <c r="E1173" s="1">
        <v>46070</v>
      </c>
      <c r="F1173" t="s">
        <v>1376</v>
      </c>
      <c r="G1173" t="s">
        <v>45</v>
      </c>
      <c r="H1173" s="2">
        <v>0.29166666666666669</v>
      </c>
      <c r="I1173" s="2">
        <v>0.625</v>
      </c>
      <c r="J1173" t="s">
        <v>389</v>
      </c>
      <c r="L1173" t="s">
        <v>298</v>
      </c>
      <c r="M1173" t="s">
        <v>195</v>
      </c>
      <c r="N1173" t="s">
        <v>390</v>
      </c>
      <c r="O1173">
        <v>5951661</v>
      </c>
      <c r="P1173" t="s">
        <v>249</v>
      </c>
      <c r="Q1173" t="s">
        <v>391</v>
      </c>
      <c r="R1173" t="s">
        <v>392</v>
      </c>
      <c r="S1173" t="s">
        <v>52</v>
      </c>
      <c r="T1173" t="s">
        <v>252</v>
      </c>
      <c r="U1173">
        <v>891641</v>
      </c>
      <c r="V1173" s="3">
        <v>46077.668749999997</v>
      </c>
      <c r="W1173" t="s">
        <v>393</v>
      </c>
      <c r="X1173" t="s">
        <v>394</v>
      </c>
      <c r="Y1173" t="str">
        <f>"0427371732"</f>
        <v>0427371732</v>
      </c>
      <c r="Z1173" t="s">
        <v>84</v>
      </c>
      <c r="AA1173" s="1">
        <v>46141</v>
      </c>
      <c r="AB1173" t="s">
        <v>396</v>
      </c>
      <c r="AD1173" t="s">
        <v>397</v>
      </c>
      <c r="AE1173" t="s">
        <v>398</v>
      </c>
      <c r="AF1173">
        <v>7919</v>
      </c>
      <c r="AG1173" t="s">
        <v>399</v>
      </c>
      <c r="AI1173" t="s">
        <v>59</v>
      </c>
      <c r="AJ1173" t="str">
        <f>"0090000067"</f>
        <v>0090000067</v>
      </c>
      <c r="AN1173" s="3">
        <v>46077.668749999997</v>
      </c>
      <c r="AO1173" t="s">
        <v>392</v>
      </c>
    </row>
    <row r="1174" spans="1:41" x14ac:dyDescent="0.3">
      <c r="A1174" t="s">
        <v>61</v>
      </c>
      <c r="B1174" t="s">
        <v>1408</v>
      </c>
      <c r="C1174" t="s">
        <v>43</v>
      </c>
      <c r="D1174" t="s">
        <v>719</v>
      </c>
      <c r="E1174" s="1">
        <v>46070</v>
      </c>
      <c r="F1174" t="s">
        <v>1376</v>
      </c>
      <c r="G1174" t="s">
        <v>45</v>
      </c>
      <c r="H1174" s="2">
        <v>0.29166666666666669</v>
      </c>
      <c r="I1174" s="2">
        <v>0.64583333333333337</v>
      </c>
      <c r="J1174" t="s">
        <v>101</v>
      </c>
      <c r="L1174" t="s">
        <v>159</v>
      </c>
      <c r="M1174" t="s">
        <v>3504</v>
      </c>
      <c r="N1174" t="s">
        <v>3505</v>
      </c>
      <c r="O1174">
        <v>21081</v>
      </c>
      <c r="Q1174" t="s">
        <v>1411</v>
      </c>
      <c r="R1174" t="s">
        <v>67</v>
      </c>
      <c r="S1174" t="s">
        <v>52</v>
      </c>
      <c r="U1174">
        <v>890754</v>
      </c>
      <c r="V1174" s="3">
        <v>46062.65625</v>
      </c>
      <c r="W1174" t="s">
        <v>3506</v>
      </c>
      <c r="X1174" t="s">
        <v>3507</v>
      </c>
      <c r="Y1174" t="str">
        <f>"0426971325"</f>
        <v>0426971325</v>
      </c>
      <c r="Z1174" t="s">
        <v>550</v>
      </c>
      <c r="AB1174" t="s">
        <v>1414</v>
      </c>
      <c r="AD1174" t="s">
        <v>61</v>
      </c>
      <c r="AE1174" t="s">
        <v>72</v>
      </c>
      <c r="AF1174">
        <v>2747</v>
      </c>
      <c r="AG1174" t="s">
        <v>1415</v>
      </c>
      <c r="AI1174" t="s">
        <v>59</v>
      </c>
      <c r="AL1174" t="s">
        <v>3501</v>
      </c>
      <c r="AN1174" s="3">
        <v>46070.472916666666</v>
      </c>
      <c r="AO1174" t="s">
        <v>3506</v>
      </c>
    </row>
    <row r="1175" spans="1:41" x14ac:dyDescent="0.3">
      <c r="A1175" t="s">
        <v>61</v>
      </c>
      <c r="B1175" t="s">
        <v>1271</v>
      </c>
      <c r="C1175" t="s">
        <v>1272</v>
      </c>
      <c r="D1175" t="s">
        <v>184</v>
      </c>
      <c r="E1175" s="1">
        <v>46070</v>
      </c>
      <c r="F1175" t="s">
        <v>1376</v>
      </c>
      <c r="G1175" t="s">
        <v>45</v>
      </c>
      <c r="H1175" s="2">
        <v>0.29166666666666669</v>
      </c>
      <c r="I1175" s="2">
        <v>0.8125</v>
      </c>
      <c r="J1175" t="s">
        <v>590</v>
      </c>
      <c r="L1175" t="s">
        <v>2436</v>
      </c>
      <c r="M1175" t="s">
        <v>3508</v>
      </c>
      <c r="N1175" t="s">
        <v>3509</v>
      </c>
      <c r="O1175">
        <v>5951373</v>
      </c>
      <c r="Q1175" t="s">
        <v>2463</v>
      </c>
      <c r="R1175" t="s">
        <v>67</v>
      </c>
      <c r="S1175" t="s">
        <v>52</v>
      </c>
      <c r="U1175">
        <v>890818</v>
      </c>
      <c r="V1175" s="3">
        <v>46065.340277777781</v>
      </c>
      <c r="W1175" t="s">
        <v>3510</v>
      </c>
      <c r="X1175" t="s">
        <v>3511</v>
      </c>
      <c r="Y1175" t="str">
        <f>"0410840279"</f>
        <v>0410840279</v>
      </c>
      <c r="Z1175" t="s">
        <v>123</v>
      </c>
      <c r="AB1175" t="s">
        <v>1278</v>
      </c>
      <c r="AD1175" t="s">
        <v>61</v>
      </c>
      <c r="AE1175" t="s">
        <v>1279</v>
      </c>
      <c r="AF1175">
        <v>2145</v>
      </c>
      <c r="AG1175" t="s">
        <v>2463</v>
      </c>
      <c r="AI1175" t="s">
        <v>59</v>
      </c>
      <c r="AL1175" t="s">
        <v>3501</v>
      </c>
      <c r="AN1175" s="3">
        <v>46070.775694444441</v>
      </c>
      <c r="AO1175" t="s">
        <v>3510</v>
      </c>
    </row>
    <row r="1176" spans="1:41" x14ac:dyDescent="0.3">
      <c r="A1176" t="s">
        <v>61</v>
      </c>
      <c r="B1176" t="s">
        <v>62</v>
      </c>
      <c r="C1176" t="s">
        <v>43</v>
      </c>
      <c r="D1176" t="s">
        <v>63</v>
      </c>
      <c r="E1176" s="1">
        <v>46070</v>
      </c>
      <c r="F1176" t="s">
        <v>1376</v>
      </c>
      <c r="G1176" t="s">
        <v>45</v>
      </c>
      <c r="H1176" s="2">
        <v>0.29166666666666669</v>
      </c>
      <c r="I1176" s="2">
        <v>0.99861111111111112</v>
      </c>
      <c r="J1176" t="s">
        <v>185</v>
      </c>
      <c r="L1176" t="s">
        <v>784</v>
      </c>
      <c r="M1176" t="s">
        <v>785</v>
      </c>
      <c r="N1176" t="s">
        <v>786</v>
      </c>
      <c r="O1176">
        <v>5951112</v>
      </c>
      <c r="Q1176" t="s">
        <v>66</v>
      </c>
      <c r="R1176" t="s">
        <v>759</v>
      </c>
      <c r="S1176" t="s">
        <v>119</v>
      </c>
      <c r="T1176" t="s">
        <v>760</v>
      </c>
      <c r="U1176">
        <v>892486</v>
      </c>
      <c r="V1176" s="3">
        <v>46084.886805555558</v>
      </c>
      <c r="W1176" t="s">
        <v>787</v>
      </c>
      <c r="X1176" t="s">
        <v>788</v>
      </c>
      <c r="Y1176" t="str">
        <f>"0423329386"</f>
        <v>0423329386</v>
      </c>
      <c r="Z1176" t="s">
        <v>70</v>
      </c>
      <c r="AB1176" t="s">
        <v>71</v>
      </c>
      <c r="AD1176" t="s">
        <v>61</v>
      </c>
      <c r="AE1176" t="s">
        <v>72</v>
      </c>
      <c r="AF1176">
        <v>2747</v>
      </c>
      <c r="AG1176" t="s">
        <v>66</v>
      </c>
      <c r="AI1176" t="s">
        <v>59</v>
      </c>
      <c r="AM1176" t="s">
        <v>3512</v>
      </c>
      <c r="AN1176" s="3">
        <v>46084.886805555558</v>
      </c>
      <c r="AO1176" t="s">
        <v>759</v>
      </c>
    </row>
    <row r="1177" spans="1:41" x14ac:dyDescent="0.3">
      <c r="A1177" t="s">
        <v>41</v>
      </c>
      <c r="B1177" t="s">
        <v>965</v>
      </c>
      <c r="C1177" t="s">
        <v>43</v>
      </c>
      <c r="D1177" t="s">
        <v>966</v>
      </c>
      <c r="E1177" s="1">
        <v>46070</v>
      </c>
      <c r="F1177" t="s">
        <v>1376</v>
      </c>
      <c r="G1177" t="s">
        <v>45</v>
      </c>
      <c r="H1177" s="2">
        <v>0.29166666666666669</v>
      </c>
      <c r="I1177" s="2">
        <v>0.64583333333333337</v>
      </c>
      <c r="J1177" t="s">
        <v>101</v>
      </c>
      <c r="L1177" t="s">
        <v>967</v>
      </c>
      <c r="M1177" t="s">
        <v>968</v>
      </c>
      <c r="N1177" t="s">
        <v>969</v>
      </c>
      <c r="O1177">
        <v>5952467</v>
      </c>
      <c r="Q1177" t="s">
        <v>1471</v>
      </c>
      <c r="R1177" t="s">
        <v>1472</v>
      </c>
      <c r="S1177" t="s">
        <v>52</v>
      </c>
      <c r="U1177">
        <v>890791</v>
      </c>
      <c r="V1177" s="3">
        <v>46063.439583333333</v>
      </c>
      <c r="W1177" t="s">
        <v>970</v>
      </c>
      <c r="X1177" t="s">
        <v>971</v>
      </c>
      <c r="Y1177" t="str">
        <f>"0433979184"</f>
        <v>0433979184</v>
      </c>
      <c r="Z1177" t="s">
        <v>1324</v>
      </c>
      <c r="AB1177" t="s">
        <v>972</v>
      </c>
      <c r="AD1177" t="s">
        <v>41</v>
      </c>
      <c r="AE1177" t="s">
        <v>973</v>
      </c>
      <c r="AF1177">
        <v>4068</v>
      </c>
      <c r="AG1177" t="s">
        <v>1471</v>
      </c>
      <c r="AI1177" t="s">
        <v>59</v>
      </c>
      <c r="AL1177" t="s">
        <v>3513</v>
      </c>
      <c r="AN1177" s="3">
        <v>46070.696527777778</v>
      </c>
      <c r="AO1177" t="s">
        <v>970</v>
      </c>
    </row>
    <row r="1178" spans="1:41" x14ac:dyDescent="0.3">
      <c r="A1178" t="s">
        <v>61</v>
      </c>
      <c r="B1178" t="s">
        <v>62</v>
      </c>
      <c r="C1178" t="s">
        <v>43</v>
      </c>
      <c r="D1178" t="s">
        <v>63</v>
      </c>
      <c r="E1178" s="1">
        <v>46070</v>
      </c>
      <c r="F1178" t="s">
        <v>1376</v>
      </c>
      <c r="G1178" t="s">
        <v>45</v>
      </c>
      <c r="H1178" s="2">
        <v>0.29166666666666669</v>
      </c>
      <c r="I1178" s="2">
        <v>0.99861111111111112</v>
      </c>
      <c r="J1178" t="s">
        <v>185</v>
      </c>
      <c r="L1178" t="s">
        <v>186</v>
      </c>
      <c r="M1178" t="s">
        <v>1474</v>
      </c>
      <c r="N1178" t="s">
        <v>1475</v>
      </c>
      <c r="O1178">
        <v>22552</v>
      </c>
      <c r="Q1178" t="s">
        <v>66</v>
      </c>
      <c r="R1178" t="s">
        <v>67</v>
      </c>
      <c r="S1178" t="s">
        <v>52</v>
      </c>
      <c r="U1178">
        <v>890787</v>
      </c>
      <c r="V1178" s="3">
        <v>46062.553472222222</v>
      </c>
      <c r="W1178" t="s">
        <v>1476</v>
      </c>
      <c r="X1178" t="s">
        <v>1477</v>
      </c>
      <c r="Y1178" t="str">
        <f>"0421669341"</f>
        <v>0421669341</v>
      </c>
      <c r="Z1178" t="s">
        <v>70</v>
      </c>
      <c r="AB1178" t="s">
        <v>71</v>
      </c>
      <c r="AD1178" t="s">
        <v>61</v>
      </c>
      <c r="AE1178" t="s">
        <v>72</v>
      </c>
      <c r="AF1178">
        <v>2747</v>
      </c>
      <c r="AG1178" t="s">
        <v>73</v>
      </c>
      <c r="AI1178" t="s">
        <v>59</v>
      </c>
      <c r="AL1178" t="s">
        <v>3501</v>
      </c>
      <c r="AN1178" s="3">
        <v>46070.684027777781</v>
      </c>
      <c r="AO1178" t="s">
        <v>1476</v>
      </c>
    </row>
    <row r="1179" spans="1:41" x14ac:dyDescent="0.3">
      <c r="A1179" t="s">
        <v>306</v>
      </c>
      <c r="B1179" t="s">
        <v>528</v>
      </c>
      <c r="C1179" t="s">
        <v>1326</v>
      </c>
      <c r="D1179" t="s">
        <v>63</v>
      </c>
      <c r="E1179" s="1">
        <v>46070</v>
      </c>
      <c r="F1179" t="s">
        <v>1376</v>
      </c>
      <c r="G1179" t="s">
        <v>45</v>
      </c>
      <c r="H1179" s="2">
        <v>0.29166666666666669</v>
      </c>
      <c r="I1179" s="2">
        <v>0.60416666666666663</v>
      </c>
      <c r="J1179" t="s">
        <v>296</v>
      </c>
      <c r="L1179" t="s">
        <v>1753</v>
      </c>
      <c r="M1179" t="s">
        <v>1754</v>
      </c>
      <c r="N1179" t="s">
        <v>1755</v>
      </c>
      <c r="O1179">
        <v>20486</v>
      </c>
      <c r="Q1179" t="s">
        <v>2757</v>
      </c>
      <c r="R1179" t="s">
        <v>1248</v>
      </c>
      <c r="S1179" t="s">
        <v>52</v>
      </c>
      <c r="U1179">
        <v>890821</v>
      </c>
      <c r="V1179" s="3">
        <v>46067.313888888886</v>
      </c>
      <c r="W1179" t="s">
        <v>1757</v>
      </c>
      <c r="X1179" t="s">
        <v>1758</v>
      </c>
      <c r="Y1179" t="str">
        <f>"0432381966"</f>
        <v>0432381966</v>
      </c>
      <c r="Z1179" t="s">
        <v>70</v>
      </c>
      <c r="AA1179" s="1">
        <v>46070</v>
      </c>
      <c r="AB1179" t="s">
        <v>537</v>
      </c>
      <c r="AD1179" t="s">
        <v>306</v>
      </c>
      <c r="AE1179" t="s">
        <v>538</v>
      </c>
      <c r="AF1179">
        <v>3152</v>
      </c>
      <c r="AG1179" t="s">
        <v>2757</v>
      </c>
      <c r="AI1179" t="s">
        <v>59</v>
      </c>
      <c r="AL1179" t="s">
        <v>3514</v>
      </c>
      <c r="AN1179" s="3">
        <v>46070.78125</v>
      </c>
      <c r="AO1179" t="s">
        <v>1757</v>
      </c>
    </row>
    <row r="1180" spans="1:41" x14ac:dyDescent="0.3">
      <c r="A1180" t="s">
        <v>168</v>
      </c>
      <c r="B1180" t="s">
        <v>409</v>
      </c>
      <c r="C1180" t="s">
        <v>1496</v>
      </c>
      <c r="D1180" t="s">
        <v>309</v>
      </c>
      <c r="E1180" s="1">
        <v>46070</v>
      </c>
      <c r="F1180" t="s">
        <v>1376</v>
      </c>
      <c r="G1180" t="s">
        <v>45</v>
      </c>
      <c r="H1180" s="2">
        <v>0.29166666666666669</v>
      </c>
      <c r="I1180" s="2">
        <v>0.625</v>
      </c>
      <c r="J1180" t="s">
        <v>170</v>
      </c>
      <c r="K1180" t="s">
        <v>3515</v>
      </c>
      <c r="L1180" t="s">
        <v>47</v>
      </c>
      <c r="M1180" t="s">
        <v>3516</v>
      </c>
      <c r="N1180" t="s">
        <v>3517</v>
      </c>
      <c r="O1180">
        <v>5951754</v>
      </c>
      <c r="Q1180" t="s">
        <v>705</v>
      </c>
      <c r="R1180" t="s">
        <v>500</v>
      </c>
      <c r="S1180" t="s">
        <v>52</v>
      </c>
      <c r="U1180">
        <v>890771</v>
      </c>
      <c r="V1180" s="3">
        <v>46069.744444444441</v>
      </c>
      <c r="W1180" t="s">
        <v>3518</v>
      </c>
      <c r="X1180" t="s">
        <v>3519</v>
      </c>
      <c r="Y1180" t="str">
        <f>"0419027648"</f>
        <v>0419027648</v>
      </c>
      <c r="Z1180" t="s">
        <v>70</v>
      </c>
      <c r="AA1180" s="1">
        <v>46070</v>
      </c>
      <c r="AB1180" t="s">
        <v>417</v>
      </c>
      <c r="AD1180" t="s">
        <v>168</v>
      </c>
      <c r="AE1180" t="s">
        <v>384</v>
      </c>
      <c r="AF1180">
        <v>5000</v>
      </c>
      <c r="AI1180" t="s">
        <v>59</v>
      </c>
      <c r="AL1180" t="s">
        <v>3520</v>
      </c>
      <c r="AM1180" t="s">
        <v>3521</v>
      </c>
      <c r="AN1180" s="3">
        <v>46070.606249999997</v>
      </c>
      <c r="AO1180" t="s">
        <v>3518</v>
      </c>
    </row>
    <row r="1181" spans="1:41" x14ac:dyDescent="0.3">
      <c r="A1181" t="s">
        <v>168</v>
      </c>
      <c r="B1181" t="s">
        <v>441</v>
      </c>
      <c r="C1181" t="s">
        <v>101</v>
      </c>
      <c r="E1181" s="1">
        <v>46070</v>
      </c>
      <c r="F1181" t="s">
        <v>1376</v>
      </c>
      <c r="G1181" t="s">
        <v>45</v>
      </c>
      <c r="H1181" s="2">
        <v>0.29166666666666669</v>
      </c>
      <c r="I1181" s="2">
        <v>0.625</v>
      </c>
      <c r="J1181" t="s">
        <v>101</v>
      </c>
      <c r="L1181" t="s">
        <v>159</v>
      </c>
      <c r="M1181" t="s">
        <v>217</v>
      </c>
      <c r="N1181" t="s">
        <v>218</v>
      </c>
      <c r="O1181">
        <v>32</v>
      </c>
      <c r="P1181" t="s">
        <v>3522</v>
      </c>
      <c r="Q1181" t="s">
        <v>944</v>
      </c>
      <c r="R1181" t="s">
        <v>556</v>
      </c>
      <c r="S1181" t="s">
        <v>52</v>
      </c>
      <c r="U1181">
        <v>890778</v>
      </c>
      <c r="V1181" s="3">
        <v>46050.944444444445</v>
      </c>
      <c r="W1181" t="s">
        <v>220</v>
      </c>
      <c r="X1181" t="s">
        <v>221</v>
      </c>
      <c r="Y1181" t="str">
        <f>"0426797353"</f>
        <v>0426797353</v>
      </c>
      <c r="Z1181" t="s">
        <v>70</v>
      </c>
      <c r="AA1181" s="1">
        <v>46070</v>
      </c>
      <c r="AB1181" t="s">
        <v>448</v>
      </c>
      <c r="AD1181" t="s">
        <v>168</v>
      </c>
      <c r="AE1181" t="s">
        <v>180</v>
      </c>
      <c r="AF1181">
        <v>5063</v>
      </c>
      <c r="AG1181" t="s">
        <v>944</v>
      </c>
      <c r="AI1181" t="s">
        <v>59</v>
      </c>
      <c r="AL1181" t="s">
        <v>1121</v>
      </c>
      <c r="AN1181" s="3">
        <v>46070.642361111109</v>
      </c>
      <c r="AO1181" t="s">
        <v>220</v>
      </c>
    </row>
    <row r="1182" spans="1:41" x14ac:dyDescent="0.3">
      <c r="A1182" t="s">
        <v>61</v>
      </c>
      <c r="B1182" t="s">
        <v>1462</v>
      </c>
      <c r="C1182" t="s">
        <v>484</v>
      </c>
      <c r="D1182" t="s">
        <v>90</v>
      </c>
      <c r="E1182" s="1">
        <v>46070</v>
      </c>
      <c r="F1182" t="s">
        <v>1376</v>
      </c>
      <c r="G1182" t="s">
        <v>45</v>
      </c>
      <c r="H1182" s="2">
        <v>0.29166666666666669</v>
      </c>
      <c r="I1182" s="2">
        <v>0.60416666666666663</v>
      </c>
      <c r="J1182" t="s">
        <v>486</v>
      </c>
      <c r="L1182" t="s">
        <v>487</v>
      </c>
      <c r="M1182" t="s">
        <v>596</v>
      </c>
      <c r="N1182" t="s">
        <v>1280</v>
      </c>
      <c r="O1182">
        <v>5952187</v>
      </c>
      <c r="Q1182" t="s">
        <v>2012</v>
      </c>
      <c r="R1182" t="s">
        <v>67</v>
      </c>
      <c r="S1182" t="s">
        <v>52</v>
      </c>
      <c r="U1182">
        <v>890766</v>
      </c>
      <c r="V1182" s="3">
        <v>46069.486111111109</v>
      </c>
      <c r="W1182" t="s">
        <v>1281</v>
      </c>
      <c r="X1182" t="s">
        <v>1282</v>
      </c>
      <c r="Y1182" t="str">
        <f>"0417203844"</f>
        <v>0417203844</v>
      </c>
      <c r="Z1182" t="s">
        <v>3523</v>
      </c>
      <c r="AA1182" s="1">
        <v>46070</v>
      </c>
      <c r="AB1182" t="s">
        <v>1468</v>
      </c>
      <c r="AD1182" t="s">
        <v>61</v>
      </c>
      <c r="AE1182" t="s">
        <v>1469</v>
      </c>
      <c r="AF1182">
        <v>2060</v>
      </c>
      <c r="AG1182" t="s">
        <v>1744</v>
      </c>
      <c r="AI1182" t="s">
        <v>59</v>
      </c>
      <c r="AL1182" t="s">
        <v>3524</v>
      </c>
      <c r="AN1182" s="3">
        <v>46070.581250000003</v>
      </c>
      <c r="AO1182" t="s">
        <v>1281</v>
      </c>
    </row>
    <row r="1183" spans="1:41" x14ac:dyDescent="0.3">
      <c r="A1183" t="s">
        <v>41</v>
      </c>
      <c r="B1183" t="s">
        <v>632</v>
      </c>
      <c r="C1183" t="s">
        <v>296</v>
      </c>
      <c r="D1183" t="s">
        <v>246</v>
      </c>
      <c r="E1183" s="1">
        <v>46070</v>
      </c>
      <c r="F1183" t="s">
        <v>1376</v>
      </c>
      <c r="G1183" t="s">
        <v>45</v>
      </c>
      <c r="H1183" s="2">
        <v>0.29166666666666669</v>
      </c>
      <c r="I1183" s="2">
        <v>0.625</v>
      </c>
      <c r="J1183" t="s">
        <v>296</v>
      </c>
      <c r="K1183" t="s">
        <v>2096</v>
      </c>
      <c r="L1183" t="s">
        <v>298</v>
      </c>
      <c r="M1183" t="s">
        <v>1401</v>
      </c>
      <c r="N1183" t="s">
        <v>1402</v>
      </c>
      <c r="O1183">
        <v>5952070</v>
      </c>
      <c r="Q1183" t="s">
        <v>3525</v>
      </c>
      <c r="R1183" t="s">
        <v>51</v>
      </c>
      <c r="S1183" t="s">
        <v>52</v>
      </c>
      <c r="U1183">
        <v>890783</v>
      </c>
      <c r="V1183" s="3">
        <v>46063.541666666664</v>
      </c>
      <c r="W1183" t="s">
        <v>1404</v>
      </c>
      <c r="X1183" t="s">
        <v>1405</v>
      </c>
      <c r="Y1183" t="str">
        <f>"0474506417"</f>
        <v>0474506417</v>
      </c>
      <c r="Z1183" t="s">
        <v>1862</v>
      </c>
      <c r="AB1183" t="s">
        <v>640</v>
      </c>
      <c r="AD1183" t="s">
        <v>41</v>
      </c>
      <c r="AE1183" t="s">
        <v>641</v>
      </c>
      <c r="AF1183">
        <v>4305</v>
      </c>
      <c r="AG1183" t="s">
        <v>2098</v>
      </c>
      <c r="AI1183" t="s">
        <v>59</v>
      </c>
      <c r="AL1183" t="s">
        <v>3526</v>
      </c>
      <c r="AN1183" s="3">
        <v>46070.67083333333</v>
      </c>
      <c r="AO1183" t="s">
        <v>1404</v>
      </c>
    </row>
    <row r="1184" spans="1:41" x14ac:dyDescent="0.3">
      <c r="A1184" t="s">
        <v>61</v>
      </c>
      <c r="B1184" t="s">
        <v>507</v>
      </c>
      <c r="C1184" t="s">
        <v>3527</v>
      </c>
      <c r="D1184" t="s">
        <v>63</v>
      </c>
      <c r="E1184" s="1">
        <v>46070</v>
      </c>
      <c r="F1184" t="s">
        <v>1376</v>
      </c>
      <c r="G1184" t="s">
        <v>45</v>
      </c>
      <c r="H1184" s="2">
        <v>0.29166666666666669</v>
      </c>
      <c r="I1184" s="2">
        <v>0.8125</v>
      </c>
      <c r="J1184" t="s">
        <v>296</v>
      </c>
      <c r="K1184" t="s">
        <v>553</v>
      </c>
      <c r="L1184" t="s">
        <v>298</v>
      </c>
      <c r="M1184" t="s">
        <v>3528</v>
      </c>
      <c r="N1184" t="s">
        <v>3528</v>
      </c>
      <c r="O1184">
        <v>5952416</v>
      </c>
      <c r="Q1184" t="s">
        <v>516</v>
      </c>
      <c r="R1184" t="s">
        <v>132</v>
      </c>
      <c r="S1184" t="s">
        <v>52</v>
      </c>
      <c r="U1184">
        <v>890831</v>
      </c>
      <c r="V1184" s="3">
        <v>46042.390972222223</v>
      </c>
      <c r="W1184" t="s">
        <v>3529</v>
      </c>
      <c r="X1184" t="s">
        <v>3530</v>
      </c>
      <c r="Y1184" t="str">
        <f>"0466818322"</f>
        <v>0466818322</v>
      </c>
      <c r="Z1184" t="s">
        <v>3531</v>
      </c>
      <c r="AB1184" t="s">
        <v>514</v>
      </c>
      <c r="AD1184" t="s">
        <v>61</v>
      </c>
      <c r="AE1184" t="s">
        <v>515</v>
      </c>
      <c r="AF1184">
        <v>2086</v>
      </c>
      <c r="AG1184" t="s">
        <v>516</v>
      </c>
      <c r="AI1184" t="s">
        <v>59</v>
      </c>
      <c r="AL1184" t="s">
        <v>3501</v>
      </c>
      <c r="AN1184" s="3">
        <v>46070.804166666669</v>
      </c>
      <c r="AO1184" t="s">
        <v>3529</v>
      </c>
    </row>
    <row r="1185" spans="1:41" x14ac:dyDescent="0.3">
      <c r="A1185" t="s">
        <v>61</v>
      </c>
      <c r="B1185" t="s">
        <v>768</v>
      </c>
      <c r="C1185" t="s">
        <v>296</v>
      </c>
      <c r="D1185" t="s">
        <v>769</v>
      </c>
      <c r="E1185" s="1">
        <v>46070</v>
      </c>
      <c r="F1185" t="s">
        <v>1376</v>
      </c>
      <c r="G1185" t="s">
        <v>45</v>
      </c>
      <c r="H1185" s="2">
        <v>0.3125</v>
      </c>
      <c r="I1185" s="2">
        <v>0.625</v>
      </c>
      <c r="J1185" t="s">
        <v>296</v>
      </c>
      <c r="L1185" t="s">
        <v>298</v>
      </c>
      <c r="M1185" t="s">
        <v>770</v>
      </c>
      <c r="N1185" t="s">
        <v>771</v>
      </c>
      <c r="O1185">
        <v>5952291</v>
      </c>
      <c r="Q1185" t="s">
        <v>772</v>
      </c>
      <c r="R1185" t="s">
        <v>132</v>
      </c>
      <c r="S1185" t="s">
        <v>52</v>
      </c>
      <c r="U1185">
        <v>890777</v>
      </c>
      <c r="V1185" s="3">
        <v>46064.392361111109</v>
      </c>
      <c r="W1185" t="s">
        <v>773</v>
      </c>
      <c r="X1185" t="s">
        <v>774</v>
      </c>
      <c r="Y1185" t="str">
        <f>"0432174467"</f>
        <v>0432174467</v>
      </c>
      <c r="Z1185" t="s">
        <v>254</v>
      </c>
      <c r="AB1185" t="s">
        <v>775</v>
      </c>
      <c r="AD1185" t="s">
        <v>61</v>
      </c>
      <c r="AE1185" t="s">
        <v>776</v>
      </c>
      <c r="AF1185">
        <v>2076</v>
      </c>
      <c r="AG1185" t="s">
        <v>772</v>
      </c>
      <c r="AI1185" t="s">
        <v>59</v>
      </c>
      <c r="AL1185" t="s">
        <v>3501</v>
      </c>
      <c r="AN1185" s="3">
        <v>46070.629861111112</v>
      </c>
      <c r="AO1185" t="s">
        <v>773</v>
      </c>
    </row>
    <row r="1186" spans="1:41" x14ac:dyDescent="0.3">
      <c r="A1186" t="s">
        <v>168</v>
      </c>
      <c r="B1186" t="s">
        <v>689</v>
      </c>
      <c r="C1186" t="s">
        <v>43</v>
      </c>
      <c r="D1186" t="s">
        <v>268</v>
      </c>
      <c r="E1186" s="1">
        <v>46070</v>
      </c>
      <c r="F1186" t="s">
        <v>1376</v>
      </c>
      <c r="G1186" t="s">
        <v>45</v>
      </c>
      <c r="H1186" s="2">
        <v>0.3125</v>
      </c>
      <c r="I1186" s="2">
        <v>0.66666666666666663</v>
      </c>
      <c r="J1186" t="s">
        <v>101</v>
      </c>
      <c r="L1186" t="s">
        <v>159</v>
      </c>
      <c r="M1186" t="s">
        <v>690</v>
      </c>
      <c r="N1186" t="s">
        <v>691</v>
      </c>
      <c r="O1186">
        <v>5950774</v>
      </c>
      <c r="P1186" t="s">
        <v>249</v>
      </c>
      <c r="Q1186" t="s">
        <v>692</v>
      </c>
      <c r="R1186" t="s">
        <v>693</v>
      </c>
      <c r="S1186" t="s">
        <v>52</v>
      </c>
      <c r="T1186" t="s">
        <v>252</v>
      </c>
      <c r="U1186">
        <v>891399</v>
      </c>
      <c r="V1186" s="3">
        <v>46075.970138888886</v>
      </c>
      <c r="W1186" t="s">
        <v>693</v>
      </c>
      <c r="X1186" t="s">
        <v>694</v>
      </c>
      <c r="Y1186" t="str">
        <f>"0404019300"</f>
        <v>0404019300</v>
      </c>
      <c r="Z1186" t="s">
        <v>254</v>
      </c>
      <c r="AA1186" s="1">
        <v>46117</v>
      </c>
      <c r="AB1186" t="s">
        <v>695</v>
      </c>
      <c r="AD1186" t="s">
        <v>168</v>
      </c>
      <c r="AE1186" t="s">
        <v>696</v>
      </c>
      <c r="AF1186">
        <v>5606</v>
      </c>
      <c r="AG1186" t="s">
        <v>3023</v>
      </c>
      <c r="AI1186" t="s">
        <v>59</v>
      </c>
      <c r="AJ1186" t="str">
        <f>"0020188040"</f>
        <v>0020188040</v>
      </c>
      <c r="AM1186" t="s">
        <v>3024</v>
      </c>
      <c r="AN1186" s="3">
        <v>46075.970138888886</v>
      </c>
      <c r="AO1186" t="s">
        <v>693</v>
      </c>
    </row>
    <row r="1187" spans="1:41" x14ac:dyDescent="0.3">
      <c r="A1187" t="s">
        <v>75</v>
      </c>
      <c r="B1187" t="s">
        <v>76</v>
      </c>
      <c r="C1187" t="s">
        <v>43</v>
      </c>
      <c r="D1187" t="s">
        <v>63</v>
      </c>
      <c r="E1187" s="1">
        <v>46070</v>
      </c>
      <c r="F1187" t="s">
        <v>1376</v>
      </c>
      <c r="G1187" t="s">
        <v>45</v>
      </c>
      <c r="H1187" s="2">
        <v>0.3125</v>
      </c>
      <c r="I1187" s="2">
        <v>0.70833333333333337</v>
      </c>
      <c r="J1187" t="s">
        <v>46</v>
      </c>
      <c r="K1187" t="s">
        <v>77</v>
      </c>
      <c r="L1187" t="s">
        <v>47</v>
      </c>
      <c r="M1187" t="s">
        <v>954</v>
      </c>
      <c r="N1187" t="s">
        <v>955</v>
      </c>
      <c r="O1187">
        <v>5952037</v>
      </c>
      <c r="Q1187" t="s">
        <v>1056</v>
      </c>
      <c r="R1187" t="s">
        <v>81</v>
      </c>
      <c r="S1187" t="s">
        <v>52</v>
      </c>
      <c r="U1187">
        <v>890836</v>
      </c>
      <c r="V1187" s="3">
        <v>46069.46597222222</v>
      </c>
      <c r="W1187" t="s">
        <v>957</v>
      </c>
      <c r="X1187" t="s">
        <v>958</v>
      </c>
      <c r="Y1187" t="str">
        <f>"0452457162"</f>
        <v>0452457162</v>
      </c>
      <c r="Z1187" t="s">
        <v>70</v>
      </c>
      <c r="AA1187" s="1">
        <v>46070</v>
      </c>
      <c r="AB1187" t="s">
        <v>85</v>
      </c>
      <c r="AD1187" t="s">
        <v>75</v>
      </c>
      <c r="AE1187" t="s">
        <v>86</v>
      </c>
      <c r="AF1187">
        <v>6000</v>
      </c>
      <c r="AG1187" t="s">
        <v>3532</v>
      </c>
      <c r="AI1187" t="s">
        <v>59</v>
      </c>
      <c r="AN1187" s="3">
        <v>46070.831250000003</v>
      </c>
      <c r="AO1187" t="s">
        <v>957</v>
      </c>
    </row>
    <row r="1188" spans="1:41" x14ac:dyDescent="0.3">
      <c r="A1188" t="s">
        <v>61</v>
      </c>
      <c r="B1188" t="s">
        <v>655</v>
      </c>
      <c r="C1188" t="s">
        <v>43</v>
      </c>
      <c r="D1188" t="s">
        <v>656</v>
      </c>
      <c r="E1188" s="1">
        <v>46070</v>
      </c>
      <c r="F1188" t="s">
        <v>1376</v>
      </c>
      <c r="G1188" t="s">
        <v>45</v>
      </c>
      <c r="H1188" s="2">
        <v>0.3125</v>
      </c>
      <c r="I1188" s="2">
        <v>0.99861111111111112</v>
      </c>
      <c r="J1188" t="s">
        <v>185</v>
      </c>
      <c r="K1188" t="s">
        <v>2136</v>
      </c>
      <c r="L1188" t="s">
        <v>186</v>
      </c>
      <c r="M1188" t="s">
        <v>777</v>
      </c>
      <c r="N1188" t="s">
        <v>778</v>
      </c>
      <c r="O1188">
        <v>5952331</v>
      </c>
      <c r="Q1188" t="s">
        <v>3177</v>
      </c>
      <c r="R1188" t="s">
        <v>132</v>
      </c>
      <c r="S1188" t="s">
        <v>52</v>
      </c>
      <c r="U1188">
        <v>890767</v>
      </c>
      <c r="V1188" s="3">
        <v>46069.37222222222</v>
      </c>
      <c r="W1188" t="s">
        <v>780</v>
      </c>
      <c r="X1188" t="s">
        <v>781</v>
      </c>
      <c r="Y1188" t="str">
        <f>"0478730906"</f>
        <v>0478730906</v>
      </c>
      <c r="Z1188" t="s">
        <v>70</v>
      </c>
      <c r="AA1188" s="1">
        <v>46070</v>
      </c>
      <c r="AB1188" t="s">
        <v>662</v>
      </c>
      <c r="AC1188" t="s">
        <v>663</v>
      </c>
      <c r="AD1188" t="s">
        <v>61</v>
      </c>
      <c r="AE1188" t="s">
        <v>664</v>
      </c>
      <c r="AF1188">
        <v>2067</v>
      </c>
      <c r="AG1188" t="s">
        <v>3177</v>
      </c>
      <c r="AI1188" t="s">
        <v>59</v>
      </c>
      <c r="AL1188" t="s">
        <v>3501</v>
      </c>
      <c r="AN1188" s="3">
        <v>46070.590277777781</v>
      </c>
      <c r="AO1188" t="s">
        <v>780</v>
      </c>
    </row>
    <row r="1189" spans="1:41" x14ac:dyDescent="0.3">
      <c r="A1189" t="s">
        <v>75</v>
      </c>
      <c r="B1189" t="s">
        <v>2210</v>
      </c>
      <c r="C1189" t="s">
        <v>2211</v>
      </c>
      <c r="D1189" t="s">
        <v>2212</v>
      </c>
      <c r="E1189" s="1">
        <v>46070</v>
      </c>
      <c r="F1189" t="s">
        <v>1376</v>
      </c>
      <c r="G1189" t="s">
        <v>45</v>
      </c>
      <c r="H1189" s="2">
        <v>0.3125</v>
      </c>
      <c r="I1189" s="2">
        <v>0.72916666666666663</v>
      </c>
      <c r="J1189" t="s">
        <v>101</v>
      </c>
      <c r="L1189" t="s">
        <v>159</v>
      </c>
      <c r="M1189" t="s">
        <v>1051</v>
      </c>
      <c r="N1189" t="s">
        <v>2213</v>
      </c>
      <c r="O1189">
        <v>22543</v>
      </c>
      <c r="Q1189" t="s">
        <v>3286</v>
      </c>
      <c r="R1189" t="s">
        <v>556</v>
      </c>
      <c r="S1189" t="s">
        <v>52</v>
      </c>
      <c r="U1189">
        <v>890835</v>
      </c>
      <c r="V1189" s="3">
        <v>46064.038888888892</v>
      </c>
      <c r="W1189" t="s">
        <v>2215</v>
      </c>
      <c r="X1189" t="s">
        <v>2216</v>
      </c>
      <c r="Y1189" t="str">
        <f>"0433875003"</f>
        <v>0433875003</v>
      </c>
      <c r="Z1189" t="s">
        <v>70</v>
      </c>
      <c r="AA1189" s="1">
        <v>46070</v>
      </c>
      <c r="AB1189" t="s">
        <v>2217</v>
      </c>
      <c r="AD1189" t="s">
        <v>75</v>
      </c>
      <c r="AE1189" t="s">
        <v>903</v>
      </c>
      <c r="AF1189">
        <v>6009</v>
      </c>
      <c r="AG1189" t="s">
        <v>2214</v>
      </c>
      <c r="AI1189" t="s">
        <v>59</v>
      </c>
      <c r="AL1189" t="s">
        <v>3533</v>
      </c>
      <c r="AN1189" s="3">
        <v>46070.828472222223</v>
      </c>
      <c r="AO1189" t="s">
        <v>2215</v>
      </c>
    </row>
    <row r="1190" spans="1:41" x14ac:dyDescent="0.3">
      <c r="A1190" t="s">
        <v>75</v>
      </c>
      <c r="B1190" t="s">
        <v>1104</v>
      </c>
      <c r="C1190" t="s">
        <v>43</v>
      </c>
      <c r="D1190" t="s">
        <v>700</v>
      </c>
      <c r="E1190" s="1">
        <v>46070</v>
      </c>
      <c r="F1190" t="s">
        <v>1376</v>
      </c>
      <c r="G1190" t="s">
        <v>45</v>
      </c>
      <c r="H1190" s="2">
        <v>0.3125</v>
      </c>
      <c r="I1190" s="2">
        <v>0.77083333333333337</v>
      </c>
      <c r="J1190" t="s">
        <v>185</v>
      </c>
      <c r="K1190" t="s">
        <v>327</v>
      </c>
      <c r="L1190" t="s">
        <v>186</v>
      </c>
      <c r="M1190" t="s">
        <v>1395</v>
      </c>
      <c r="N1190" t="s">
        <v>3534</v>
      </c>
      <c r="O1190">
        <v>5951171</v>
      </c>
      <c r="Q1190" t="s">
        <v>2728</v>
      </c>
      <c r="R1190" t="s">
        <v>556</v>
      </c>
      <c r="S1190" t="s">
        <v>52</v>
      </c>
      <c r="U1190">
        <v>890823</v>
      </c>
      <c r="V1190" s="3">
        <v>46042.772222222222</v>
      </c>
      <c r="W1190" t="s">
        <v>3535</v>
      </c>
      <c r="X1190" t="s">
        <v>3536</v>
      </c>
      <c r="Y1190" t="str">
        <f>"0478140302"</f>
        <v>0478140302</v>
      </c>
      <c r="Z1190" t="s">
        <v>366</v>
      </c>
      <c r="AB1190" t="s">
        <v>920</v>
      </c>
      <c r="AC1190" t="s">
        <v>1109</v>
      </c>
      <c r="AD1190" t="s">
        <v>75</v>
      </c>
      <c r="AE1190" t="s">
        <v>1110</v>
      </c>
      <c r="AF1190">
        <v>6014</v>
      </c>
      <c r="AG1190" t="s">
        <v>2728</v>
      </c>
      <c r="AI1190" t="s">
        <v>59</v>
      </c>
      <c r="AL1190" t="s">
        <v>3537</v>
      </c>
      <c r="AN1190" s="3">
        <v>46070.786805555559</v>
      </c>
      <c r="AO1190" t="s">
        <v>3535</v>
      </c>
    </row>
    <row r="1191" spans="1:41" x14ac:dyDescent="0.3">
      <c r="A1191" t="s">
        <v>61</v>
      </c>
      <c r="B1191" t="s">
        <v>350</v>
      </c>
      <c r="C1191" t="s">
        <v>202</v>
      </c>
      <c r="D1191" t="s">
        <v>63</v>
      </c>
      <c r="E1191" s="1">
        <v>46070</v>
      </c>
      <c r="F1191" t="s">
        <v>1376</v>
      </c>
      <c r="G1191" t="s">
        <v>45</v>
      </c>
      <c r="H1191" s="2">
        <v>0.33333333333333331</v>
      </c>
      <c r="I1191" s="2">
        <v>0.66666666666666663</v>
      </c>
      <c r="J1191" t="s">
        <v>46</v>
      </c>
      <c r="L1191" t="s">
        <v>1453</v>
      </c>
      <c r="M1191" t="s">
        <v>3538</v>
      </c>
      <c r="N1191" t="s">
        <v>3539</v>
      </c>
      <c r="O1191">
        <v>5952132</v>
      </c>
      <c r="Q1191" t="s">
        <v>369</v>
      </c>
      <c r="R1191" t="s">
        <v>67</v>
      </c>
      <c r="S1191" t="s">
        <v>52</v>
      </c>
      <c r="U1191">
        <v>890781</v>
      </c>
      <c r="V1191" s="3">
        <v>46069.524305555555</v>
      </c>
      <c r="W1191" t="s">
        <v>3540</v>
      </c>
      <c r="X1191" t="s">
        <v>3541</v>
      </c>
      <c r="Y1191" t="str">
        <f>"0401507107"</f>
        <v>0401507107</v>
      </c>
      <c r="Z1191" t="s">
        <v>123</v>
      </c>
      <c r="AB1191" t="s">
        <v>356</v>
      </c>
      <c r="AD1191" t="s">
        <v>61</v>
      </c>
      <c r="AE1191" t="s">
        <v>357</v>
      </c>
      <c r="AF1191">
        <v>2153</v>
      </c>
      <c r="AG1191" t="s">
        <v>353</v>
      </c>
      <c r="AI1191" t="s">
        <v>59</v>
      </c>
      <c r="AL1191" t="s">
        <v>2901</v>
      </c>
      <c r="AN1191" s="3">
        <v>46070.665277777778</v>
      </c>
      <c r="AO1191" t="s">
        <v>3540</v>
      </c>
    </row>
    <row r="1192" spans="1:41" x14ac:dyDescent="0.3">
      <c r="A1192" t="s">
        <v>306</v>
      </c>
      <c r="B1192" t="s">
        <v>1435</v>
      </c>
      <c r="C1192" t="s">
        <v>2332</v>
      </c>
      <c r="D1192" t="s">
        <v>1436</v>
      </c>
      <c r="E1192" s="1">
        <v>46070</v>
      </c>
      <c r="F1192" t="s">
        <v>1376</v>
      </c>
      <c r="G1192" t="s">
        <v>45</v>
      </c>
      <c r="H1192" s="2">
        <v>0.33333333333333331</v>
      </c>
      <c r="I1192" s="2">
        <v>0.5</v>
      </c>
      <c r="J1192" t="s">
        <v>1524</v>
      </c>
      <c r="L1192" t="s">
        <v>1524</v>
      </c>
      <c r="M1192" t="s">
        <v>1525</v>
      </c>
      <c r="N1192" t="s">
        <v>1526</v>
      </c>
      <c r="O1192">
        <v>5951852</v>
      </c>
      <c r="Q1192" t="s">
        <v>705</v>
      </c>
      <c r="R1192" t="s">
        <v>500</v>
      </c>
      <c r="S1192" t="s">
        <v>52</v>
      </c>
      <c r="U1192">
        <v>890755</v>
      </c>
      <c r="V1192" s="3">
        <v>46069.824305555558</v>
      </c>
      <c r="W1192" t="s">
        <v>1527</v>
      </c>
      <c r="X1192" t="s">
        <v>1528</v>
      </c>
      <c r="Y1192" t="str">
        <f>"0413379513"</f>
        <v>0413379513</v>
      </c>
      <c r="Z1192" t="s">
        <v>70</v>
      </c>
      <c r="AA1192" s="1">
        <v>46070</v>
      </c>
      <c r="AB1192" t="s">
        <v>1438</v>
      </c>
      <c r="AD1192" t="s">
        <v>306</v>
      </c>
      <c r="AE1192" t="s">
        <v>1439</v>
      </c>
      <c r="AF1192">
        <v>3128</v>
      </c>
      <c r="AG1192" t="s">
        <v>413</v>
      </c>
      <c r="AI1192" t="s">
        <v>59</v>
      </c>
      <c r="AL1192" t="s">
        <v>3542</v>
      </c>
      <c r="AN1192" s="3">
        <v>46070.499305555553</v>
      </c>
      <c r="AO1192" t="s">
        <v>1527</v>
      </c>
    </row>
    <row r="1193" spans="1:41" x14ac:dyDescent="0.3">
      <c r="A1193" t="s">
        <v>75</v>
      </c>
      <c r="B1193" t="s">
        <v>1971</v>
      </c>
      <c r="C1193" t="s">
        <v>1972</v>
      </c>
      <c r="D1193" t="s">
        <v>1971</v>
      </c>
      <c r="E1193" s="1">
        <v>46070</v>
      </c>
      <c r="F1193" t="s">
        <v>1376</v>
      </c>
      <c r="G1193" t="s">
        <v>45</v>
      </c>
      <c r="H1193" s="2">
        <v>0.33333333333333331</v>
      </c>
      <c r="I1193" s="2">
        <v>0.79166666666666663</v>
      </c>
      <c r="J1193" t="s">
        <v>112</v>
      </c>
      <c r="K1193" t="s">
        <v>1973</v>
      </c>
      <c r="L1193" t="s">
        <v>114</v>
      </c>
      <c r="M1193" t="s">
        <v>1974</v>
      </c>
      <c r="N1193" t="s">
        <v>1975</v>
      </c>
      <c r="O1193">
        <v>22383</v>
      </c>
      <c r="Q1193" t="s">
        <v>1976</v>
      </c>
      <c r="R1193" t="s">
        <v>118</v>
      </c>
      <c r="S1193" t="s">
        <v>52</v>
      </c>
      <c r="U1193">
        <v>890845</v>
      </c>
      <c r="V1193" s="3">
        <v>46066.822222222225</v>
      </c>
      <c r="W1193" t="s">
        <v>1977</v>
      </c>
      <c r="X1193" t="s">
        <v>1978</v>
      </c>
      <c r="Y1193" t="str">
        <f>"0405795510"</f>
        <v>0405795510</v>
      </c>
      <c r="Z1193" t="s">
        <v>503</v>
      </c>
      <c r="AB1193" t="s">
        <v>1979</v>
      </c>
      <c r="AD1193" t="s">
        <v>75</v>
      </c>
      <c r="AE1193" t="s">
        <v>125</v>
      </c>
      <c r="AF1193">
        <v>6017</v>
      </c>
      <c r="AG1193" t="s">
        <v>1976</v>
      </c>
      <c r="AI1193" t="s">
        <v>59</v>
      </c>
      <c r="AN1193" s="3">
        <v>46070.863194444442</v>
      </c>
      <c r="AO1193" t="s">
        <v>1977</v>
      </c>
    </row>
    <row r="1194" spans="1:41" x14ac:dyDescent="0.3">
      <c r="A1194" t="s">
        <v>61</v>
      </c>
      <c r="B1194" t="s">
        <v>912</v>
      </c>
      <c r="C1194" t="s">
        <v>913</v>
      </c>
      <c r="D1194" t="s">
        <v>184</v>
      </c>
      <c r="E1194" s="1">
        <v>46070</v>
      </c>
      <c r="F1194" t="s">
        <v>1376</v>
      </c>
      <c r="G1194" t="s">
        <v>45</v>
      </c>
      <c r="H1194" s="2">
        <v>0.33333333333333331</v>
      </c>
      <c r="I1194" s="2">
        <v>0.99861111111111112</v>
      </c>
      <c r="J1194" t="s">
        <v>185</v>
      </c>
      <c r="K1194" t="s">
        <v>284</v>
      </c>
      <c r="L1194" t="s">
        <v>186</v>
      </c>
      <c r="M1194" t="s">
        <v>1395</v>
      </c>
      <c r="N1194" t="s">
        <v>1396</v>
      </c>
      <c r="O1194">
        <v>758</v>
      </c>
      <c r="Q1194" t="s">
        <v>923</v>
      </c>
      <c r="R1194" t="s">
        <v>132</v>
      </c>
      <c r="S1194" t="s">
        <v>52</v>
      </c>
      <c r="U1194">
        <v>890837</v>
      </c>
      <c r="V1194" s="3">
        <v>46058.480555555558</v>
      </c>
      <c r="W1194" t="s">
        <v>1397</v>
      </c>
      <c r="X1194" t="s">
        <v>1398</v>
      </c>
      <c r="Y1194" t="str">
        <f>"0402403886"</f>
        <v>0402403886</v>
      </c>
      <c r="Z1194" t="s">
        <v>3543</v>
      </c>
      <c r="AB1194" t="s">
        <v>920</v>
      </c>
      <c r="AC1194" t="s">
        <v>921</v>
      </c>
      <c r="AD1194" t="s">
        <v>61</v>
      </c>
      <c r="AE1194" t="s">
        <v>922</v>
      </c>
      <c r="AF1194">
        <v>2228</v>
      </c>
      <c r="AG1194" t="s">
        <v>1807</v>
      </c>
      <c r="AI1194" t="s">
        <v>59</v>
      </c>
      <c r="AL1194" t="s">
        <v>3544</v>
      </c>
      <c r="AN1194" s="3">
        <v>46070.833333333336</v>
      </c>
      <c r="AO1194" t="s">
        <v>1397</v>
      </c>
    </row>
    <row r="1195" spans="1:41" x14ac:dyDescent="0.3">
      <c r="A1195" t="s">
        <v>61</v>
      </c>
      <c r="B1195" t="s">
        <v>126</v>
      </c>
      <c r="C1195" t="s">
        <v>43</v>
      </c>
      <c r="D1195" t="s">
        <v>127</v>
      </c>
      <c r="E1195" s="1">
        <v>46070</v>
      </c>
      <c r="F1195" t="s">
        <v>1376</v>
      </c>
      <c r="G1195" t="s">
        <v>45</v>
      </c>
      <c r="H1195" s="2">
        <v>0.33333333333333331</v>
      </c>
      <c r="I1195" s="2">
        <v>0.99861111111111112</v>
      </c>
      <c r="J1195" t="s">
        <v>100</v>
      </c>
      <c r="L1195" t="s">
        <v>100</v>
      </c>
      <c r="M1195" t="s">
        <v>153</v>
      </c>
      <c r="N1195" t="s">
        <v>154</v>
      </c>
      <c r="O1195">
        <v>21936</v>
      </c>
      <c r="Q1195" t="s">
        <v>131</v>
      </c>
      <c r="R1195" t="s">
        <v>132</v>
      </c>
      <c r="S1195" t="s">
        <v>52</v>
      </c>
      <c r="U1195">
        <v>890761</v>
      </c>
      <c r="V1195" s="3">
        <v>46042.632638888892</v>
      </c>
      <c r="W1195" t="s">
        <v>155</v>
      </c>
      <c r="X1195" t="s">
        <v>156</v>
      </c>
      <c r="Y1195" t="str">
        <f>"0425175454"</f>
        <v>0425175454</v>
      </c>
      <c r="Z1195" t="s">
        <v>654</v>
      </c>
      <c r="AB1195" t="s">
        <v>136</v>
      </c>
      <c r="AD1195" t="s">
        <v>61</v>
      </c>
      <c r="AE1195" t="s">
        <v>137</v>
      </c>
      <c r="AF1195">
        <v>2032</v>
      </c>
      <c r="AG1195" t="s">
        <v>131</v>
      </c>
      <c r="AI1195" t="s">
        <v>59</v>
      </c>
      <c r="AL1195" t="s">
        <v>3501</v>
      </c>
      <c r="AN1195" s="3">
        <v>46070.563888888886</v>
      </c>
      <c r="AO1195" t="s">
        <v>155</v>
      </c>
    </row>
    <row r="1196" spans="1:41" x14ac:dyDescent="0.3">
      <c r="A1196" t="s">
        <v>168</v>
      </c>
      <c r="B1196" t="s">
        <v>847</v>
      </c>
      <c r="C1196" t="s">
        <v>848</v>
      </c>
      <c r="D1196" t="s">
        <v>268</v>
      </c>
      <c r="E1196" s="1">
        <v>46070</v>
      </c>
      <c r="F1196" t="s">
        <v>1376</v>
      </c>
      <c r="G1196" t="s">
        <v>45</v>
      </c>
      <c r="H1196" s="2">
        <v>0.35416666666666669</v>
      </c>
      <c r="I1196" s="2">
        <v>0.70833333333333337</v>
      </c>
      <c r="J1196" t="s">
        <v>101</v>
      </c>
      <c r="K1196" t="s">
        <v>849</v>
      </c>
      <c r="L1196" t="s">
        <v>159</v>
      </c>
      <c r="M1196" t="s">
        <v>1552</v>
      </c>
      <c r="N1196" t="s">
        <v>1553</v>
      </c>
      <c r="O1196">
        <v>5951790</v>
      </c>
      <c r="Q1196" t="s">
        <v>857</v>
      </c>
      <c r="R1196" t="s">
        <v>231</v>
      </c>
      <c r="S1196" t="s">
        <v>52</v>
      </c>
      <c r="U1196">
        <v>890809</v>
      </c>
      <c r="V1196" s="3">
        <v>46035.579861111109</v>
      </c>
      <c r="W1196" t="s">
        <v>1554</v>
      </c>
      <c r="X1196" t="s">
        <v>1555</v>
      </c>
      <c r="Y1196" t="str">
        <f>"0402115073"</f>
        <v>0402115073</v>
      </c>
      <c r="Z1196" t="s">
        <v>2000</v>
      </c>
      <c r="AB1196" t="s">
        <v>847</v>
      </c>
      <c r="AC1196" t="s">
        <v>855</v>
      </c>
      <c r="AD1196" t="s">
        <v>168</v>
      </c>
      <c r="AE1196" t="s">
        <v>856</v>
      </c>
      <c r="AF1196">
        <v>5112</v>
      </c>
      <c r="AG1196" t="s">
        <v>857</v>
      </c>
      <c r="AI1196" t="s">
        <v>59</v>
      </c>
      <c r="AL1196" t="s">
        <v>1556</v>
      </c>
      <c r="AN1196" s="3">
        <v>46070.720138888886</v>
      </c>
      <c r="AO1196" t="s">
        <v>1554</v>
      </c>
    </row>
    <row r="1197" spans="1:41" x14ac:dyDescent="0.3">
      <c r="A1197" t="s">
        <v>168</v>
      </c>
      <c r="B1197" t="s">
        <v>409</v>
      </c>
      <c r="C1197" t="s">
        <v>1869</v>
      </c>
      <c r="D1197" t="s">
        <v>309</v>
      </c>
      <c r="E1197" s="1">
        <v>46070</v>
      </c>
      <c r="F1197" t="s">
        <v>1376</v>
      </c>
      <c r="G1197" t="s">
        <v>45</v>
      </c>
      <c r="H1197" s="2">
        <v>0.35416666666666669</v>
      </c>
      <c r="I1197" s="2">
        <v>0.60416666666666663</v>
      </c>
      <c r="J1197" t="s">
        <v>170</v>
      </c>
      <c r="K1197" t="s">
        <v>171</v>
      </c>
      <c r="L1197" t="s">
        <v>204</v>
      </c>
      <c r="M1197" t="s">
        <v>1876</v>
      </c>
      <c r="N1197" t="s">
        <v>1877</v>
      </c>
      <c r="O1197">
        <v>22978</v>
      </c>
      <c r="Q1197" t="s">
        <v>3545</v>
      </c>
      <c r="R1197" t="s">
        <v>1248</v>
      </c>
      <c r="S1197" t="s">
        <v>52</v>
      </c>
      <c r="U1197">
        <v>890756</v>
      </c>
      <c r="V1197" s="3">
        <v>46069.816666666666</v>
      </c>
      <c r="W1197" t="s">
        <v>1878</v>
      </c>
      <c r="X1197" t="s">
        <v>1879</v>
      </c>
      <c r="Y1197" t="str">
        <f>"0401845401"</f>
        <v>0401845401</v>
      </c>
      <c r="Z1197" t="s">
        <v>70</v>
      </c>
      <c r="AA1197" s="1">
        <v>46070</v>
      </c>
      <c r="AB1197" t="s">
        <v>417</v>
      </c>
      <c r="AD1197" t="s">
        <v>168</v>
      </c>
      <c r="AE1197" t="s">
        <v>384</v>
      </c>
      <c r="AF1197">
        <v>5000</v>
      </c>
      <c r="AI1197" t="s">
        <v>59</v>
      </c>
      <c r="AL1197" t="s">
        <v>3546</v>
      </c>
      <c r="AM1197" t="s">
        <v>3547</v>
      </c>
      <c r="AN1197" s="3">
        <v>46070.541666666664</v>
      </c>
      <c r="AO1197" t="s">
        <v>1878</v>
      </c>
    </row>
    <row r="1198" spans="1:41" x14ac:dyDescent="0.3">
      <c r="A1198" t="s">
        <v>61</v>
      </c>
      <c r="B1198" t="s">
        <v>655</v>
      </c>
      <c r="C1198" t="s">
        <v>43</v>
      </c>
      <c r="D1198" t="s">
        <v>656</v>
      </c>
      <c r="E1198" s="1">
        <v>46070</v>
      </c>
      <c r="F1198" t="s">
        <v>1376</v>
      </c>
      <c r="G1198" t="s">
        <v>45</v>
      </c>
      <c r="H1198" s="2">
        <v>0.35416666666666669</v>
      </c>
      <c r="I1198" s="2">
        <v>0.70833333333333337</v>
      </c>
      <c r="J1198" t="s">
        <v>100</v>
      </c>
      <c r="L1198" t="s">
        <v>100</v>
      </c>
      <c r="M1198" t="s">
        <v>1566</v>
      </c>
      <c r="N1198" t="s">
        <v>1567</v>
      </c>
      <c r="O1198">
        <v>20900</v>
      </c>
      <c r="Q1198" t="s">
        <v>665</v>
      </c>
      <c r="R1198" t="s">
        <v>145</v>
      </c>
      <c r="S1198" t="s">
        <v>52</v>
      </c>
      <c r="U1198">
        <v>890784</v>
      </c>
      <c r="V1198" s="3">
        <v>46037.762499999997</v>
      </c>
      <c r="W1198" t="s">
        <v>1569</v>
      </c>
      <c r="X1198" t="s">
        <v>1570</v>
      </c>
      <c r="Y1198" t="str">
        <f>"0411393136"</f>
        <v>0411393136</v>
      </c>
      <c r="Z1198" t="s">
        <v>3548</v>
      </c>
      <c r="AB1198" t="s">
        <v>662</v>
      </c>
      <c r="AC1198" t="s">
        <v>663</v>
      </c>
      <c r="AD1198" t="s">
        <v>61</v>
      </c>
      <c r="AE1198" t="s">
        <v>664</v>
      </c>
      <c r="AF1198">
        <v>2067</v>
      </c>
      <c r="AG1198" t="s">
        <v>1571</v>
      </c>
      <c r="AI1198" t="s">
        <v>59</v>
      </c>
      <c r="AL1198" t="s">
        <v>3501</v>
      </c>
      <c r="AN1198" s="3">
        <v>46070.675000000003</v>
      </c>
      <c r="AO1198" t="s">
        <v>1569</v>
      </c>
    </row>
    <row r="1199" spans="1:41" x14ac:dyDescent="0.3">
      <c r="A1199" t="s">
        <v>168</v>
      </c>
      <c r="B1199" t="s">
        <v>266</v>
      </c>
      <c r="C1199" t="s">
        <v>1150</v>
      </c>
      <c r="D1199" t="s">
        <v>268</v>
      </c>
      <c r="E1199" s="1">
        <v>46070</v>
      </c>
      <c r="F1199" t="s">
        <v>1376</v>
      </c>
      <c r="G1199" t="s">
        <v>45</v>
      </c>
      <c r="H1199" s="2">
        <v>0.35416666666666669</v>
      </c>
      <c r="I1199" s="2">
        <v>0.70833333333333337</v>
      </c>
      <c r="J1199" t="s">
        <v>101</v>
      </c>
      <c r="K1199" t="s">
        <v>849</v>
      </c>
      <c r="L1199" t="s">
        <v>159</v>
      </c>
      <c r="M1199" t="s">
        <v>3549</v>
      </c>
      <c r="N1199" t="s">
        <v>836</v>
      </c>
      <c r="O1199">
        <v>22052</v>
      </c>
      <c r="Q1199" t="s">
        <v>3243</v>
      </c>
      <c r="R1199" t="s">
        <v>231</v>
      </c>
      <c r="S1199" t="s">
        <v>52</v>
      </c>
      <c r="U1199">
        <v>890788</v>
      </c>
      <c r="V1199" s="3">
        <v>46065.538194444445</v>
      </c>
      <c r="W1199" t="s">
        <v>3550</v>
      </c>
      <c r="X1199" t="s">
        <v>3551</v>
      </c>
      <c r="Y1199" t="str">
        <f>"0435486127"</f>
        <v>0435486127</v>
      </c>
      <c r="Z1199" t="s">
        <v>55</v>
      </c>
      <c r="AA1199" s="1">
        <v>46070</v>
      </c>
      <c r="AB1199" t="s">
        <v>277</v>
      </c>
      <c r="AC1199" t="s">
        <v>278</v>
      </c>
      <c r="AD1199" t="s">
        <v>168</v>
      </c>
      <c r="AE1199" t="s">
        <v>279</v>
      </c>
      <c r="AF1199">
        <v>5092</v>
      </c>
      <c r="AG1199" t="s">
        <v>1090</v>
      </c>
      <c r="AI1199" t="s">
        <v>59</v>
      </c>
      <c r="AL1199" t="s">
        <v>3552</v>
      </c>
      <c r="AN1199" s="3">
        <v>46070.693055555559</v>
      </c>
      <c r="AO1199" t="s">
        <v>3550</v>
      </c>
    </row>
    <row r="1200" spans="1:41" x14ac:dyDescent="0.3">
      <c r="A1200" t="s">
        <v>874</v>
      </c>
      <c r="B1200" t="s">
        <v>875</v>
      </c>
      <c r="D1200" t="s">
        <v>388</v>
      </c>
      <c r="E1200" s="1">
        <v>46070</v>
      </c>
      <c r="F1200" t="s">
        <v>1376</v>
      </c>
      <c r="G1200" t="s">
        <v>45</v>
      </c>
      <c r="H1200" s="2">
        <v>0.35416666666666669</v>
      </c>
      <c r="I1200" s="2">
        <v>0.70833333333333337</v>
      </c>
      <c r="J1200" t="s">
        <v>876</v>
      </c>
      <c r="L1200" t="s">
        <v>877</v>
      </c>
      <c r="M1200" t="s">
        <v>878</v>
      </c>
      <c r="N1200" t="s">
        <v>879</v>
      </c>
      <c r="O1200">
        <v>5951689</v>
      </c>
      <c r="P1200" t="s">
        <v>249</v>
      </c>
      <c r="Q1200" t="s">
        <v>880</v>
      </c>
      <c r="R1200" t="s">
        <v>392</v>
      </c>
      <c r="S1200" t="s">
        <v>52</v>
      </c>
      <c r="T1200" t="s">
        <v>252</v>
      </c>
      <c r="U1200">
        <v>891244</v>
      </c>
      <c r="V1200" s="3">
        <v>46073.466666666667</v>
      </c>
      <c r="W1200" t="s">
        <v>881</v>
      </c>
      <c r="X1200" t="s">
        <v>882</v>
      </c>
      <c r="Y1200" t="str">
        <f>"0474765680"</f>
        <v>0474765680</v>
      </c>
      <c r="Z1200" t="s">
        <v>254</v>
      </c>
      <c r="AA1200" s="1">
        <v>46110</v>
      </c>
      <c r="AB1200" t="s">
        <v>883</v>
      </c>
      <c r="AD1200" t="s">
        <v>397</v>
      </c>
      <c r="AE1200" t="s">
        <v>884</v>
      </c>
      <c r="AG1200" t="s">
        <v>880</v>
      </c>
      <c r="AI1200" t="s">
        <v>59</v>
      </c>
      <c r="AJ1200" t="str">
        <f>"0090000061"</f>
        <v>0090000061</v>
      </c>
      <c r="AN1200" s="3">
        <v>46073.466666666667</v>
      </c>
      <c r="AO1200" t="s">
        <v>392</v>
      </c>
    </row>
    <row r="1201" spans="1:41" x14ac:dyDescent="0.3">
      <c r="A1201" t="s">
        <v>41</v>
      </c>
      <c r="B1201" t="s">
        <v>965</v>
      </c>
      <c r="C1201" t="s">
        <v>43</v>
      </c>
      <c r="D1201" t="s">
        <v>966</v>
      </c>
      <c r="E1201" s="1">
        <v>46070</v>
      </c>
      <c r="F1201" t="s">
        <v>1376</v>
      </c>
      <c r="G1201" t="s">
        <v>45</v>
      </c>
      <c r="H1201" s="2">
        <v>0.375</v>
      </c>
      <c r="I1201" s="2">
        <v>0.66666666666666663</v>
      </c>
      <c r="J1201" t="s">
        <v>185</v>
      </c>
      <c r="L1201" t="s">
        <v>186</v>
      </c>
      <c r="M1201" t="s">
        <v>1558</v>
      </c>
      <c r="N1201" t="s">
        <v>1055</v>
      </c>
      <c r="O1201">
        <v>5952442</v>
      </c>
      <c r="Q1201" t="s">
        <v>823</v>
      </c>
      <c r="R1201" t="s">
        <v>723</v>
      </c>
      <c r="S1201" t="s">
        <v>52</v>
      </c>
      <c r="U1201">
        <v>890808</v>
      </c>
      <c r="V1201" s="3">
        <v>46070.359027777777</v>
      </c>
      <c r="W1201" t="s">
        <v>1560</v>
      </c>
      <c r="X1201" t="s">
        <v>1561</v>
      </c>
      <c r="Y1201" t="str">
        <f>"0459639482"</f>
        <v>0459639482</v>
      </c>
      <c r="Z1201" t="s">
        <v>70</v>
      </c>
      <c r="AA1201" s="1">
        <v>46070</v>
      </c>
      <c r="AB1201" t="s">
        <v>972</v>
      </c>
      <c r="AD1201" t="s">
        <v>41</v>
      </c>
      <c r="AE1201" t="s">
        <v>973</v>
      </c>
      <c r="AF1201">
        <v>4068</v>
      </c>
      <c r="AG1201" t="s">
        <v>1418</v>
      </c>
      <c r="AI1201" t="s">
        <v>59</v>
      </c>
      <c r="AL1201" t="s">
        <v>3553</v>
      </c>
      <c r="AN1201" s="3">
        <v>46070.714583333334</v>
      </c>
      <c r="AO1201" t="s">
        <v>1560</v>
      </c>
    </row>
    <row r="1202" spans="1:41" x14ac:dyDescent="0.3">
      <c r="A1202" t="s">
        <v>168</v>
      </c>
      <c r="B1202" t="s">
        <v>441</v>
      </c>
      <c r="C1202" t="s">
        <v>202</v>
      </c>
      <c r="E1202" s="1">
        <v>46070</v>
      </c>
      <c r="F1202" t="s">
        <v>1376</v>
      </c>
      <c r="G1202" t="s">
        <v>45</v>
      </c>
      <c r="H1202" s="2">
        <v>0.375</v>
      </c>
      <c r="I1202" s="2">
        <v>0.70833333333333337</v>
      </c>
      <c r="J1202" t="s">
        <v>46</v>
      </c>
      <c r="L1202" t="s">
        <v>47</v>
      </c>
      <c r="M1202" t="s">
        <v>1089</v>
      </c>
      <c r="N1202" t="s">
        <v>1024</v>
      </c>
      <c r="O1202">
        <v>20963</v>
      </c>
      <c r="Q1202" t="s">
        <v>944</v>
      </c>
      <c r="R1202" t="s">
        <v>556</v>
      </c>
      <c r="S1202" t="s">
        <v>52</v>
      </c>
      <c r="U1202">
        <v>890807</v>
      </c>
      <c r="V1202" s="3">
        <v>46050.944444444445</v>
      </c>
      <c r="W1202" t="s">
        <v>1091</v>
      </c>
      <c r="X1202" t="s">
        <v>1092</v>
      </c>
      <c r="Y1202" t="str">
        <f>"0430222501"</f>
        <v>0430222501</v>
      </c>
      <c r="Z1202" t="s">
        <v>70</v>
      </c>
      <c r="AA1202" s="1">
        <v>46070</v>
      </c>
      <c r="AB1202" t="s">
        <v>448</v>
      </c>
      <c r="AD1202" t="s">
        <v>168</v>
      </c>
      <c r="AE1202" t="s">
        <v>180</v>
      </c>
      <c r="AF1202">
        <v>5063</v>
      </c>
      <c r="AG1202" t="s">
        <v>944</v>
      </c>
      <c r="AI1202" t="s">
        <v>59</v>
      </c>
      <c r="AL1202" t="s">
        <v>1121</v>
      </c>
      <c r="AN1202" s="3">
        <v>46070.709722222222</v>
      </c>
      <c r="AO1202" t="s">
        <v>1091</v>
      </c>
    </row>
    <row r="1203" spans="1:41" x14ac:dyDescent="0.3">
      <c r="A1203" t="s">
        <v>168</v>
      </c>
      <c r="B1203" t="s">
        <v>376</v>
      </c>
      <c r="C1203" t="s">
        <v>202</v>
      </c>
      <c r="D1203" t="s">
        <v>127</v>
      </c>
      <c r="E1203" s="1">
        <v>46070</v>
      </c>
      <c r="F1203" t="s">
        <v>1376</v>
      </c>
      <c r="G1203" t="s">
        <v>45</v>
      </c>
      <c r="H1203" s="2">
        <v>0.375</v>
      </c>
      <c r="I1203" s="2">
        <v>0.70833333333333337</v>
      </c>
      <c r="J1203" t="s">
        <v>46</v>
      </c>
      <c r="L1203" t="s">
        <v>47</v>
      </c>
      <c r="M1203" t="s">
        <v>1401</v>
      </c>
      <c r="N1203" t="s">
        <v>1944</v>
      </c>
      <c r="O1203">
        <v>22123</v>
      </c>
      <c r="Q1203" t="s">
        <v>1389</v>
      </c>
      <c r="R1203" t="s">
        <v>231</v>
      </c>
      <c r="S1203" t="s">
        <v>52</v>
      </c>
      <c r="U1203">
        <v>890785</v>
      </c>
      <c r="V1203" s="3">
        <v>46051.607638888891</v>
      </c>
      <c r="W1203" t="s">
        <v>1945</v>
      </c>
      <c r="X1203" t="s">
        <v>1946</v>
      </c>
      <c r="Y1203" t="str">
        <f>"0439908622"</f>
        <v>0439908622</v>
      </c>
      <c r="Z1203" t="s">
        <v>3554</v>
      </c>
      <c r="AB1203" t="s">
        <v>383</v>
      </c>
      <c r="AD1203" t="s">
        <v>168</v>
      </c>
      <c r="AE1203" t="s">
        <v>384</v>
      </c>
      <c r="AF1203">
        <v>5000</v>
      </c>
      <c r="AG1203" t="s">
        <v>1389</v>
      </c>
      <c r="AI1203" t="s">
        <v>59</v>
      </c>
      <c r="AL1203" t="s">
        <v>3555</v>
      </c>
      <c r="AN1203" s="3">
        <v>46070.677083333336</v>
      </c>
      <c r="AO1203" t="s">
        <v>1945</v>
      </c>
    </row>
    <row r="1204" spans="1:41" x14ac:dyDescent="0.3">
      <c r="A1204" t="s">
        <v>168</v>
      </c>
      <c r="B1204" t="s">
        <v>689</v>
      </c>
      <c r="C1204" t="s">
        <v>43</v>
      </c>
      <c r="D1204" t="s">
        <v>268</v>
      </c>
      <c r="E1204" s="1">
        <v>46070</v>
      </c>
      <c r="F1204" t="s">
        <v>1376</v>
      </c>
      <c r="G1204" t="s">
        <v>45</v>
      </c>
      <c r="H1204" s="2">
        <v>0.375</v>
      </c>
      <c r="I1204" s="2">
        <v>0.72916666666666663</v>
      </c>
      <c r="J1204" t="s">
        <v>100</v>
      </c>
      <c r="L1204" t="s">
        <v>100</v>
      </c>
      <c r="M1204" t="s">
        <v>862</v>
      </c>
      <c r="N1204" t="s">
        <v>863</v>
      </c>
      <c r="O1204">
        <v>5952375</v>
      </c>
      <c r="Q1204" t="s">
        <v>692</v>
      </c>
      <c r="R1204" t="s">
        <v>864</v>
      </c>
      <c r="S1204" t="s">
        <v>52</v>
      </c>
      <c r="T1204" t="s">
        <v>252</v>
      </c>
      <c r="U1204">
        <v>891424</v>
      </c>
      <c r="V1204" s="3">
        <v>46076.354166666664</v>
      </c>
      <c r="W1204" t="s">
        <v>864</v>
      </c>
      <c r="X1204" t="s">
        <v>865</v>
      </c>
      <c r="Y1204" t="str">
        <f>"0433092113"</f>
        <v>0433092113</v>
      </c>
      <c r="Z1204" t="s">
        <v>254</v>
      </c>
      <c r="AA1204" s="1">
        <v>46075</v>
      </c>
      <c r="AB1204" t="s">
        <v>695</v>
      </c>
      <c r="AD1204" t="s">
        <v>168</v>
      </c>
      <c r="AE1204" t="s">
        <v>696</v>
      </c>
      <c r="AF1204">
        <v>5606</v>
      </c>
      <c r="AG1204" t="s">
        <v>3045</v>
      </c>
      <c r="AI1204" t="s">
        <v>59</v>
      </c>
      <c r="AJ1204" t="str">
        <f>"0020187960"</f>
        <v>0020187960</v>
      </c>
      <c r="AN1204" s="3">
        <v>46076.354166666664</v>
      </c>
      <c r="AO1204" t="s">
        <v>864</v>
      </c>
    </row>
    <row r="1205" spans="1:41" x14ac:dyDescent="0.3">
      <c r="A1205" t="s">
        <v>41</v>
      </c>
      <c r="B1205" t="s">
        <v>632</v>
      </c>
      <c r="C1205" t="s">
        <v>296</v>
      </c>
      <c r="D1205" t="s">
        <v>246</v>
      </c>
      <c r="E1205" s="1">
        <v>46070</v>
      </c>
      <c r="F1205" t="s">
        <v>1376</v>
      </c>
      <c r="G1205" t="s">
        <v>45</v>
      </c>
      <c r="H1205" s="2">
        <v>0.39583333333333331</v>
      </c>
      <c r="I1205" s="2">
        <v>0.625</v>
      </c>
      <c r="J1205" t="s">
        <v>464</v>
      </c>
      <c r="K1205" t="s">
        <v>2096</v>
      </c>
      <c r="L1205" t="s">
        <v>464</v>
      </c>
      <c r="M1205" t="s">
        <v>3556</v>
      </c>
      <c r="N1205" t="s">
        <v>1509</v>
      </c>
      <c r="O1205">
        <v>5952298</v>
      </c>
      <c r="Q1205" t="s">
        <v>2976</v>
      </c>
      <c r="R1205" t="s">
        <v>51</v>
      </c>
      <c r="S1205" t="s">
        <v>52</v>
      </c>
      <c r="U1205">
        <v>890780</v>
      </c>
      <c r="V1205" s="3">
        <v>46063.55</v>
      </c>
      <c r="W1205" t="s">
        <v>3557</v>
      </c>
      <c r="X1205" t="s">
        <v>3558</v>
      </c>
      <c r="Y1205" t="str">
        <f>"0410120754"</f>
        <v>0410120754</v>
      </c>
      <c r="Z1205" t="s">
        <v>1862</v>
      </c>
      <c r="AB1205" t="s">
        <v>640</v>
      </c>
      <c r="AD1205" t="s">
        <v>41</v>
      </c>
      <c r="AE1205" t="s">
        <v>641</v>
      </c>
      <c r="AF1205">
        <v>4305</v>
      </c>
      <c r="AG1205" t="s">
        <v>2098</v>
      </c>
      <c r="AI1205" t="s">
        <v>59</v>
      </c>
      <c r="AL1205" t="s">
        <v>3559</v>
      </c>
      <c r="AN1205" s="3">
        <v>46070.660416666666</v>
      </c>
      <c r="AO1205" t="s">
        <v>3557</v>
      </c>
    </row>
    <row r="1206" spans="1:41" x14ac:dyDescent="0.3">
      <c r="A1206" t="s">
        <v>41</v>
      </c>
      <c r="B1206" t="s">
        <v>2102</v>
      </c>
      <c r="C1206" t="s">
        <v>3233</v>
      </c>
      <c r="D1206" t="s">
        <v>1286</v>
      </c>
      <c r="E1206" s="1">
        <v>46070</v>
      </c>
      <c r="F1206" t="s">
        <v>1376</v>
      </c>
      <c r="G1206" t="s">
        <v>45</v>
      </c>
      <c r="H1206" s="2">
        <v>0.39583333333333331</v>
      </c>
      <c r="I1206" s="2">
        <v>0.75</v>
      </c>
      <c r="J1206" t="s">
        <v>463</v>
      </c>
      <c r="L1206" t="s">
        <v>464</v>
      </c>
      <c r="M1206" t="s">
        <v>465</v>
      </c>
      <c r="N1206" t="s">
        <v>466</v>
      </c>
      <c r="O1206">
        <v>401722</v>
      </c>
      <c r="Q1206" t="s">
        <v>98</v>
      </c>
      <c r="R1206" t="s">
        <v>51</v>
      </c>
      <c r="S1206" t="s">
        <v>52</v>
      </c>
      <c r="U1206">
        <v>890825</v>
      </c>
      <c r="V1206" s="3">
        <v>46070.351388888892</v>
      </c>
      <c r="W1206" t="s">
        <v>468</v>
      </c>
      <c r="X1206" t="s">
        <v>469</v>
      </c>
      <c r="Y1206" t="str">
        <f>"0423030872"</f>
        <v>0423030872</v>
      </c>
      <c r="Z1206" t="s">
        <v>70</v>
      </c>
      <c r="AA1206" s="1">
        <v>46070</v>
      </c>
      <c r="AB1206" t="s">
        <v>2107</v>
      </c>
      <c r="AD1206" t="s">
        <v>41</v>
      </c>
      <c r="AE1206" t="s">
        <v>2108</v>
      </c>
      <c r="AF1206">
        <v>4066</v>
      </c>
      <c r="AG1206" t="s">
        <v>98</v>
      </c>
      <c r="AI1206" t="s">
        <v>59</v>
      </c>
      <c r="AN1206" s="3">
        <v>46070.790277777778</v>
      </c>
      <c r="AO1206" t="s">
        <v>468</v>
      </c>
    </row>
    <row r="1207" spans="1:41" x14ac:dyDescent="0.3">
      <c r="A1207" t="s">
        <v>61</v>
      </c>
      <c r="B1207" t="s">
        <v>62</v>
      </c>
      <c r="C1207" t="s">
        <v>100</v>
      </c>
      <c r="D1207" t="s">
        <v>63</v>
      </c>
      <c r="E1207" s="1">
        <v>46070</v>
      </c>
      <c r="F1207" t="s">
        <v>1376</v>
      </c>
      <c r="G1207" t="s">
        <v>45</v>
      </c>
      <c r="H1207" s="2">
        <v>0.41666666666666669</v>
      </c>
      <c r="I1207" s="2">
        <v>0.77083333333333337</v>
      </c>
      <c r="J1207" t="s">
        <v>100</v>
      </c>
      <c r="L1207" t="s">
        <v>100</v>
      </c>
      <c r="M1207" t="s">
        <v>101</v>
      </c>
      <c r="N1207" t="s">
        <v>102</v>
      </c>
      <c r="O1207">
        <v>27</v>
      </c>
      <c r="Q1207" t="s">
        <v>1051</v>
      </c>
      <c r="R1207" t="s">
        <v>132</v>
      </c>
      <c r="S1207" t="s">
        <v>52</v>
      </c>
      <c r="U1207">
        <v>890816</v>
      </c>
      <c r="V1207" s="3">
        <v>46052.632638888892</v>
      </c>
      <c r="W1207" t="s">
        <v>104</v>
      </c>
      <c r="X1207" t="s">
        <v>105</v>
      </c>
      <c r="Y1207" t="str">
        <f>"0403748369"</f>
        <v>0403748369</v>
      </c>
      <c r="Z1207" t="s">
        <v>2745</v>
      </c>
      <c r="AB1207" t="s">
        <v>71</v>
      </c>
      <c r="AD1207" t="s">
        <v>61</v>
      </c>
      <c r="AE1207" t="s">
        <v>72</v>
      </c>
      <c r="AF1207">
        <v>2747</v>
      </c>
      <c r="AG1207" t="s">
        <v>1051</v>
      </c>
      <c r="AI1207" t="s">
        <v>59</v>
      </c>
      <c r="AL1207" t="s">
        <v>3501</v>
      </c>
      <c r="AN1207" s="3">
        <v>46070.762499999997</v>
      </c>
      <c r="AO1207" t="s">
        <v>104</v>
      </c>
    </row>
    <row r="1208" spans="1:41" x14ac:dyDescent="0.3">
      <c r="A1208" t="s">
        <v>41</v>
      </c>
      <c r="B1208" t="s">
        <v>965</v>
      </c>
      <c r="C1208" t="s">
        <v>43</v>
      </c>
      <c r="D1208" t="s">
        <v>966</v>
      </c>
      <c r="E1208" s="1">
        <v>46070</v>
      </c>
      <c r="F1208" t="s">
        <v>1376</v>
      </c>
      <c r="G1208" t="s">
        <v>45</v>
      </c>
      <c r="H1208" s="2">
        <v>0.41666666666666669</v>
      </c>
      <c r="I1208" s="2">
        <v>0.77083333333333337</v>
      </c>
      <c r="J1208" t="s">
        <v>46</v>
      </c>
      <c r="L1208" t="s">
        <v>159</v>
      </c>
      <c r="M1208" t="s">
        <v>465</v>
      </c>
      <c r="N1208" t="s">
        <v>3560</v>
      </c>
      <c r="O1208">
        <v>5951127</v>
      </c>
      <c r="Q1208" t="s">
        <v>823</v>
      </c>
      <c r="R1208" t="s">
        <v>1472</v>
      </c>
      <c r="S1208" t="s">
        <v>52</v>
      </c>
      <c r="U1208">
        <v>890817</v>
      </c>
      <c r="V1208" s="3">
        <v>46065.48541666667</v>
      </c>
      <c r="W1208" t="s">
        <v>3561</v>
      </c>
      <c r="X1208" t="s">
        <v>3562</v>
      </c>
      <c r="Y1208" t="str">
        <f>"0403766348"</f>
        <v>0403766348</v>
      </c>
      <c r="Z1208" t="s">
        <v>254</v>
      </c>
      <c r="AB1208" t="s">
        <v>972</v>
      </c>
      <c r="AD1208" t="s">
        <v>41</v>
      </c>
      <c r="AE1208" t="s">
        <v>973</v>
      </c>
      <c r="AF1208">
        <v>4068</v>
      </c>
      <c r="AG1208" t="s">
        <v>823</v>
      </c>
      <c r="AI1208" t="s">
        <v>59</v>
      </c>
      <c r="AL1208" t="s">
        <v>3563</v>
      </c>
      <c r="AN1208" s="3">
        <v>46070.768055555556</v>
      </c>
      <c r="AO1208" t="s">
        <v>3561</v>
      </c>
    </row>
    <row r="1209" spans="1:41" x14ac:dyDescent="0.3">
      <c r="A1209" t="s">
        <v>61</v>
      </c>
      <c r="B1209" t="s">
        <v>655</v>
      </c>
      <c r="C1209" t="s">
        <v>43</v>
      </c>
      <c r="D1209" t="s">
        <v>656</v>
      </c>
      <c r="E1209" s="1">
        <v>46070</v>
      </c>
      <c r="F1209" t="s">
        <v>1376</v>
      </c>
      <c r="G1209" t="s">
        <v>45</v>
      </c>
      <c r="H1209" s="2">
        <v>0.42708333333333331</v>
      </c>
      <c r="I1209" s="2">
        <v>0.99861111111111112</v>
      </c>
      <c r="J1209" t="s">
        <v>101</v>
      </c>
      <c r="L1209" t="s">
        <v>47</v>
      </c>
      <c r="M1209" t="s">
        <v>785</v>
      </c>
      <c r="N1209" t="s">
        <v>905</v>
      </c>
      <c r="O1209">
        <v>5950885</v>
      </c>
      <c r="Q1209" t="s">
        <v>665</v>
      </c>
      <c r="R1209" t="s">
        <v>67</v>
      </c>
      <c r="S1209" t="s">
        <v>52</v>
      </c>
      <c r="U1209">
        <v>890819</v>
      </c>
      <c r="V1209" s="3">
        <v>46042.432638888888</v>
      </c>
      <c r="W1209" t="s">
        <v>906</v>
      </c>
      <c r="X1209" t="s">
        <v>907</v>
      </c>
      <c r="Y1209" t="str">
        <f>"0421650139"</f>
        <v>0421650139</v>
      </c>
      <c r="Z1209" t="s">
        <v>2747</v>
      </c>
      <c r="AB1209" t="s">
        <v>662</v>
      </c>
      <c r="AC1209" t="s">
        <v>663</v>
      </c>
      <c r="AD1209" t="s">
        <v>61</v>
      </c>
      <c r="AE1209" t="s">
        <v>664</v>
      </c>
      <c r="AF1209">
        <v>2067</v>
      </c>
      <c r="AG1209" t="s">
        <v>665</v>
      </c>
      <c r="AI1209" t="s">
        <v>59</v>
      </c>
      <c r="AL1209" t="s">
        <v>3564</v>
      </c>
      <c r="AN1209" s="3">
        <v>46070.777083333334</v>
      </c>
      <c r="AO1209" t="s">
        <v>906</v>
      </c>
    </row>
    <row r="1210" spans="1:41" x14ac:dyDescent="0.3">
      <c r="A1210" t="s">
        <v>61</v>
      </c>
      <c r="B1210" t="s">
        <v>88</v>
      </c>
      <c r="C1210" t="s">
        <v>1856</v>
      </c>
      <c r="D1210" t="s">
        <v>90</v>
      </c>
      <c r="E1210" s="1">
        <v>46070</v>
      </c>
      <c r="F1210" t="s">
        <v>1376</v>
      </c>
      <c r="G1210" t="s">
        <v>45</v>
      </c>
      <c r="H1210" s="2">
        <v>0.4375</v>
      </c>
      <c r="I1210" s="2">
        <v>0.79166666666666663</v>
      </c>
      <c r="J1210" t="s">
        <v>46</v>
      </c>
      <c r="L1210" t="s">
        <v>47</v>
      </c>
      <c r="M1210" t="s">
        <v>91</v>
      </c>
      <c r="N1210" t="s">
        <v>92</v>
      </c>
      <c r="O1210">
        <v>5950650</v>
      </c>
      <c r="P1210">
        <v>11716359</v>
      </c>
      <c r="Q1210" t="s">
        <v>1245</v>
      </c>
      <c r="R1210" t="s">
        <v>132</v>
      </c>
      <c r="S1210" t="s">
        <v>52</v>
      </c>
      <c r="U1210">
        <v>890840</v>
      </c>
      <c r="V1210" s="3">
        <v>46066.595138888886</v>
      </c>
      <c r="W1210" t="s">
        <v>94</v>
      </c>
      <c r="X1210" t="s">
        <v>95</v>
      </c>
      <c r="Y1210" t="str">
        <f>"0493332534"</f>
        <v>0493332534</v>
      </c>
      <c r="Z1210" t="s">
        <v>70</v>
      </c>
      <c r="AA1210" s="1">
        <v>46070</v>
      </c>
      <c r="AB1210" t="s">
        <v>96</v>
      </c>
      <c r="AD1210" t="s">
        <v>61</v>
      </c>
      <c r="AE1210" t="s">
        <v>97</v>
      </c>
      <c r="AF1210">
        <v>2010</v>
      </c>
      <c r="AG1210" t="s">
        <v>98</v>
      </c>
      <c r="AI1210" t="s">
        <v>59</v>
      </c>
      <c r="AL1210" t="s">
        <v>3565</v>
      </c>
      <c r="AN1210" s="3">
        <v>46070.836111111108</v>
      </c>
      <c r="AO1210" t="s">
        <v>94</v>
      </c>
    </row>
    <row r="1211" spans="1:41" x14ac:dyDescent="0.3">
      <c r="A1211" t="s">
        <v>306</v>
      </c>
      <c r="B1211" t="s">
        <v>1060</v>
      </c>
      <c r="C1211" t="s">
        <v>100</v>
      </c>
      <c r="D1211" t="s">
        <v>184</v>
      </c>
      <c r="E1211" s="1">
        <v>46070</v>
      </c>
      <c r="F1211" t="s">
        <v>1376</v>
      </c>
      <c r="G1211" t="s">
        <v>45</v>
      </c>
      <c r="H1211" s="2">
        <v>0.45833333333333331</v>
      </c>
      <c r="I1211" s="2">
        <v>0.95833333333333337</v>
      </c>
      <c r="J1211" t="s">
        <v>1061</v>
      </c>
      <c r="L1211" t="s">
        <v>452</v>
      </c>
      <c r="M1211" t="s">
        <v>453</v>
      </c>
      <c r="N1211" t="s">
        <v>454</v>
      </c>
      <c r="O1211">
        <v>5950719</v>
      </c>
      <c r="Q1211" t="s">
        <v>705</v>
      </c>
      <c r="R1211" t="s">
        <v>500</v>
      </c>
      <c r="S1211" t="s">
        <v>119</v>
      </c>
      <c r="T1211" t="s">
        <v>3339</v>
      </c>
      <c r="U1211">
        <v>891449</v>
      </c>
      <c r="V1211" s="3">
        <v>46069.715277777781</v>
      </c>
      <c r="W1211" t="s">
        <v>456</v>
      </c>
      <c r="X1211" t="s">
        <v>457</v>
      </c>
      <c r="Y1211" t="str">
        <f>"0412918806"</f>
        <v>0412918806</v>
      </c>
      <c r="Z1211" t="s">
        <v>70</v>
      </c>
      <c r="AB1211" t="s">
        <v>1066</v>
      </c>
      <c r="AD1211" t="s">
        <v>306</v>
      </c>
      <c r="AE1211" t="s">
        <v>1067</v>
      </c>
      <c r="AF1211">
        <v>3084</v>
      </c>
      <c r="AI1211" t="s">
        <v>59</v>
      </c>
      <c r="AL1211" t="s">
        <v>1068</v>
      </c>
      <c r="AM1211" t="s">
        <v>3566</v>
      </c>
      <c r="AN1211" s="3">
        <v>46070.461111111108</v>
      </c>
      <c r="AO1211" t="s">
        <v>476</v>
      </c>
    </row>
    <row r="1212" spans="1:41" x14ac:dyDescent="0.3">
      <c r="A1212" t="s">
        <v>306</v>
      </c>
      <c r="B1212" t="s">
        <v>1060</v>
      </c>
      <c r="C1212" t="s">
        <v>100</v>
      </c>
      <c r="D1212" t="s">
        <v>184</v>
      </c>
      <c r="E1212" s="1">
        <v>46070</v>
      </c>
      <c r="F1212" t="s">
        <v>1376</v>
      </c>
      <c r="G1212" t="s">
        <v>45</v>
      </c>
      <c r="H1212" s="2">
        <v>0.45833333333333331</v>
      </c>
      <c r="I1212" s="2">
        <v>0.95833333333333337</v>
      </c>
      <c r="J1212" t="s">
        <v>1061</v>
      </c>
      <c r="L1212" t="s">
        <v>452</v>
      </c>
      <c r="M1212" t="s">
        <v>1980</v>
      </c>
      <c r="N1212" t="s">
        <v>1981</v>
      </c>
      <c r="O1212">
        <v>21297</v>
      </c>
      <c r="Q1212" t="s">
        <v>1063</v>
      </c>
      <c r="R1212" t="s">
        <v>314</v>
      </c>
      <c r="S1212" t="s">
        <v>119</v>
      </c>
      <c r="T1212" t="s">
        <v>414</v>
      </c>
      <c r="U1212">
        <v>891439</v>
      </c>
      <c r="V1212" s="3">
        <v>46070.366666666669</v>
      </c>
      <c r="W1212" t="s">
        <v>1983</v>
      </c>
      <c r="X1212" t="s">
        <v>1984</v>
      </c>
      <c r="Y1212" t="str">
        <f>"0434131195"</f>
        <v>0434131195</v>
      </c>
      <c r="Z1212" t="s">
        <v>70</v>
      </c>
      <c r="AB1212" t="s">
        <v>1066</v>
      </c>
      <c r="AD1212" t="s">
        <v>306</v>
      </c>
      <c r="AE1212" t="s">
        <v>1067</v>
      </c>
      <c r="AF1212">
        <v>3084</v>
      </c>
      <c r="AI1212" t="s">
        <v>59</v>
      </c>
      <c r="AL1212" t="s">
        <v>1361</v>
      </c>
      <c r="AM1212" t="s">
        <v>3567</v>
      </c>
      <c r="AN1212" s="3">
        <v>46070.368055555555</v>
      </c>
      <c r="AO1212" t="s">
        <v>314</v>
      </c>
    </row>
    <row r="1213" spans="1:41" x14ac:dyDescent="0.3">
      <c r="A1213" t="s">
        <v>306</v>
      </c>
      <c r="B1213" t="s">
        <v>2411</v>
      </c>
      <c r="C1213" t="s">
        <v>913</v>
      </c>
      <c r="D1213" t="s">
        <v>184</v>
      </c>
      <c r="E1213" s="1">
        <v>46070</v>
      </c>
      <c r="F1213" t="s">
        <v>1376</v>
      </c>
      <c r="G1213" t="s">
        <v>45</v>
      </c>
      <c r="H1213" s="2">
        <v>0.45833333333333331</v>
      </c>
      <c r="I1213" s="2">
        <v>0.70833333333333337</v>
      </c>
      <c r="J1213" t="s">
        <v>1061</v>
      </c>
      <c r="L1213" t="s">
        <v>100</v>
      </c>
      <c r="M1213" t="s">
        <v>1046</v>
      </c>
      <c r="N1213" t="s">
        <v>1047</v>
      </c>
      <c r="O1213">
        <v>5951333</v>
      </c>
      <c r="Q1213" t="s">
        <v>3214</v>
      </c>
      <c r="R1213" t="s">
        <v>1248</v>
      </c>
      <c r="S1213" t="s">
        <v>119</v>
      </c>
      <c r="T1213" t="s">
        <v>414</v>
      </c>
      <c r="U1213">
        <v>891448</v>
      </c>
      <c r="V1213" s="3">
        <v>46069.757638888892</v>
      </c>
      <c r="W1213" t="s">
        <v>1049</v>
      </c>
      <c r="X1213" t="s">
        <v>1050</v>
      </c>
      <c r="Y1213" t="str">
        <f>"0404089564"</f>
        <v>0404089564</v>
      </c>
      <c r="Z1213" t="s">
        <v>70</v>
      </c>
      <c r="AB1213" t="s">
        <v>2412</v>
      </c>
      <c r="AD1213" t="s">
        <v>306</v>
      </c>
      <c r="AE1213" t="s">
        <v>827</v>
      </c>
      <c r="AF1213">
        <v>3181</v>
      </c>
      <c r="AI1213" t="s">
        <v>59</v>
      </c>
      <c r="AL1213" t="s">
        <v>1361</v>
      </c>
      <c r="AM1213" t="s">
        <v>3568</v>
      </c>
      <c r="AN1213" s="3">
        <v>46070.339583333334</v>
      </c>
      <c r="AO1213" t="s">
        <v>314</v>
      </c>
    </row>
    <row r="1214" spans="1:41" x14ac:dyDescent="0.3">
      <c r="A1214" t="s">
        <v>61</v>
      </c>
      <c r="B1214" t="s">
        <v>62</v>
      </c>
      <c r="C1214" t="s">
        <v>43</v>
      </c>
      <c r="D1214" t="s">
        <v>63</v>
      </c>
      <c r="E1214" s="1">
        <v>46070</v>
      </c>
      <c r="F1214" t="s">
        <v>1376</v>
      </c>
      <c r="G1214" t="s">
        <v>128</v>
      </c>
      <c r="H1214" s="2">
        <v>0.5</v>
      </c>
      <c r="I1214" s="2">
        <v>0.98958333333333337</v>
      </c>
      <c r="J1214" t="s">
        <v>101</v>
      </c>
      <c r="L1214" t="s">
        <v>159</v>
      </c>
      <c r="M1214" t="s">
        <v>645</v>
      </c>
      <c r="N1214" t="s">
        <v>646</v>
      </c>
      <c r="O1214">
        <v>5950942</v>
      </c>
      <c r="Q1214" t="s">
        <v>73</v>
      </c>
      <c r="R1214" t="s">
        <v>132</v>
      </c>
      <c r="S1214" t="s">
        <v>52</v>
      </c>
      <c r="U1214">
        <v>890822</v>
      </c>
      <c r="V1214" s="3">
        <v>46062.446527777778</v>
      </c>
      <c r="W1214" t="s">
        <v>647</v>
      </c>
      <c r="X1214" t="s">
        <v>648</v>
      </c>
      <c r="Y1214" t="str">
        <f>"0411463760"</f>
        <v>0411463760</v>
      </c>
      <c r="Z1214" t="s">
        <v>254</v>
      </c>
      <c r="AB1214" t="s">
        <v>71</v>
      </c>
      <c r="AD1214" t="s">
        <v>61</v>
      </c>
      <c r="AE1214" t="s">
        <v>72</v>
      </c>
      <c r="AF1214">
        <v>2747</v>
      </c>
      <c r="AG1214" t="s">
        <v>73</v>
      </c>
      <c r="AI1214" t="s">
        <v>59</v>
      </c>
      <c r="AL1214" t="s">
        <v>3569</v>
      </c>
      <c r="AN1214" s="3">
        <v>46070.785416666666</v>
      </c>
      <c r="AO1214" t="s">
        <v>647</v>
      </c>
    </row>
    <row r="1215" spans="1:41" x14ac:dyDescent="0.3">
      <c r="A1215" t="s">
        <v>41</v>
      </c>
      <c r="B1215" t="s">
        <v>138</v>
      </c>
      <c r="C1215" t="s">
        <v>139</v>
      </c>
      <c r="D1215" t="s">
        <v>127</v>
      </c>
      <c r="E1215" s="1">
        <v>46070</v>
      </c>
      <c r="F1215" t="s">
        <v>1376</v>
      </c>
      <c r="G1215" t="s">
        <v>128</v>
      </c>
      <c r="H1215" s="2">
        <v>0.5</v>
      </c>
      <c r="I1215" s="2">
        <v>0.66666666666666663</v>
      </c>
      <c r="J1215" t="s">
        <v>140</v>
      </c>
      <c r="L1215" t="s">
        <v>141</v>
      </c>
      <c r="M1215" t="s">
        <v>142</v>
      </c>
      <c r="N1215" t="s">
        <v>143</v>
      </c>
      <c r="O1215">
        <v>22649</v>
      </c>
      <c r="Q1215" t="s">
        <v>3570</v>
      </c>
      <c r="R1215" t="s">
        <v>1472</v>
      </c>
      <c r="S1215" t="s">
        <v>52</v>
      </c>
      <c r="U1215">
        <v>890806</v>
      </c>
      <c r="V1215" s="3">
        <v>46065.662499999999</v>
      </c>
      <c r="W1215" t="s">
        <v>146</v>
      </c>
      <c r="X1215" t="s">
        <v>147</v>
      </c>
      <c r="Y1215" t="str">
        <f>"0407039143"</f>
        <v>0407039143</v>
      </c>
      <c r="Z1215" t="s">
        <v>123</v>
      </c>
      <c r="AB1215" t="s">
        <v>148</v>
      </c>
      <c r="AC1215" t="s">
        <v>149</v>
      </c>
      <c r="AD1215" t="s">
        <v>41</v>
      </c>
      <c r="AE1215" t="s">
        <v>150</v>
      </c>
      <c r="AF1215">
        <v>4000</v>
      </c>
      <c r="AG1215" t="s">
        <v>3419</v>
      </c>
      <c r="AI1215" t="s">
        <v>59</v>
      </c>
      <c r="AL1215" t="s">
        <v>3571</v>
      </c>
      <c r="AN1215" s="3">
        <v>46070.707638888889</v>
      </c>
      <c r="AO1215" t="s">
        <v>146</v>
      </c>
    </row>
    <row r="1216" spans="1:41" x14ac:dyDescent="0.3">
      <c r="A1216" t="s">
        <v>61</v>
      </c>
      <c r="B1216" t="s">
        <v>3050</v>
      </c>
      <c r="C1216" t="s">
        <v>43</v>
      </c>
      <c r="D1216" t="s">
        <v>127</v>
      </c>
      <c r="E1216" s="1">
        <v>46070</v>
      </c>
      <c r="F1216" t="s">
        <v>1376</v>
      </c>
      <c r="G1216" t="s">
        <v>128</v>
      </c>
      <c r="H1216" s="2">
        <v>0.5</v>
      </c>
      <c r="I1216" s="2">
        <v>0.99861111111111112</v>
      </c>
      <c r="J1216" t="s">
        <v>46</v>
      </c>
      <c r="L1216" t="s">
        <v>298</v>
      </c>
      <c r="M1216" t="s">
        <v>960</v>
      </c>
      <c r="N1216" t="s">
        <v>961</v>
      </c>
      <c r="O1216">
        <v>5952208</v>
      </c>
      <c r="Q1216" t="s">
        <v>3051</v>
      </c>
      <c r="R1216" t="s">
        <v>500</v>
      </c>
      <c r="S1216" t="s">
        <v>52</v>
      </c>
      <c r="U1216">
        <v>890790</v>
      </c>
      <c r="V1216" s="3">
        <v>46069.79583333333</v>
      </c>
      <c r="W1216" t="s">
        <v>962</v>
      </c>
      <c r="X1216" t="s">
        <v>963</v>
      </c>
      <c r="Y1216" t="str">
        <f>"0427301257"</f>
        <v>0427301257</v>
      </c>
      <c r="Z1216" t="s">
        <v>70</v>
      </c>
      <c r="AA1216" s="1">
        <v>46070</v>
      </c>
      <c r="AB1216" t="s">
        <v>3052</v>
      </c>
      <c r="AC1216" t="s">
        <v>3053</v>
      </c>
      <c r="AD1216" t="s">
        <v>61</v>
      </c>
      <c r="AE1216" t="s">
        <v>922</v>
      </c>
      <c r="AF1216">
        <v>2228</v>
      </c>
      <c r="AG1216" t="s">
        <v>3572</v>
      </c>
      <c r="AI1216" t="s">
        <v>59</v>
      </c>
      <c r="AL1216" t="s">
        <v>3573</v>
      </c>
      <c r="AM1216" t="s">
        <v>3574</v>
      </c>
      <c r="AN1216" s="3">
        <v>46070.695833333331</v>
      </c>
      <c r="AO1216" t="s">
        <v>962</v>
      </c>
    </row>
    <row r="1217" spans="1:41" x14ac:dyDescent="0.3">
      <c r="A1217" t="s">
        <v>168</v>
      </c>
      <c r="B1217" t="s">
        <v>441</v>
      </c>
      <c r="C1217" t="s">
        <v>100</v>
      </c>
      <c r="E1217" s="1">
        <v>46070</v>
      </c>
      <c r="F1217" t="s">
        <v>1376</v>
      </c>
      <c r="G1217" t="s">
        <v>128</v>
      </c>
      <c r="H1217" s="2">
        <v>0.5</v>
      </c>
      <c r="I1217" s="2">
        <v>0.83333333333333337</v>
      </c>
      <c r="J1217" t="s">
        <v>100</v>
      </c>
      <c r="L1217" t="s">
        <v>100</v>
      </c>
      <c r="M1217" t="s">
        <v>402</v>
      </c>
      <c r="N1217" t="s">
        <v>403</v>
      </c>
      <c r="O1217">
        <v>21398</v>
      </c>
      <c r="Q1217" t="s">
        <v>981</v>
      </c>
      <c r="R1217" t="s">
        <v>231</v>
      </c>
      <c r="S1217" t="s">
        <v>52</v>
      </c>
      <c r="U1217">
        <v>890843</v>
      </c>
      <c r="V1217" s="3">
        <v>46050.411805555559</v>
      </c>
      <c r="W1217" t="s">
        <v>405</v>
      </c>
      <c r="X1217" t="s">
        <v>406</v>
      </c>
      <c r="Y1217" t="str">
        <f>"0423877972"</f>
        <v>0423877972</v>
      </c>
      <c r="Z1217" t="s">
        <v>395</v>
      </c>
      <c r="AB1217" t="s">
        <v>448</v>
      </c>
      <c r="AD1217" t="s">
        <v>168</v>
      </c>
      <c r="AE1217" t="s">
        <v>180</v>
      </c>
      <c r="AF1217">
        <v>5063</v>
      </c>
      <c r="AG1217" t="s">
        <v>981</v>
      </c>
      <c r="AI1217" t="s">
        <v>59</v>
      </c>
      <c r="AL1217" t="s">
        <v>1121</v>
      </c>
      <c r="AN1217" s="3">
        <v>46070.850694444445</v>
      </c>
      <c r="AO1217" t="s">
        <v>405</v>
      </c>
    </row>
    <row r="1218" spans="1:41" x14ac:dyDescent="0.3">
      <c r="A1218" t="s">
        <v>168</v>
      </c>
      <c r="B1218" t="s">
        <v>982</v>
      </c>
      <c r="C1218" t="s">
        <v>100</v>
      </c>
      <c r="D1218" t="s">
        <v>127</v>
      </c>
      <c r="E1218" s="1">
        <v>46070</v>
      </c>
      <c r="F1218" t="s">
        <v>1376</v>
      </c>
      <c r="G1218" t="s">
        <v>128</v>
      </c>
      <c r="H1218" s="2">
        <v>0.5</v>
      </c>
      <c r="I1218" s="2">
        <v>0.83333333333333337</v>
      </c>
      <c r="J1218" t="s">
        <v>100</v>
      </c>
      <c r="L1218" t="s">
        <v>100</v>
      </c>
      <c r="M1218" t="s">
        <v>411</v>
      </c>
      <c r="N1218" t="s">
        <v>412</v>
      </c>
      <c r="O1218">
        <v>228</v>
      </c>
      <c r="Q1218" t="s">
        <v>983</v>
      </c>
      <c r="R1218" t="s">
        <v>231</v>
      </c>
      <c r="S1218" t="s">
        <v>52</v>
      </c>
      <c r="U1218">
        <v>890844</v>
      </c>
      <c r="V1218" s="3">
        <v>46030.459722222222</v>
      </c>
      <c r="W1218" t="s">
        <v>415</v>
      </c>
      <c r="X1218" t="s">
        <v>416</v>
      </c>
      <c r="Y1218" t="str">
        <f>"0414869673"</f>
        <v>0414869673</v>
      </c>
      <c r="Z1218" t="s">
        <v>366</v>
      </c>
      <c r="AB1218" t="s">
        <v>985</v>
      </c>
      <c r="AD1218" t="s">
        <v>168</v>
      </c>
      <c r="AE1218" t="s">
        <v>279</v>
      </c>
      <c r="AF1218">
        <v>5092</v>
      </c>
      <c r="AG1218" t="s">
        <v>986</v>
      </c>
      <c r="AI1218" t="s">
        <v>59</v>
      </c>
      <c r="AL1218" t="s">
        <v>987</v>
      </c>
      <c r="AN1218" s="3">
        <v>46070.854861111111</v>
      </c>
      <c r="AO1218" t="s">
        <v>415</v>
      </c>
    </row>
    <row r="1219" spans="1:41" x14ac:dyDescent="0.3">
      <c r="A1219" t="s">
        <v>168</v>
      </c>
      <c r="B1219" t="s">
        <v>169</v>
      </c>
      <c r="C1219" t="s">
        <v>170</v>
      </c>
      <c r="D1219" t="s">
        <v>127</v>
      </c>
      <c r="E1219" s="1">
        <v>46070</v>
      </c>
      <c r="F1219" t="s">
        <v>1376</v>
      </c>
      <c r="G1219" t="s">
        <v>128</v>
      </c>
      <c r="H1219" s="2">
        <v>0.50069444444444444</v>
      </c>
      <c r="I1219" s="2">
        <v>0.70833333333333337</v>
      </c>
      <c r="J1219" t="s">
        <v>170</v>
      </c>
      <c r="L1219" t="s">
        <v>172</v>
      </c>
      <c r="M1219" t="s">
        <v>173</v>
      </c>
      <c r="N1219" t="s">
        <v>174</v>
      </c>
      <c r="O1219">
        <v>300006</v>
      </c>
      <c r="Q1219" t="s">
        <v>3502</v>
      </c>
      <c r="R1219" t="s">
        <v>231</v>
      </c>
      <c r="S1219" t="s">
        <v>52</v>
      </c>
      <c r="U1219">
        <v>890811</v>
      </c>
      <c r="V1219" s="3">
        <v>46058.394444444442</v>
      </c>
      <c r="W1219" t="s">
        <v>177</v>
      </c>
      <c r="X1219" t="s">
        <v>178</v>
      </c>
      <c r="Y1219" t="str">
        <f>"0430966876"</f>
        <v>0430966876</v>
      </c>
      <c r="Z1219" t="s">
        <v>70</v>
      </c>
      <c r="AB1219" t="s">
        <v>179</v>
      </c>
      <c r="AD1219" t="s">
        <v>168</v>
      </c>
      <c r="AE1219" t="s">
        <v>180</v>
      </c>
      <c r="AF1219">
        <v>5063</v>
      </c>
      <c r="AG1219" t="s">
        <v>175</v>
      </c>
      <c r="AI1219" t="s">
        <v>59</v>
      </c>
      <c r="AL1219" t="s">
        <v>3575</v>
      </c>
      <c r="AN1219" s="3">
        <v>46070.728472222225</v>
      </c>
      <c r="AO1219" t="s">
        <v>177</v>
      </c>
    </row>
    <row r="1220" spans="1:41" x14ac:dyDescent="0.3">
      <c r="A1220" t="s">
        <v>168</v>
      </c>
      <c r="B1220" t="s">
        <v>441</v>
      </c>
      <c r="C1220" t="s">
        <v>101</v>
      </c>
      <c r="E1220" s="1">
        <v>46070</v>
      </c>
      <c r="F1220" t="s">
        <v>1376</v>
      </c>
      <c r="G1220" t="s">
        <v>128</v>
      </c>
      <c r="H1220" s="2">
        <v>0.52083333333333337</v>
      </c>
      <c r="I1220" s="2">
        <v>0.85416666666666663</v>
      </c>
      <c r="J1220" t="s">
        <v>101</v>
      </c>
      <c r="L1220" t="s">
        <v>159</v>
      </c>
      <c r="M1220" t="s">
        <v>1430</v>
      </c>
      <c r="N1220" t="s">
        <v>1431</v>
      </c>
      <c r="O1220">
        <v>5951468</v>
      </c>
      <c r="P1220" t="s">
        <v>3444</v>
      </c>
      <c r="Q1220" t="s">
        <v>944</v>
      </c>
      <c r="R1220" t="s">
        <v>556</v>
      </c>
      <c r="S1220" t="s">
        <v>52</v>
      </c>
      <c r="U1220">
        <v>890830</v>
      </c>
      <c r="V1220" s="3">
        <v>46050.943749999999</v>
      </c>
      <c r="W1220" t="s">
        <v>1432</v>
      </c>
      <c r="X1220" t="s">
        <v>1433</v>
      </c>
      <c r="Y1220" t="str">
        <f>"0476999212"</f>
        <v>0476999212</v>
      </c>
      <c r="Z1220" t="s">
        <v>70</v>
      </c>
      <c r="AA1220" s="1">
        <v>46070</v>
      </c>
      <c r="AB1220" t="s">
        <v>448</v>
      </c>
      <c r="AD1220" t="s">
        <v>168</v>
      </c>
      <c r="AE1220" t="s">
        <v>180</v>
      </c>
      <c r="AF1220">
        <v>5063</v>
      </c>
      <c r="AG1220" t="s">
        <v>944</v>
      </c>
      <c r="AI1220" t="s">
        <v>59</v>
      </c>
      <c r="AL1220" t="s">
        <v>1121</v>
      </c>
      <c r="AN1220" s="3">
        <v>46070.794444444444</v>
      </c>
      <c r="AO1220" t="s">
        <v>1432</v>
      </c>
    </row>
    <row r="1221" spans="1:41" x14ac:dyDescent="0.3">
      <c r="A1221" t="s">
        <v>61</v>
      </c>
      <c r="B1221" t="s">
        <v>1079</v>
      </c>
      <c r="C1221" t="s">
        <v>43</v>
      </c>
      <c r="D1221" t="s">
        <v>63</v>
      </c>
      <c r="E1221" s="1">
        <v>46070</v>
      </c>
      <c r="F1221" t="s">
        <v>1376</v>
      </c>
      <c r="G1221" t="s">
        <v>128</v>
      </c>
      <c r="H1221" s="2">
        <v>0.52083333333333337</v>
      </c>
      <c r="I1221" s="2">
        <v>0.99861111111111112</v>
      </c>
      <c r="J1221" t="s">
        <v>101</v>
      </c>
      <c r="L1221" t="s">
        <v>159</v>
      </c>
      <c r="M1221" t="s">
        <v>3576</v>
      </c>
      <c r="N1221" t="s">
        <v>3577</v>
      </c>
      <c r="O1221">
        <v>21429</v>
      </c>
      <c r="Q1221" t="s">
        <v>3578</v>
      </c>
      <c r="R1221" t="s">
        <v>132</v>
      </c>
      <c r="S1221" t="s">
        <v>52</v>
      </c>
      <c r="U1221">
        <v>890786</v>
      </c>
      <c r="V1221" s="3">
        <v>46056.470138888886</v>
      </c>
      <c r="W1221" t="s">
        <v>3579</v>
      </c>
      <c r="X1221" t="s">
        <v>3580</v>
      </c>
      <c r="Y1221" t="str">
        <f>"0413381602"</f>
        <v>0413381602</v>
      </c>
      <c r="Z1221" t="s">
        <v>70</v>
      </c>
      <c r="AA1221" s="1">
        <v>46070</v>
      </c>
      <c r="AB1221" t="s">
        <v>1085</v>
      </c>
      <c r="AD1221" t="s">
        <v>61</v>
      </c>
      <c r="AE1221" t="s">
        <v>1086</v>
      </c>
      <c r="AF1221">
        <v>2031</v>
      </c>
      <c r="AG1221" t="s">
        <v>3578</v>
      </c>
      <c r="AI1221" t="s">
        <v>59</v>
      </c>
      <c r="AL1221" t="s">
        <v>3501</v>
      </c>
      <c r="AN1221" s="3">
        <v>46070.679861111108</v>
      </c>
      <c r="AO1221" t="s">
        <v>3579</v>
      </c>
    </row>
    <row r="1222" spans="1:41" x14ac:dyDescent="0.3">
      <c r="A1222" t="s">
        <v>168</v>
      </c>
      <c r="B1222" t="s">
        <v>215</v>
      </c>
      <c r="C1222" t="s">
        <v>43</v>
      </c>
      <c r="D1222" t="s">
        <v>127</v>
      </c>
      <c r="E1222" s="1">
        <v>46070</v>
      </c>
      <c r="F1222" t="s">
        <v>1376</v>
      </c>
      <c r="G1222" t="s">
        <v>128</v>
      </c>
      <c r="H1222" s="2">
        <v>0.52083333333333337</v>
      </c>
      <c r="I1222" s="2">
        <v>0.8125</v>
      </c>
      <c r="J1222" t="s">
        <v>258</v>
      </c>
      <c r="K1222" t="s">
        <v>259</v>
      </c>
      <c r="L1222" t="s">
        <v>186</v>
      </c>
      <c r="M1222" t="s">
        <v>816</v>
      </c>
      <c r="N1222" t="s">
        <v>3581</v>
      </c>
      <c r="O1222">
        <v>21075</v>
      </c>
      <c r="Q1222" t="s">
        <v>1137</v>
      </c>
      <c r="R1222" t="s">
        <v>556</v>
      </c>
      <c r="S1222" t="s">
        <v>52</v>
      </c>
      <c r="U1222">
        <v>890838</v>
      </c>
      <c r="V1222" s="3">
        <v>46057.04583333333</v>
      </c>
      <c r="W1222" t="s">
        <v>3582</v>
      </c>
      <c r="X1222" t="s">
        <v>3583</v>
      </c>
      <c r="Y1222" t="str">
        <f>"0402783438"</f>
        <v>0402783438</v>
      </c>
      <c r="Z1222" t="s">
        <v>70</v>
      </c>
      <c r="AA1222" s="1">
        <v>46070</v>
      </c>
      <c r="AB1222" t="s">
        <v>222</v>
      </c>
      <c r="AD1222" t="s">
        <v>168</v>
      </c>
      <c r="AE1222" t="s">
        <v>223</v>
      </c>
      <c r="AF1222">
        <v>5069</v>
      </c>
      <c r="AG1222" t="s">
        <v>219</v>
      </c>
      <c r="AI1222" t="s">
        <v>59</v>
      </c>
      <c r="AL1222" t="s">
        <v>1121</v>
      </c>
      <c r="AN1222" s="3">
        <v>46070.834722222222</v>
      </c>
      <c r="AO1222" t="s">
        <v>3582</v>
      </c>
    </row>
    <row r="1223" spans="1:41" x14ac:dyDescent="0.3">
      <c r="A1223" t="s">
        <v>41</v>
      </c>
      <c r="B1223" t="s">
        <v>244</v>
      </c>
      <c r="C1223" t="s">
        <v>245</v>
      </c>
      <c r="D1223" t="s">
        <v>246</v>
      </c>
      <c r="E1223" s="1">
        <v>46070</v>
      </c>
      <c r="F1223" t="s">
        <v>1376</v>
      </c>
      <c r="G1223" t="s">
        <v>45</v>
      </c>
      <c r="H1223" s="2">
        <v>0.52083333333333337</v>
      </c>
      <c r="I1223" s="2">
        <v>0.875</v>
      </c>
      <c r="J1223" t="s">
        <v>100</v>
      </c>
      <c r="L1223" t="s">
        <v>452</v>
      </c>
      <c r="M1223" t="s">
        <v>1122</v>
      </c>
      <c r="N1223" t="s">
        <v>1123</v>
      </c>
      <c r="O1223">
        <v>5951585</v>
      </c>
      <c r="P1223" t="s">
        <v>249</v>
      </c>
      <c r="Q1223" t="s">
        <v>250</v>
      </c>
      <c r="R1223" t="s">
        <v>1124</v>
      </c>
      <c r="S1223" t="s">
        <v>52</v>
      </c>
      <c r="T1223" t="s">
        <v>252</v>
      </c>
      <c r="U1223">
        <v>891475</v>
      </c>
      <c r="V1223" s="3">
        <v>46076.592361111114</v>
      </c>
      <c r="W1223" t="s">
        <v>1124</v>
      </c>
      <c r="X1223" t="s">
        <v>1125</v>
      </c>
      <c r="Y1223" t="str">
        <f>"0406622986"</f>
        <v>0406622986</v>
      </c>
      <c r="Z1223" t="s">
        <v>1862</v>
      </c>
      <c r="AA1223" s="1">
        <v>46082</v>
      </c>
      <c r="AB1223" t="s">
        <v>255</v>
      </c>
      <c r="AD1223" t="s">
        <v>41</v>
      </c>
      <c r="AE1223" t="s">
        <v>256</v>
      </c>
      <c r="AF1223">
        <v>4655</v>
      </c>
      <c r="AG1223" t="s">
        <v>3449</v>
      </c>
      <c r="AI1223" t="s">
        <v>59</v>
      </c>
      <c r="AJ1223" t="str">
        <f>"0050076953"</f>
        <v>0050076953</v>
      </c>
      <c r="AN1223" s="3">
        <v>46076.592361111114</v>
      </c>
      <c r="AO1223" t="s">
        <v>1124</v>
      </c>
    </row>
    <row r="1224" spans="1:41" x14ac:dyDescent="0.3">
      <c r="A1224" t="s">
        <v>75</v>
      </c>
      <c r="B1224" t="s">
        <v>1896</v>
      </c>
      <c r="C1224" t="s">
        <v>43</v>
      </c>
      <c r="D1224" t="s">
        <v>184</v>
      </c>
      <c r="E1224" s="1">
        <v>46070</v>
      </c>
      <c r="F1224" t="s">
        <v>1376</v>
      </c>
      <c r="G1224" t="s">
        <v>128</v>
      </c>
      <c r="H1224" s="2">
        <v>0.52083333333333337</v>
      </c>
      <c r="I1224" s="2">
        <v>0.77083333333333337</v>
      </c>
      <c r="J1224" t="s">
        <v>185</v>
      </c>
      <c r="K1224" t="s">
        <v>1290</v>
      </c>
      <c r="L1224" t="s">
        <v>159</v>
      </c>
      <c r="M1224" t="s">
        <v>250</v>
      </c>
      <c r="N1224" t="s">
        <v>2302</v>
      </c>
      <c r="O1224">
        <v>5952443</v>
      </c>
      <c r="Q1224" t="s">
        <v>3584</v>
      </c>
      <c r="R1224" t="s">
        <v>81</v>
      </c>
      <c r="S1224" t="s">
        <v>52</v>
      </c>
      <c r="U1224">
        <v>890846</v>
      </c>
      <c r="V1224" s="3">
        <v>46062.724305555559</v>
      </c>
      <c r="W1224" t="s">
        <v>2304</v>
      </c>
      <c r="X1224" t="s">
        <v>2305</v>
      </c>
      <c r="Y1224" t="str">
        <f>"0402925703"</f>
        <v>0402925703</v>
      </c>
      <c r="Z1224" t="s">
        <v>123</v>
      </c>
      <c r="AB1224" t="s">
        <v>1902</v>
      </c>
      <c r="AD1224" t="s">
        <v>75</v>
      </c>
      <c r="AE1224" t="s">
        <v>1903</v>
      </c>
      <c r="AF1224">
        <v>6023</v>
      </c>
      <c r="AG1224" t="s">
        <v>2303</v>
      </c>
      <c r="AI1224" t="s">
        <v>59</v>
      </c>
      <c r="AL1224" t="s">
        <v>3585</v>
      </c>
      <c r="AN1224" s="3">
        <v>46070.866666666669</v>
      </c>
      <c r="AO1224" t="s">
        <v>2304</v>
      </c>
    </row>
    <row r="1225" spans="1:41" x14ac:dyDescent="0.3">
      <c r="A1225" t="s">
        <v>306</v>
      </c>
      <c r="B1225" t="s">
        <v>307</v>
      </c>
      <c r="C1225" t="s">
        <v>308</v>
      </c>
      <c r="D1225" t="s">
        <v>309</v>
      </c>
      <c r="E1225" s="1">
        <v>46070</v>
      </c>
      <c r="F1225" t="s">
        <v>1376</v>
      </c>
      <c r="G1225" t="s">
        <v>128</v>
      </c>
      <c r="H1225" s="2">
        <v>0.54166666666666663</v>
      </c>
      <c r="I1225" s="2">
        <v>0.89583333333333337</v>
      </c>
      <c r="J1225" t="s">
        <v>296</v>
      </c>
      <c r="K1225" t="s">
        <v>750</v>
      </c>
      <c r="L1225" t="s">
        <v>298</v>
      </c>
      <c r="M1225" t="s">
        <v>1645</v>
      </c>
      <c r="N1225" t="s">
        <v>3586</v>
      </c>
      <c r="O1225">
        <v>5952461</v>
      </c>
      <c r="Q1225" t="s">
        <v>3587</v>
      </c>
      <c r="R1225" t="s">
        <v>1763</v>
      </c>
      <c r="S1225" t="s">
        <v>52</v>
      </c>
      <c r="U1225">
        <v>890760</v>
      </c>
      <c r="V1225" s="3">
        <v>46070.400000000001</v>
      </c>
      <c r="W1225" t="s">
        <v>3588</v>
      </c>
      <c r="X1225" t="s">
        <v>3589</v>
      </c>
      <c r="Y1225" t="str">
        <f>"0478602919"</f>
        <v>0478602919</v>
      </c>
      <c r="Z1225" t="s">
        <v>70</v>
      </c>
      <c r="AA1225" s="1">
        <v>46070</v>
      </c>
      <c r="AB1225" t="s">
        <v>317</v>
      </c>
      <c r="AD1225" t="s">
        <v>306</v>
      </c>
      <c r="AE1225" t="s">
        <v>318</v>
      </c>
      <c r="AF1225">
        <v>3162</v>
      </c>
      <c r="AG1225" t="s">
        <v>2380</v>
      </c>
      <c r="AI1225" t="s">
        <v>59</v>
      </c>
      <c r="AL1225" t="s">
        <v>87</v>
      </c>
      <c r="AN1225" s="3">
        <v>46070.563888888886</v>
      </c>
      <c r="AO1225" t="s">
        <v>3588</v>
      </c>
    </row>
    <row r="1226" spans="1:41" x14ac:dyDescent="0.3">
      <c r="A1226" t="s">
        <v>168</v>
      </c>
      <c r="B1226" t="s">
        <v>441</v>
      </c>
      <c r="C1226" t="s">
        <v>101</v>
      </c>
      <c r="E1226" s="1">
        <v>46070</v>
      </c>
      <c r="F1226" t="s">
        <v>1376</v>
      </c>
      <c r="G1226" t="s">
        <v>128</v>
      </c>
      <c r="H1226" s="2">
        <v>0.54166666666666663</v>
      </c>
      <c r="I1226" s="2">
        <v>0.875</v>
      </c>
      <c r="J1226" t="s">
        <v>101</v>
      </c>
      <c r="L1226" t="s">
        <v>159</v>
      </c>
      <c r="M1226" t="s">
        <v>479</v>
      </c>
      <c r="N1226" t="s">
        <v>480</v>
      </c>
      <c r="O1226">
        <v>22438</v>
      </c>
      <c r="Q1226" t="s">
        <v>944</v>
      </c>
      <c r="R1226" t="s">
        <v>556</v>
      </c>
      <c r="S1226" t="s">
        <v>52</v>
      </c>
      <c r="U1226">
        <v>890829</v>
      </c>
      <c r="V1226" s="3">
        <v>46050.944444444445</v>
      </c>
      <c r="W1226" t="s">
        <v>481</v>
      </c>
      <c r="X1226" t="s">
        <v>482</v>
      </c>
      <c r="Y1226" t="str">
        <f>"0437751625"</f>
        <v>0437751625</v>
      </c>
      <c r="Z1226" t="s">
        <v>70</v>
      </c>
      <c r="AA1226" s="1">
        <v>46070</v>
      </c>
      <c r="AB1226" t="s">
        <v>448</v>
      </c>
      <c r="AD1226" t="s">
        <v>168</v>
      </c>
      <c r="AE1226" t="s">
        <v>180</v>
      </c>
      <c r="AF1226">
        <v>5063</v>
      </c>
      <c r="AG1226" t="s">
        <v>944</v>
      </c>
      <c r="AI1226" t="s">
        <v>59</v>
      </c>
      <c r="AL1226" t="s">
        <v>1121</v>
      </c>
      <c r="AN1226" s="3">
        <v>46070.794444444444</v>
      </c>
      <c r="AO1226" t="s">
        <v>481</v>
      </c>
    </row>
    <row r="1227" spans="1:41" x14ac:dyDescent="0.3">
      <c r="A1227" t="s">
        <v>61</v>
      </c>
      <c r="B1227" t="s">
        <v>768</v>
      </c>
      <c r="C1227" t="s">
        <v>2308</v>
      </c>
      <c r="D1227" t="s">
        <v>769</v>
      </c>
      <c r="E1227" s="1">
        <v>46070</v>
      </c>
      <c r="F1227" t="s">
        <v>1376</v>
      </c>
      <c r="G1227" t="s">
        <v>128</v>
      </c>
      <c r="H1227" s="2">
        <v>0.54166666666666663</v>
      </c>
      <c r="I1227" s="2">
        <v>0.875</v>
      </c>
      <c r="J1227" t="s">
        <v>185</v>
      </c>
      <c r="L1227" t="s">
        <v>186</v>
      </c>
      <c r="M1227" t="s">
        <v>2309</v>
      </c>
      <c r="N1227" t="s">
        <v>2310</v>
      </c>
      <c r="O1227">
        <v>5952011</v>
      </c>
      <c r="Q1227" t="s">
        <v>2311</v>
      </c>
      <c r="R1227" t="s">
        <v>132</v>
      </c>
      <c r="S1227" t="s">
        <v>52</v>
      </c>
      <c r="U1227">
        <v>890839</v>
      </c>
      <c r="V1227" s="3">
        <v>46063.640972222223</v>
      </c>
      <c r="W1227" t="s">
        <v>2312</v>
      </c>
      <c r="X1227" t="s">
        <v>2313</v>
      </c>
      <c r="Y1227" t="str">
        <f>"0410412022"</f>
        <v>0410412022</v>
      </c>
      <c r="Z1227" t="s">
        <v>70</v>
      </c>
      <c r="AA1227" s="1">
        <v>46070</v>
      </c>
      <c r="AB1227" t="s">
        <v>775</v>
      </c>
      <c r="AD1227" t="s">
        <v>61</v>
      </c>
      <c r="AE1227" t="s">
        <v>776</v>
      </c>
      <c r="AF1227">
        <v>2076</v>
      </c>
      <c r="AG1227" t="s">
        <v>2311</v>
      </c>
      <c r="AI1227" t="s">
        <v>59</v>
      </c>
      <c r="AL1227" t="s">
        <v>3501</v>
      </c>
      <c r="AN1227" s="3">
        <v>46070.835416666669</v>
      </c>
      <c r="AO1227" t="s">
        <v>2312</v>
      </c>
    </row>
    <row r="1228" spans="1:41" x14ac:dyDescent="0.3">
      <c r="A1228" t="s">
        <v>61</v>
      </c>
      <c r="B1228" t="s">
        <v>768</v>
      </c>
      <c r="C1228" t="s">
        <v>2308</v>
      </c>
      <c r="D1228" t="s">
        <v>769</v>
      </c>
      <c r="E1228" s="1">
        <v>46070</v>
      </c>
      <c r="F1228" t="s">
        <v>1376</v>
      </c>
      <c r="G1228" t="s">
        <v>128</v>
      </c>
      <c r="H1228" s="2">
        <v>0.54166666666666663</v>
      </c>
      <c r="I1228" s="2">
        <v>0.875</v>
      </c>
      <c r="J1228" t="s">
        <v>185</v>
      </c>
      <c r="L1228" t="s">
        <v>186</v>
      </c>
      <c r="M1228" t="s">
        <v>886</v>
      </c>
      <c r="N1228" t="s">
        <v>887</v>
      </c>
      <c r="O1228">
        <v>5951205</v>
      </c>
      <c r="Q1228" t="s">
        <v>2311</v>
      </c>
      <c r="R1228" t="s">
        <v>67</v>
      </c>
      <c r="S1228" t="s">
        <v>52</v>
      </c>
      <c r="U1228">
        <v>890827</v>
      </c>
      <c r="V1228" s="3">
        <v>46064.411805555559</v>
      </c>
      <c r="W1228" t="s">
        <v>889</v>
      </c>
      <c r="X1228" t="s">
        <v>890</v>
      </c>
      <c r="Y1228" t="str">
        <f>"0427481581"</f>
        <v>0427481581</v>
      </c>
      <c r="Z1228" t="s">
        <v>70</v>
      </c>
      <c r="AB1228" t="s">
        <v>775</v>
      </c>
      <c r="AD1228" t="s">
        <v>61</v>
      </c>
      <c r="AE1228" t="s">
        <v>776</v>
      </c>
      <c r="AF1228">
        <v>2076</v>
      </c>
      <c r="AG1228" t="s">
        <v>2311</v>
      </c>
      <c r="AI1228" t="s">
        <v>59</v>
      </c>
      <c r="AL1228" t="s">
        <v>3501</v>
      </c>
      <c r="AN1228" s="3">
        <v>46070.793749999997</v>
      </c>
      <c r="AO1228" t="s">
        <v>889</v>
      </c>
    </row>
    <row r="1229" spans="1:41" x14ac:dyDescent="0.3">
      <c r="A1229" t="s">
        <v>168</v>
      </c>
      <c r="B1229" t="s">
        <v>441</v>
      </c>
      <c r="C1229" t="s">
        <v>43</v>
      </c>
      <c r="E1229" s="1">
        <v>46070</v>
      </c>
      <c r="F1229" t="s">
        <v>1376</v>
      </c>
      <c r="G1229" t="s">
        <v>128</v>
      </c>
      <c r="H1229" s="2">
        <v>0.54166666666666663</v>
      </c>
      <c r="I1229" s="2">
        <v>0.875</v>
      </c>
      <c r="J1229" t="s">
        <v>185</v>
      </c>
      <c r="K1229" t="s">
        <v>678</v>
      </c>
      <c r="L1229" t="s">
        <v>186</v>
      </c>
      <c r="M1229" t="s">
        <v>942</v>
      </c>
      <c r="N1229" t="s">
        <v>943</v>
      </c>
      <c r="O1229">
        <v>5950867</v>
      </c>
      <c r="Q1229" t="s">
        <v>944</v>
      </c>
      <c r="R1229" t="s">
        <v>556</v>
      </c>
      <c r="S1229" t="s">
        <v>52</v>
      </c>
      <c r="U1229">
        <v>890826</v>
      </c>
      <c r="V1229" s="3">
        <v>46051.080555555556</v>
      </c>
      <c r="W1229" t="s">
        <v>945</v>
      </c>
      <c r="X1229" t="s">
        <v>946</v>
      </c>
      <c r="Y1229" t="str">
        <f>"0413415810"</f>
        <v>0413415810</v>
      </c>
      <c r="Z1229" t="s">
        <v>70</v>
      </c>
      <c r="AA1229" s="1">
        <v>46070</v>
      </c>
      <c r="AB1229" t="s">
        <v>448</v>
      </c>
      <c r="AD1229" t="s">
        <v>168</v>
      </c>
      <c r="AE1229" t="s">
        <v>180</v>
      </c>
      <c r="AF1229">
        <v>5063</v>
      </c>
      <c r="AG1229" t="s">
        <v>944</v>
      </c>
      <c r="AI1229" t="s">
        <v>59</v>
      </c>
      <c r="AL1229" t="s">
        <v>1121</v>
      </c>
      <c r="AN1229" s="3">
        <v>46070.793055555558</v>
      </c>
      <c r="AO1229" t="s">
        <v>945</v>
      </c>
    </row>
    <row r="1230" spans="1:41" x14ac:dyDescent="0.3">
      <c r="A1230" t="s">
        <v>306</v>
      </c>
      <c r="B1230" t="s">
        <v>307</v>
      </c>
      <c r="C1230" t="s">
        <v>308</v>
      </c>
      <c r="D1230" t="s">
        <v>309</v>
      </c>
      <c r="E1230" s="1">
        <v>46070</v>
      </c>
      <c r="F1230" t="s">
        <v>1376</v>
      </c>
      <c r="G1230" t="s">
        <v>128</v>
      </c>
      <c r="H1230" s="2">
        <v>0.54166666666666663</v>
      </c>
      <c r="I1230" s="2">
        <v>0.89583333333333337</v>
      </c>
      <c r="J1230" t="s">
        <v>296</v>
      </c>
      <c r="K1230" t="s">
        <v>2373</v>
      </c>
      <c r="L1230" t="s">
        <v>2374</v>
      </c>
      <c r="M1230" t="s">
        <v>2375</v>
      </c>
      <c r="N1230" t="s">
        <v>2376</v>
      </c>
      <c r="O1230">
        <v>5952415</v>
      </c>
      <c r="Q1230" t="s">
        <v>3590</v>
      </c>
      <c r="R1230" t="s">
        <v>1763</v>
      </c>
      <c r="S1230" t="s">
        <v>52</v>
      </c>
      <c r="U1230">
        <v>890850</v>
      </c>
      <c r="V1230" s="3">
        <v>46070.395138888889</v>
      </c>
      <c r="W1230" t="s">
        <v>2378</v>
      </c>
      <c r="X1230" t="s">
        <v>2379</v>
      </c>
      <c r="Y1230" t="str">
        <f>"0422461185"</f>
        <v>0422461185</v>
      </c>
      <c r="Z1230" t="s">
        <v>70</v>
      </c>
      <c r="AA1230" s="1">
        <v>46070</v>
      </c>
      <c r="AB1230" t="s">
        <v>317</v>
      </c>
      <c r="AD1230" t="s">
        <v>306</v>
      </c>
      <c r="AE1230" t="s">
        <v>318</v>
      </c>
      <c r="AF1230">
        <v>3162</v>
      </c>
      <c r="AG1230" t="s">
        <v>2380</v>
      </c>
      <c r="AI1230" t="s">
        <v>59</v>
      </c>
      <c r="AL1230" t="s">
        <v>87</v>
      </c>
      <c r="AN1230" s="3">
        <v>46070.894444444442</v>
      </c>
      <c r="AO1230" t="s">
        <v>2378</v>
      </c>
    </row>
    <row r="1231" spans="1:41" x14ac:dyDescent="0.3">
      <c r="A1231" t="s">
        <v>168</v>
      </c>
      <c r="B1231" t="s">
        <v>1021</v>
      </c>
      <c r="C1231" t="s">
        <v>216</v>
      </c>
      <c r="D1231" t="s">
        <v>127</v>
      </c>
      <c r="E1231" s="1">
        <v>46070</v>
      </c>
      <c r="F1231" t="s">
        <v>1376</v>
      </c>
      <c r="G1231" t="s">
        <v>128</v>
      </c>
      <c r="H1231" s="2">
        <v>0.54166666666666663</v>
      </c>
      <c r="I1231" s="2">
        <v>0.79166666666666663</v>
      </c>
      <c r="J1231" t="s">
        <v>101</v>
      </c>
      <c r="K1231" t="s">
        <v>1022</v>
      </c>
      <c r="L1231" t="s">
        <v>159</v>
      </c>
      <c r="M1231" t="s">
        <v>1206</v>
      </c>
      <c r="N1231" t="s">
        <v>1207</v>
      </c>
      <c r="O1231">
        <v>21307</v>
      </c>
      <c r="Q1231" t="s">
        <v>3591</v>
      </c>
      <c r="R1231" t="s">
        <v>1026</v>
      </c>
      <c r="S1231" t="s">
        <v>52</v>
      </c>
      <c r="U1231">
        <v>890824</v>
      </c>
      <c r="V1231" s="3">
        <v>46064.836111111108</v>
      </c>
      <c r="W1231" t="s">
        <v>1209</v>
      </c>
      <c r="X1231" t="s">
        <v>1210</v>
      </c>
      <c r="Y1231" t="str">
        <f>"0421122070"</f>
        <v>0421122070</v>
      </c>
      <c r="Z1231" t="s">
        <v>527</v>
      </c>
      <c r="AB1231" t="s">
        <v>1029</v>
      </c>
      <c r="AD1231" t="s">
        <v>168</v>
      </c>
      <c r="AE1231" t="s">
        <v>1030</v>
      </c>
      <c r="AF1231">
        <v>5022</v>
      </c>
      <c r="AI1231" t="s">
        <v>59</v>
      </c>
      <c r="AL1231" t="s">
        <v>3592</v>
      </c>
      <c r="AN1231" s="3">
        <v>46070.787499999999</v>
      </c>
      <c r="AO1231" t="s">
        <v>1209</v>
      </c>
    </row>
    <row r="1232" spans="1:41" x14ac:dyDescent="0.3">
      <c r="A1232" t="s">
        <v>168</v>
      </c>
      <c r="B1232" t="s">
        <v>336</v>
      </c>
      <c r="C1232" t="s">
        <v>602</v>
      </c>
      <c r="D1232" t="s">
        <v>268</v>
      </c>
      <c r="E1232" s="1">
        <v>46070</v>
      </c>
      <c r="F1232" t="s">
        <v>1376</v>
      </c>
      <c r="G1232" t="s">
        <v>128</v>
      </c>
      <c r="H1232" s="2">
        <v>0.54166666666666663</v>
      </c>
      <c r="I1232" s="2">
        <v>0.89583333333333337</v>
      </c>
      <c r="J1232" t="s">
        <v>269</v>
      </c>
      <c r="K1232" t="s">
        <v>712</v>
      </c>
      <c r="L1232" t="s">
        <v>713</v>
      </c>
      <c r="M1232" t="s">
        <v>476</v>
      </c>
      <c r="N1232" t="s">
        <v>714</v>
      </c>
      <c r="O1232">
        <v>5951199</v>
      </c>
      <c r="P1232" t="s">
        <v>712</v>
      </c>
      <c r="Q1232" t="s">
        <v>342</v>
      </c>
      <c r="R1232" t="s">
        <v>231</v>
      </c>
      <c r="S1232" t="s">
        <v>52</v>
      </c>
      <c r="U1232">
        <v>890856</v>
      </c>
      <c r="V1232" s="3">
        <v>46070.392361111109</v>
      </c>
      <c r="W1232" t="s">
        <v>715</v>
      </c>
      <c r="X1232" t="s">
        <v>716</v>
      </c>
      <c r="Y1232" t="str">
        <f>"0426611875"</f>
        <v>0426611875</v>
      </c>
      <c r="Z1232" t="s">
        <v>70</v>
      </c>
      <c r="AB1232" t="s">
        <v>346</v>
      </c>
      <c r="AD1232" t="s">
        <v>168</v>
      </c>
      <c r="AE1232" t="s">
        <v>347</v>
      </c>
      <c r="AF1232">
        <v>5042</v>
      </c>
      <c r="AG1232" t="s">
        <v>342</v>
      </c>
      <c r="AI1232" t="s">
        <v>59</v>
      </c>
      <c r="AL1232" t="s">
        <v>3593</v>
      </c>
      <c r="AN1232" s="3">
        <v>46070.918055555558</v>
      </c>
      <c r="AO1232" t="s">
        <v>715</v>
      </c>
    </row>
    <row r="1233" spans="1:41" x14ac:dyDescent="0.3">
      <c r="A1233" t="s">
        <v>168</v>
      </c>
      <c r="B1233" t="s">
        <v>441</v>
      </c>
      <c r="C1233" t="s">
        <v>43</v>
      </c>
      <c r="E1233" s="1">
        <v>46070</v>
      </c>
      <c r="F1233" t="s">
        <v>1376</v>
      </c>
      <c r="G1233" t="s">
        <v>128</v>
      </c>
      <c r="H1233" s="2">
        <v>0.54166666666666663</v>
      </c>
      <c r="I1233" s="2">
        <v>0.875</v>
      </c>
      <c r="J1233" t="s">
        <v>185</v>
      </c>
      <c r="K1233" t="s">
        <v>678</v>
      </c>
      <c r="L1233" t="s">
        <v>186</v>
      </c>
      <c r="M1233" t="s">
        <v>1117</v>
      </c>
      <c r="N1233" t="s">
        <v>1118</v>
      </c>
      <c r="O1233">
        <v>5952419</v>
      </c>
      <c r="Q1233" t="s">
        <v>944</v>
      </c>
      <c r="R1233" t="s">
        <v>556</v>
      </c>
      <c r="S1233" t="s">
        <v>52</v>
      </c>
      <c r="U1233">
        <v>890828</v>
      </c>
      <c r="V1233" s="3">
        <v>46051.081250000003</v>
      </c>
      <c r="W1233" t="s">
        <v>1119</v>
      </c>
      <c r="X1233" t="s">
        <v>1120</v>
      </c>
      <c r="Y1233" t="str">
        <f>"0433820679"</f>
        <v>0433820679</v>
      </c>
      <c r="Z1233" t="s">
        <v>70</v>
      </c>
      <c r="AA1233" s="1">
        <v>46070</v>
      </c>
      <c r="AB1233" t="s">
        <v>448</v>
      </c>
      <c r="AD1233" t="s">
        <v>168</v>
      </c>
      <c r="AE1233" t="s">
        <v>180</v>
      </c>
      <c r="AF1233">
        <v>5063</v>
      </c>
      <c r="AG1233" t="s">
        <v>944</v>
      </c>
      <c r="AI1233" t="s">
        <v>59</v>
      </c>
      <c r="AL1233" t="s">
        <v>1121</v>
      </c>
      <c r="AN1233" s="3">
        <v>46070.793749999997</v>
      </c>
      <c r="AO1233" t="s">
        <v>1119</v>
      </c>
    </row>
    <row r="1234" spans="1:41" x14ac:dyDescent="0.3">
      <c r="A1234" t="s">
        <v>306</v>
      </c>
      <c r="B1234" t="s">
        <v>1650</v>
      </c>
      <c r="C1234" t="s">
        <v>269</v>
      </c>
      <c r="D1234" t="s">
        <v>754</v>
      </c>
      <c r="E1234" s="1">
        <v>46079</v>
      </c>
      <c r="F1234" t="s">
        <v>621</v>
      </c>
      <c r="G1234" t="s">
        <v>485</v>
      </c>
      <c r="H1234" s="2">
        <v>0.89583333333333337</v>
      </c>
      <c r="I1234" s="2">
        <v>0.3125</v>
      </c>
      <c r="J1234" t="s">
        <v>269</v>
      </c>
      <c r="K1234" t="s">
        <v>530</v>
      </c>
      <c r="L1234" t="s">
        <v>1675</v>
      </c>
      <c r="M1234" t="s">
        <v>1576</v>
      </c>
      <c r="N1234" t="s">
        <v>1676</v>
      </c>
      <c r="O1234">
        <v>20292</v>
      </c>
      <c r="Q1234" t="s">
        <v>894</v>
      </c>
      <c r="R1234" t="s">
        <v>1248</v>
      </c>
      <c r="S1234" t="s">
        <v>52</v>
      </c>
      <c r="U1234">
        <v>891996</v>
      </c>
      <c r="V1234" s="3">
        <v>46079.71875</v>
      </c>
      <c r="W1234" t="s">
        <v>1678</v>
      </c>
      <c r="X1234" t="s">
        <v>1679</v>
      </c>
      <c r="Y1234" t="str">
        <f>"0490774941"</f>
        <v>0490774941</v>
      </c>
      <c r="Z1234" t="s">
        <v>70</v>
      </c>
      <c r="AA1234" s="1">
        <v>46079</v>
      </c>
      <c r="AB1234" t="s">
        <v>1656</v>
      </c>
      <c r="AD1234" t="s">
        <v>306</v>
      </c>
      <c r="AE1234" t="s">
        <v>1657</v>
      </c>
      <c r="AF1234">
        <v>3170</v>
      </c>
      <c r="AG1234" t="s">
        <v>894</v>
      </c>
      <c r="AI1234" t="s">
        <v>59</v>
      </c>
      <c r="AL1234" t="s">
        <v>370</v>
      </c>
      <c r="AN1234" s="3">
        <v>46080.285416666666</v>
      </c>
      <c r="AO1234" t="s">
        <v>1678</v>
      </c>
    </row>
    <row r="1235" spans="1:41" x14ac:dyDescent="0.3">
      <c r="A1235" t="s">
        <v>306</v>
      </c>
      <c r="B1235" t="s">
        <v>1650</v>
      </c>
      <c r="C1235" t="s">
        <v>269</v>
      </c>
      <c r="D1235" t="s">
        <v>754</v>
      </c>
      <c r="E1235" s="1">
        <v>46079</v>
      </c>
      <c r="F1235" t="s">
        <v>621</v>
      </c>
      <c r="G1235" t="s">
        <v>485</v>
      </c>
      <c r="H1235" s="2">
        <v>0.89583333333333337</v>
      </c>
      <c r="I1235" s="2">
        <v>0.3125</v>
      </c>
      <c r="J1235" t="s">
        <v>269</v>
      </c>
      <c r="K1235" t="s">
        <v>530</v>
      </c>
      <c r="L1235" t="s">
        <v>1675</v>
      </c>
      <c r="M1235" t="s">
        <v>1576</v>
      </c>
      <c r="N1235" t="s">
        <v>1676</v>
      </c>
      <c r="O1235">
        <v>20292</v>
      </c>
      <c r="R1235" t="s">
        <v>759</v>
      </c>
      <c r="S1235" t="s">
        <v>119</v>
      </c>
      <c r="T1235" t="s">
        <v>760</v>
      </c>
      <c r="U1235" t="s">
        <v>3594</v>
      </c>
      <c r="V1235" s="3">
        <v>46098.477777777778</v>
      </c>
      <c r="W1235" t="s">
        <v>1678</v>
      </c>
      <c r="X1235" t="s">
        <v>1679</v>
      </c>
      <c r="Y1235" t="str">
        <f>"0490774941"</f>
        <v>0490774941</v>
      </c>
      <c r="Z1235" t="s">
        <v>70</v>
      </c>
      <c r="AB1235" t="s">
        <v>1656</v>
      </c>
      <c r="AD1235" t="s">
        <v>306</v>
      </c>
      <c r="AE1235" t="s">
        <v>1657</v>
      </c>
      <c r="AF1235">
        <v>3170</v>
      </c>
      <c r="AI1235" t="s">
        <v>59</v>
      </c>
      <c r="AM1235" t="s">
        <v>3595</v>
      </c>
      <c r="AN1235" s="3">
        <v>46098.477777777778</v>
      </c>
      <c r="AO1235" t="s">
        <v>759</v>
      </c>
    </row>
    <row r="1236" spans="1:41" x14ac:dyDescent="0.3">
      <c r="A1236" t="s">
        <v>306</v>
      </c>
      <c r="B1236" t="s">
        <v>1334</v>
      </c>
      <c r="C1236" t="s">
        <v>3596</v>
      </c>
      <c r="D1236" t="s">
        <v>1336</v>
      </c>
      <c r="E1236" s="1">
        <v>46079</v>
      </c>
      <c r="F1236" t="s">
        <v>621</v>
      </c>
      <c r="G1236" t="s">
        <v>485</v>
      </c>
      <c r="H1236" s="2">
        <v>0.89583333333333337</v>
      </c>
      <c r="I1236" s="2">
        <v>0.3125</v>
      </c>
      <c r="J1236" t="s">
        <v>496</v>
      </c>
      <c r="L1236" t="s">
        <v>531</v>
      </c>
      <c r="M1236" t="s">
        <v>1239</v>
      </c>
      <c r="N1236" t="s">
        <v>1240</v>
      </c>
      <c r="O1236">
        <v>5952284</v>
      </c>
      <c r="Q1236" t="s">
        <v>705</v>
      </c>
      <c r="R1236" t="s">
        <v>500</v>
      </c>
      <c r="S1236" t="s">
        <v>52</v>
      </c>
      <c r="U1236">
        <v>891999</v>
      </c>
      <c r="V1236" s="3">
        <v>46077.668749999997</v>
      </c>
      <c r="W1236" t="s">
        <v>1241</v>
      </c>
      <c r="X1236" t="s">
        <v>1242</v>
      </c>
      <c r="Y1236" t="str">
        <f>"0402086188"</f>
        <v>0402086188</v>
      </c>
      <c r="Z1236" t="s">
        <v>70</v>
      </c>
      <c r="AA1236" s="1">
        <v>46079</v>
      </c>
      <c r="AB1236" t="s">
        <v>1342</v>
      </c>
      <c r="AD1236" t="s">
        <v>306</v>
      </c>
      <c r="AE1236" t="s">
        <v>1343</v>
      </c>
      <c r="AF1236">
        <v>3144</v>
      </c>
      <c r="AG1236" t="s">
        <v>413</v>
      </c>
      <c r="AI1236" t="s">
        <v>59</v>
      </c>
      <c r="AL1236" t="s">
        <v>3597</v>
      </c>
      <c r="AM1236" t="s">
        <v>3598</v>
      </c>
      <c r="AN1236" s="3">
        <v>46080.32708333333</v>
      </c>
      <c r="AO1236" t="s">
        <v>1241</v>
      </c>
    </row>
    <row r="1237" spans="1:41" x14ac:dyDescent="0.3">
      <c r="A1237" t="s">
        <v>41</v>
      </c>
      <c r="B1237" t="s">
        <v>2102</v>
      </c>
      <c r="C1237" t="s">
        <v>3233</v>
      </c>
      <c r="D1237" t="s">
        <v>1286</v>
      </c>
      <c r="E1237" s="1">
        <v>46079</v>
      </c>
      <c r="F1237" t="s">
        <v>621</v>
      </c>
      <c r="G1237" t="s">
        <v>485</v>
      </c>
      <c r="H1237" s="2">
        <v>0.9375</v>
      </c>
      <c r="I1237" s="2">
        <v>0.29166666666666669</v>
      </c>
      <c r="J1237" t="s">
        <v>463</v>
      </c>
      <c r="L1237" t="s">
        <v>540</v>
      </c>
      <c r="M1237" t="s">
        <v>3599</v>
      </c>
      <c r="N1237" t="s">
        <v>3600</v>
      </c>
      <c r="O1237">
        <v>5952151</v>
      </c>
      <c r="Q1237" t="s">
        <v>1245</v>
      </c>
      <c r="R1237" t="s">
        <v>51</v>
      </c>
      <c r="S1237" t="s">
        <v>52</v>
      </c>
      <c r="U1237">
        <v>892000</v>
      </c>
      <c r="V1237" s="3">
        <v>46079.588194444441</v>
      </c>
      <c r="W1237" t="s">
        <v>3601</v>
      </c>
      <c r="X1237" t="s">
        <v>3602</v>
      </c>
      <c r="Y1237" t="str">
        <f>"0499779020"</f>
        <v>0499779020</v>
      </c>
      <c r="Z1237" t="s">
        <v>70</v>
      </c>
      <c r="AB1237" t="s">
        <v>2107</v>
      </c>
      <c r="AD1237" t="s">
        <v>41</v>
      </c>
      <c r="AE1237" t="s">
        <v>2108</v>
      </c>
      <c r="AF1237">
        <v>4066</v>
      </c>
      <c r="AG1237" t="s">
        <v>98</v>
      </c>
      <c r="AI1237" t="s">
        <v>59</v>
      </c>
      <c r="AL1237" t="s">
        <v>3603</v>
      </c>
      <c r="AN1237" s="3">
        <v>46080.32916666667</v>
      </c>
      <c r="AO1237" t="s">
        <v>3601</v>
      </c>
    </row>
    <row r="1238" spans="1:41" x14ac:dyDescent="0.3">
      <c r="A1238" t="s">
        <v>41</v>
      </c>
      <c r="B1238" t="s">
        <v>426</v>
      </c>
      <c r="D1238" t="s">
        <v>246</v>
      </c>
      <c r="E1238" s="1">
        <v>46079</v>
      </c>
      <c r="F1238" t="s">
        <v>621</v>
      </c>
      <c r="G1238" t="s">
        <v>485</v>
      </c>
      <c r="H1238" s="2">
        <v>0.94791666666666663</v>
      </c>
      <c r="I1238" s="2">
        <v>0.3125</v>
      </c>
      <c r="J1238" t="s">
        <v>464</v>
      </c>
      <c r="L1238" t="s">
        <v>540</v>
      </c>
      <c r="M1238" t="s">
        <v>541</v>
      </c>
      <c r="N1238" t="s">
        <v>542</v>
      </c>
      <c r="O1238">
        <v>402297</v>
      </c>
      <c r="Q1238" t="s">
        <v>3365</v>
      </c>
      <c r="R1238" t="s">
        <v>1302</v>
      </c>
      <c r="S1238" t="s">
        <v>52</v>
      </c>
      <c r="U1238">
        <v>892004</v>
      </c>
      <c r="V1238" s="3">
        <v>46079.877083333333</v>
      </c>
      <c r="W1238" t="s">
        <v>543</v>
      </c>
      <c r="X1238" t="s">
        <v>544</v>
      </c>
      <c r="Y1238" t="str">
        <f>"0434044099"</f>
        <v>0434044099</v>
      </c>
      <c r="Z1238" t="s">
        <v>70</v>
      </c>
      <c r="AA1238" s="1">
        <v>46079</v>
      </c>
      <c r="AB1238" t="s">
        <v>434</v>
      </c>
      <c r="AD1238" t="s">
        <v>41</v>
      </c>
      <c r="AE1238" t="s">
        <v>435</v>
      </c>
      <c r="AF1238">
        <v>4163</v>
      </c>
      <c r="AG1238" t="s">
        <v>3365</v>
      </c>
      <c r="AI1238" t="s">
        <v>59</v>
      </c>
      <c r="AL1238" t="s">
        <v>3604</v>
      </c>
      <c r="AN1238" s="3">
        <v>46080.344444444447</v>
      </c>
      <c r="AO1238" t="s">
        <v>543</v>
      </c>
    </row>
    <row r="1239" spans="1:41" x14ac:dyDescent="0.3">
      <c r="A1239" t="s">
        <v>41</v>
      </c>
      <c r="B1239" t="s">
        <v>568</v>
      </c>
      <c r="D1239" t="s">
        <v>246</v>
      </c>
      <c r="E1239" s="1">
        <v>46049</v>
      </c>
      <c r="F1239" t="s">
        <v>1376</v>
      </c>
      <c r="G1239" t="s">
        <v>45</v>
      </c>
      <c r="H1239" s="2">
        <v>0.29166666666666669</v>
      </c>
      <c r="I1239" s="2">
        <v>0.8125</v>
      </c>
      <c r="J1239" t="s">
        <v>269</v>
      </c>
      <c r="L1239" t="s">
        <v>172</v>
      </c>
      <c r="M1239" t="s">
        <v>311</v>
      </c>
      <c r="N1239" t="s">
        <v>570</v>
      </c>
      <c r="O1239">
        <v>5951685</v>
      </c>
      <c r="P1239" t="s">
        <v>571</v>
      </c>
      <c r="Q1239" t="s">
        <v>572</v>
      </c>
      <c r="R1239" t="s">
        <v>573</v>
      </c>
      <c r="S1239" t="s">
        <v>52</v>
      </c>
      <c r="T1239" t="s">
        <v>252</v>
      </c>
      <c r="U1239">
        <v>889142</v>
      </c>
      <c r="V1239" s="3">
        <v>46056.381249999999</v>
      </c>
      <c r="W1239" t="s">
        <v>574</v>
      </c>
      <c r="X1239" t="s">
        <v>575</v>
      </c>
      <c r="Y1239" t="str">
        <f>"0407007024"</f>
        <v>0407007024</v>
      </c>
      <c r="Z1239" t="s">
        <v>254</v>
      </c>
      <c r="AA1239" s="1">
        <v>46075</v>
      </c>
      <c r="AB1239" t="s">
        <v>576</v>
      </c>
      <c r="AD1239" t="s">
        <v>41</v>
      </c>
      <c r="AE1239" t="s">
        <v>577</v>
      </c>
      <c r="AF1239">
        <v>4700</v>
      </c>
      <c r="AG1239" t="s">
        <v>572</v>
      </c>
      <c r="AI1239" t="s">
        <v>59</v>
      </c>
      <c r="AJ1239" t="str">
        <f>"0050076113"</f>
        <v>0050076113</v>
      </c>
      <c r="AN1239" s="3">
        <v>46056.381249999999</v>
      </c>
      <c r="AO1239" t="s">
        <v>573</v>
      </c>
    </row>
    <row r="1240" spans="1:41" x14ac:dyDescent="0.3">
      <c r="A1240" t="s">
        <v>41</v>
      </c>
      <c r="B1240" t="s">
        <v>568</v>
      </c>
      <c r="C1240" t="s">
        <v>602</v>
      </c>
      <c r="D1240" t="s">
        <v>246</v>
      </c>
      <c r="E1240" s="1">
        <v>46049</v>
      </c>
      <c r="F1240" t="s">
        <v>1376</v>
      </c>
      <c r="G1240" t="s">
        <v>45</v>
      </c>
      <c r="H1240" s="2">
        <v>0.29166666666666669</v>
      </c>
      <c r="I1240" s="2">
        <v>0.64583333333333337</v>
      </c>
      <c r="J1240" t="s">
        <v>269</v>
      </c>
      <c r="L1240" t="s">
        <v>47</v>
      </c>
      <c r="M1240" t="s">
        <v>603</v>
      </c>
      <c r="N1240" t="s">
        <v>604</v>
      </c>
      <c r="O1240">
        <v>80</v>
      </c>
      <c r="P1240" t="s">
        <v>571</v>
      </c>
      <c r="Q1240" t="s">
        <v>572</v>
      </c>
      <c r="R1240" t="s">
        <v>573</v>
      </c>
      <c r="S1240" t="s">
        <v>52</v>
      </c>
      <c r="T1240" t="s">
        <v>252</v>
      </c>
      <c r="U1240">
        <v>889146</v>
      </c>
      <c r="V1240" s="3">
        <v>46056.382638888892</v>
      </c>
      <c r="W1240" t="s">
        <v>605</v>
      </c>
      <c r="X1240" t="s">
        <v>606</v>
      </c>
      <c r="Y1240" t="str">
        <f>"0414330986"</f>
        <v>0414330986</v>
      </c>
      <c r="Z1240" t="s">
        <v>84</v>
      </c>
      <c r="AA1240" s="1">
        <v>46068</v>
      </c>
      <c r="AB1240" t="s">
        <v>576</v>
      </c>
      <c r="AD1240" t="s">
        <v>41</v>
      </c>
      <c r="AE1240" t="s">
        <v>577</v>
      </c>
      <c r="AF1240">
        <v>4700</v>
      </c>
      <c r="AG1240" t="s">
        <v>572</v>
      </c>
      <c r="AI1240" t="s">
        <v>59</v>
      </c>
      <c r="AJ1240" t="str">
        <f>"0050075176"</f>
        <v>0050075176</v>
      </c>
      <c r="AN1240" s="3">
        <v>46056.382638888892</v>
      </c>
      <c r="AO1240" t="s">
        <v>573</v>
      </c>
    </row>
    <row r="1241" spans="1:41" x14ac:dyDescent="0.3">
      <c r="A1241" t="s">
        <v>168</v>
      </c>
      <c r="B1241" t="s">
        <v>607</v>
      </c>
      <c r="C1241" t="s">
        <v>267</v>
      </c>
      <c r="D1241" t="s">
        <v>268</v>
      </c>
      <c r="E1241" s="1">
        <v>46049</v>
      </c>
      <c r="F1241" t="s">
        <v>1376</v>
      </c>
      <c r="G1241" t="s">
        <v>45</v>
      </c>
      <c r="H1241" s="2">
        <v>0.33333333333333331</v>
      </c>
      <c r="I1241" s="2">
        <v>0.6875</v>
      </c>
      <c r="J1241" t="s">
        <v>269</v>
      </c>
      <c r="K1241" t="s">
        <v>608</v>
      </c>
      <c r="L1241" t="s">
        <v>609</v>
      </c>
      <c r="M1241" t="s">
        <v>610</v>
      </c>
      <c r="N1241" t="s">
        <v>611</v>
      </c>
      <c r="O1241">
        <v>5952121</v>
      </c>
      <c r="P1241" t="s">
        <v>249</v>
      </c>
      <c r="Q1241" t="s">
        <v>612</v>
      </c>
      <c r="R1241" t="s">
        <v>613</v>
      </c>
      <c r="S1241" t="s">
        <v>52</v>
      </c>
      <c r="T1241" t="s">
        <v>252</v>
      </c>
      <c r="U1241">
        <v>888937</v>
      </c>
      <c r="V1241" s="3">
        <v>46055.4</v>
      </c>
      <c r="W1241" t="s">
        <v>613</v>
      </c>
      <c r="X1241" t="s">
        <v>614</v>
      </c>
      <c r="Y1241" t="str">
        <f>"0412297150"</f>
        <v>0412297150</v>
      </c>
      <c r="Z1241" t="s">
        <v>1862</v>
      </c>
      <c r="AA1241" s="1">
        <v>46077</v>
      </c>
      <c r="AB1241" t="s">
        <v>615</v>
      </c>
      <c r="AC1241" t="s">
        <v>616</v>
      </c>
      <c r="AD1241" t="s">
        <v>168</v>
      </c>
      <c r="AE1241" t="s">
        <v>617</v>
      </c>
      <c r="AF1241">
        <v>5290</v>
      </c>
      <c r="AG1241" t="s">
        <v>618</v>
      </c>
      <c r="AI1241" t="s">
        <v>59</v>
      </c>
      <c r="AJ1241" t="str">
        <f>"0020171780"</f>
        <v>0020171780</v>
      </c>
      <c r="AM1241" t="s">
        <v>1696</v>
      </c>
      <c r="AN1241" s="3">
        <v>46055.4</v>
      </c>
      <c r="AO1241" t="s">
        <v>613</v>
      </c>
    </row>
    <row r="1242" spans="1:41" x14ac:dyDescent="0.3">
      <c r="A1242" t="s">
        <v>168</v>
      </c>
      <c r="B1242" t="s">
        <v>689</v>
      </c>
      <c r="C1242" t="s">
        <v>43</v>
      </c>
      <c r="D1242" t="s">
        <v>268</v>
      </c>
      <c r="E1242" s="1">
        <v>46049</v>
      </c>
      <c r="F1242" t="s">
        <v>1376</v>
      </c>
      <c r="G1242" t="s">
        <v>45</v>
      </c>
      <c r="H1242" s="2">
        <v>0.35416666666666669</v>
      </c>
      <c r="I1242" s="2">
        <v>0.75</v>
      </c>
      <c r="J1242" t="s">
        <v>100</v>
      </c>
      <c r="L1242" t="s">
        <v>100</v>
      </c>
      <c r="M1242" t="s">
        <v>402</v>
      </c>
      <c r="N1242" t="s">
        <v>403</v>
      </c>
      <c r="O1242">
        <v>21398</v>
      </c>
      <c r="P1242" t="s">
        <v>249</v>
      </c>
      <c r="Q1242" t="s">
        <v>2110</v>
      </c>
      <c r="R1242" t="s">
        <v>405</v>
      </c>
      <c r="S1242" t="s">
        <v>52</v>
      </c>
      <c r="T1242" t="s">
        <v>252</v>
      </c>
      <c r="U1242">
        <v>888783</v>
      </c>
      <c r="V1242" s="3">
        <v>46052.71875</v>
      </c>
      <c r="W1242" t="s">
        <v>405</v>
      </c>
      <c r="X1242" t="s">
        <v>406</v>
      </c>
      <c r="Y1242" t="str">
        <f>"0423877972"</f>
        <v>0423877972</v>
      </c>
      <c r="Z1242" t="s">
        <v>84</v>
      </c>
      <c r="AA1242" s="1">
        <v>46075</v>
      </c>
      <c r="AB1242" t="s">
        <v>695</v>
      </c>
      <c r="AD1242" t="s">
        <v>168</v>
      </c>
      <c r="AE1242" t="s">
        <v>696</v>
      </c>
      <c r="AF1242">
        <v>5606</v>
      </c>
      <c r="AG1242" t="s">
        <v>3605</v>
      </c>
      <c r="AI1242" t="s">
        <v>59</v>
      </c>
      <c r="AJ1242" t="str">
        <f>"0020185674"</f>
        <v>0020185674</v>
      </c>
      <c r="AN1242" s="3">
        <v>46052.71875</v>
      </c>
      <c r="AO1242" t="s">
        <v>405</v>
      </c>
    </row>
    <row r="1243" spans="1:41" x14ac:dyDescent="0.3">
      <c r="A1243" t="s">
        <v>61</v>
      </c>
      <c r="B1243" t="s">
        <v>578</v>
      </c>
      <c r="D1243" t="s">
        <v>579</v>
      </c>
      <c r="E1243" s="1">
        <v>46049</v>
      </c>
      <c r="F1243" t="s">
        <v>1376</v>
      </c>
      <c r="G1243" t="s">
        <v>485</v>
      </c>
      <c r="H1243" s="2">
        <v>0.875</v>
      </c>
      <c r="I1243" s="2">
        <v>0.3125</v>
      </c>
      <c r="J1243" t="s">
        <v>269</v>
      </c>
      <c r="L1243" t="s">
        <v>172</v>
      </c>
      <c r="M1243" t="s">
        <v>580</v>
      </c>
      <c r="N1243" t="s">
        <v>581</v>
      </c>
      <c r="O1243">
        <v>5951721</v>
      </c>
      <c r="P1243" t="s">
        <v>571</v>
      </c>
      <c r="Q1243" t="s">
        <v>582</v>
      </c>
      <c r="R1243" t="s">
        <v>573</v>
      </c>
      <c r="S1243" t="s">
        <v>52</v>
      </c>
      <c r="T1243" t="s">
        <v>252</v>
      </c>
      <c r="U1243">
        <v>889782</v>
      </c>
      <c r="V1243" s="3">
        <v>46062.513888888891</v>
      </c>
      <c r="W1243" t="s">
        <v>583</v>
      </c>
      <c r="X1243" t="s">
        <v>584</v>
      </c>
      <c r="Y1243" t="str">
        <f>"0456677559"</f>
        <v>0456677559</v>
      </c>
      <c r="Z1243" t="s">
        <v>254</v>
      </c>
      <c r="AA1243" s="1">
        <v>46066</v>
      </c>
      <c r="AB1243" t="s">
        <v>586</v>
      </c>
      <c r="AD1243" t="s">
        <v>61</v>
      </c>
      <c r="AE1243" t="s">
        <v>587</v>
      </c>
      <c r="AF1243">
        <v>2320</v>
      </c>
      <c r="AG1243" t="s">
        <v>588</v>
      </c>
      <c r="AI1243" t="s">
        <v>59</v>
      </c>
      <c r="AJ1243" t="str">
        <f>"0010193654"</f>
        <v>0010193654</v>
      </c>
      <c r="AN1243" s="3">
        <v>46062.513888888891</v>
      </c>
      <c r="AO1243" t="s">
        <v>573</v>
      </c>
    </row>
    <row r="1244" spans="1:41" x14ac:dyDescent="0.3">
      <c r="A1244" t="s">
        <v>61</v>
      </c>
      <c r="B1244" t="s">
        <v>2112</v>
      </c>
      <c r="D1244" t="s">
        <v>2112</v>
      </c>
      <c r="E1244" s="1">
        <v>46080</v>
      </c>
      <c r="F1244" t="s">
        <v>2113</v>
      </c>
      <c r="G1244" t="s">
        <v>45</v>
      </c>
      <c r="H1244" s="2">
        <v>0.25</v>
      </c>
      <c r="I1244" s="2">
        <v>0.25069444444444444</v>
      </c>
      <c r="J1244" t="s">
        <v>296</v>
      </c>
      <c r="L1244" t="s">
        <v>2114</v>
      </c>
      <c r="M1244" t="s">
        <v>2115</v>
      </c>
      <c r="N1244" t="s">
        <v>2116</v>
      </c>
      <c r="O1244">
        <v>21150</v>
      </c>
      <c r="R1244" t="s">
        <v>2117</v>
      </c>
      <c r="S1244" t="s">
        <v>119</v>
      </c>
      <c r="T1244" t="s">
        <v>760</v>
      </c>
      <c r="U1244">
        <v>892536</v>
      </c>
      <c r="V1244" s="3">
        <v>46085.349305555559</v>
      </c>
      <c r="W1244" t="s">
        <v>2118</v>
      </c>
      <c r="X1244" t="s">
        <v>2119</v>
      </c>
      <c r="Y1244" t="str">
        <f>"0401195873"</f>
        <v>0401195873</v>
      </c>
      <c r="Z1244" t="s">
        <v>70</v>
      </c>
      <c r="AB1244" t="s">
        <v>2120</v>
      </c>
      <c r="AD1244" t="s">
        <v>61</v>
      </c>
      <c r="AE1244" t="s">
        <v>1699</v>
      </c>
      <c r="AF1244">
        <v>2232</v>
      </c>
      <c r="AI1244" t="s">
        <v>59</v>
      </c>
      <c r="AM1244" t="s">
        <v>1237</v>
      </c>
      <c r="AN1244" s="3">
        <v>46085.349305555559</v>
      </c>
      <c r="AO1244" t="s">
        <v>2117</v>
      </c>
    </row>
    <row r="1245" spans="1:41" x14ac:dyDescent="0.3">
      <c r="A1245" t="s">
        <v>168</v>
      </c>
      <c r="B1245" t="s">
        <v>689</v>
      </c>
      <c r="C1245" t="s">
        <v>43</v>
      </c>
      <c r="D1245" t="s">
        <v>268</v>
      </c>
      <c r="E1245" s="1">
        <v>46080</v>
      </c>
      <c r="F1245" t="s">
        <v>2113</v>
      </c>
      <c r="G1245" t="s">
        <v>45</v>
      </c>
      <c r="H1245" s="2">
        <v>0.25</v>
      </c>
      <c r="I1245" s="2">
        <v>0.25347222222222221</v>
      </c>
      <c r="J1245" t="s">
        <v>101</v>
      </c>
      <c r="L1245" t="s">
        <v>159</v>
      </c>
      <c r="M1245" t="s">
        <v>690</v>
      </c>
      <c r="N1245" t="s">
        <v>691</v>
      </c>
      <c r="O1245">
        <v>5950774</v>
      </c>
      <c r="P1245" t="s">
        <v>249</v>
      </c>
      <c r="Q1245" t="s">
        <v>692</v>
      </c>
      <c r="R1245" t="s">
        <v>693</v>
      </c>
      <c r="S1245" t="s">
        <v>52</v>
      </c>
      <c r="T1245" t="s">
        <v>252</v>
      </c>
      <c r="U1245">
        <v>892231</v>
      </c>
      <c r="V1245" s="3">
        <v>46083.494444444441</v>
      </c>
      <c r="W1245" t="s">
        <v>693</v>
      </c>
      <c r="X1245" t="s">
        <v>694</v>
      </c>
      <c r="Y1245" t="str">
        <f>"0404019300"</f>
        <v>0404019300</v>
      </c>
      <c r="Z1245" t="s">
        <v>70</v>
      </c>
      <c r="AA1245" s="1">
        <v>46117</v>
      </c>
      <c r="AB1245" t="s">
        <v>695</v>
      </c>
      <c r="AD1245" t="s">
        <v>168</v>
      </c>
      <c r="AE1245" t="s">
        <v>696</v>
      </c>
      <c r="AF1245">
        <v>5606</v>
      </c>
      <c r="AG1245" t="s">
        <v>1500</v>
      </c>
      <c r="AI1245" t="s">
        <v>59</v>
      </c>
      <c r="AJ1245" t="str">
        <f>"0020188040"</f>
        <v>0020188040</v>
      </c>
      <c r="AN1245" s="3">
        <v>46083.494444444441</v>
      </c>
      <c r="AO1245" t="s">
        <v>693</v>
      </c>
    </row>
    <row r="1246" spans="1:41" x14ac:dyDescent="0.3">
      <c r="A1246" t="s">
        <v>168</v>
      </c>
      <c r="B1246" t="s">
        <v>689</v>
      </c>
      <c r="C1246" t="s">
        <v>43</v>
      </c>
      <c r="D1246" t="s">
        <v>268</v>
      </c>
      <c r="E1246" s="1">
        <v>46080</v>
      </c>
      <c r="F1246" t="s">
        <v>2113</v>
      </c>
      <c r="G1246" t="s">
        <v>45</v>
      </c>
      <c r="H1246" s="2">
        <v>0.25</v>
      </c>
      <c r="I1246" s="2">
        <v>0.25347222222222221</v>
      </c>
      <c r="J1246" t="s">
        <v>101</v>
      </c>
      <c r="L1246" t="s">
        <v>159</v>
      </c>
      <c r="M1246" t="s">
        <v>690</v>
      </c>
      <c r="N1246" t="s">
        <v>691</v>
      </c>
      <c r="O1246">
        <v>5950774</v>
      </c>
      <c r="P1246" t="s">
        <v>249</v>
      </c>
      <c r="Q1246" t="s">
        <v>692</v>
      </c>
      <c r="R1246" t="s">
        <v>693</v>
      </c>
      <c r="S1246" t="s">
        <v>52</v>
      </c>
      <c r="T1246" t="s">
        <v>252</v>
      </c>
      <c r="U1246">
        <v>892233</v>
      </c>
      <c r="V1246" s="3">
        <v>46083.506249999999</v>
      </c>
      <c r="W1246" t="s">
        <v>693</v>
      </c>
      <c r="X1246" t="s">
        <v>694</v>
      </c>
      <c r="Y1246" t="str">
        <f>"0404019300"</f>
        <v>0404019300</v>
      </c>
      <c r="Z1246" t="s">
        <v>70</v>
      </c>
      <c r="AA1246" s="1">
        <v>46117</v>
      </c>
      <c r="AB1246" t="s">
        <v>695</v>
      </c>
      <c r="AD1246" t="s">
        <v>168</v>
      </c>
      <c r="AE1246" t="s">
        <v>696</v>
      </c>
      <c r="AF1246">
        <v>5606</v>
      </c>
      <c r="AG1246" t="s">
        <v>1500</v>
      </c>
      <c r="AI1246" t="s">
        <v>59</v>
      </c>
      <c r="AJ1246" t="str">
        <f>"0020188040"</f>
        <v>0020188040</v>
      </c>
      <c r="AN1246" s="3">
        <v>46083.506249999999</v>
      </c>
      <c r="AO1246" t="s">
        <v>693</v>
      </c>
    </row>
    <row r="1247" spans="1:41" x14ac:dyDescent="0.3">
      <c r="A1247" t="s">
        <v>61</v>
      </c>
      <c r="B1247" t="s">
        <v>620</v>
      </c>
      <c r="C1247" t="s">
        <v>43</v>
      </c>
      <c r="D1247" t="s">
        <v>63</v>
      </c>
      <c r="E1247" s="1">
        <v>46080</v>
      </c>
      <c r="F1247" t="s">
        <v>2113</v>
      </c>
      <c r="G1247" t="s">
        <v>45</v>
      </c>
      <c r="H1247" s="2">
        <v>0.25</v>
      </c>
      <c r="I1247" s="2">
        <v>0.99861111111111112</v>
      </c>
      <c r="J1247" t="s">
        <v>185</v>
      </c>
      <c r="L1247" t="s">
        <v>784</v>
      </c>
      <c r="M1247" t="s">
        <v>785</v>
      </c>
      <c r="N1247" t="s">
        <v>786</v>
      </c>
      <c r="O1247">
        <v>5951112</v>
      </c>
      <c r="Q1247" t="s">
        <v>2572</v>
      </c>
      <c r="R1247" t="s">
        <v>67</v>
      </c>
      <c r="S1247" t="s">
        <v>52</v>
      </c>
      <c r="U1247">
        <v>892040</v>
      </c>
      <c r="V1247" s="3">
        <v>46066.44027777778</v>
      </c>
      <c r="W1247" t="s">
        <v>787</v>
      </c>
      <c r="X1247" t="s">
        <v>788</v>
      </c>
      <c r="Y1247" t="str">
        <f>"0423329386"</f>
        <v>0423329386</v>
      </c>
      <c r="Z1247" t="s">
        <v>1044</v>
      </c>
      <c r="AB1247" t="s">
        <v>628</v>
      </c>
      <c r="AD1247" t="s">
        <v>61</v>
      </c>
      <c r="AE1247" t="s">
        <v>629</v>
      </c>
      <c r="AF1247">
        <v>2305</v>
      </c>
      <c r="AG1247" t="s">
        <v>630</v>
      </c>
      <c r="AI1247" t="s">
        <v>59</v>
      </c>
      <c r="AL1247" t="s">
        <v>3606</v>
      </c>
      <c r="AN1247" s="3">
        <v>46080.715277777781</v>
      </c>
      <c r="AO1247" t="s">
        <v>787</v>
      </c>
    </row>
    <row r="1248" spans="1:41" x14ac:dyDescent="0.3">
      <c r="A1248" t="s">
        <v>61</v>
      </c>
      <c r="B1248" t="s">
        <v>2112</v>
      </c>
      <c r="D1248" t="s">
        <v>2112</v>
      </c>
      <c r="E1248" s="1">
        <v>46080</v>
      </c>
      <c r="F1248" t="s">
        <v>2113</v>
      </c>
      <c r="G1248" t="s">
        <v>45</v>
      </c>
      <c r="H1248" s="2">
        <v>0.25</v>
      </c>
      <c r="I1248" s="2">
        <v>0.25069444444444444</v>
      </c>
      <c r="J1248" t="s">
        <v>296</v>
      </c>
      <c r="L1248" t="s">
        <v>2121</v>
      </c>
      <c r="M1248" t="s">
        <v>2122</v>
      </c>
      <c r="N1248" t="s">
        <v>2123</v>
      </c>
      <c r="O1248">
        <v>21021</v>
      </c>
      <c r="R1248" t="s">
        <v>2117</v>
      </c>
      <c r="S1248" t="s">
        <v>119</v>
      </c>
      <c r="T1248" t="s">
        <v>760</v>
      </c>
      <c r="U1248">
        <v>892537</v>
      </c>
      <c r="V1248" s="3">
        <v>46085.348611111112</v>
      </c>
      <c r="W1248" t="s">
        <v>2124</v>
      </c>
      <c r="X1248" t="s">
        <v>2125</v>
      </c>
      <c r="Y1248" t="str">
        <f>"0405138119"</f>
        <v>0405138119</v>
      </c>
      <c r="Z1248" t="s">
        <v>70</v>
      </c>
      <c r="AB1248" t="s">
        <v>2120</v>
      </c>
      <c r="AD1248" t="s">
        <v>61</v>
      </c>
      <c r="AE1248" t="s">
        <v>1699</v>
      </c>
      <c r="AF1248">
        <v>2232</v>
      </c>
      <c r="AI1248" t="s">
        <v>59</v>
      </c>
      <c r="AM1248" t="s">
        <v>1237</v>
      </c>
      <c r="AN1248" s="3">
        <v>46085.348611111112</v>
      </c>
      <c r="AO1248" t="s">
        <v>2117</v>
      </c>
    </row>
    <row r="1249" spans="1:41" x14ac:dyDescent="0.3">
      <c r="A1249" t="s">
        <v>61</v>
      </c>
      <c r="B1249" t="s">
        <v>2112</v>
      </c>
      <c r="D1249" t="s">
        <v>2112</v>
      </c>
      <c r="E1249" s="1">
        <v>46080</v>
      </c>
      <c r="F1249" t="s">
        <v>2113</v>
      </c>
      <c r="G1249" t="s">
        <v>45</v>
      </c>
      <c r="H1249" s="2">
        <v>0.25</v>
      </c>
      <c r="I1249" s="2">
        <v>0.25069444444444444</v>
      </c>
      <c r="J1249" t="s">
        <v>112</v>
      </c>
      <c r="L1249" t="s">
        <v>114</v>
      </c>
      <c r="M1249" t="s">
        <v>2131</v>
      </c>
      <c r="N1249" t="s">
        <v>2132</v>
      </c>
      <c r="O1249">
        <v>207</v>
      </c>
      <c r="R1249" t="s">
        <v>2117</v>
      </c>
      <c r="S1249" t="s">
        <v>119</v>
      </c>
      <c r="T1249" t="s">
        <v>760</v>
      </c>
      <c r="U1249">
        <v>892538</v>
      </c>
      <c r="V1249" s="3">
        <v>46085.348611111112</v>
      </c>
      <c r="W1249" t="s">
        <v>2133</v>
      </c>
      <c r="X1249" t="s">
        <v>2134</v>
      </c>
      <c r="Y1249" t="str">
        <f>"0413106029"</f>
        <v>0413106029</v>
      </c>
      <c r="Z1249" t="s">
        <v>70</v>
      </c>
      <c r="AB1249" t="s">
        <v>2120</v>
      </c>
      <c r="AD1249" t="s">
        <v>61</v>
      </c>
      <c r="AE1249" t="s">
        <v>1699</v>
      </c>
      <c r="AF1249">
        <v>2232</v>
      </c>
      <c r="AI1249" t="s">
        <v>59</v>
      </c>
      <c r="AM1249" t="s">
        <v>1237</v>
      </c>
      <c r="AN1249" s="3">
        <v>46085.348611111112</v>
      </c>
      <c r="AO1249" t="s">
        <v>2117</v>
      </c>
    </row>
    <row r="1250" spans="1:41" x14ac:dyDescent="0.3">
      <c r="A1250" t="s">
        <v>41</v>
      </c>
      <c r="B1250" t="s">
        <v>1168</v>
      </c>
      <c r="D1250" t="s">
        <v>246</v>
      </c>
      <c r="E1250" s="1">
        <v>46080</v>
      </c>
      <c r="F1250" t="s">
        <v>2113</v>
      </c>
      <c r="G1250" t="s">
        <v>45</v>
      </c>
      <c r="H1250" s="2">
        <v>0.27083333333333331</v>
      </c>
      <c r="I1250" s="2">
        <v>0.625</v>
      </c>
      <c r="J1250" t="s">
        <v>296</v>
      </c>
      <c r="L1250" t="s">
        <v>1169</v>
      </c>
      <c r="M1250" t="s">
        <v>1170</v>
      </c>
      <c r="N1250" t="s">
        <v>1171</v>
      </c>
      <c r="O1250">
        <v>5952274</v>
      </c>
      <c r="Q1250" t="s">
        <v>1172</v>
      </c>
      <c r="R1250" t="s">
        <v>1173</v>
      </c>
      <c r="S1250" t="s">
        <v>52</v>
      </c>
      <c r="T1250" t="s">
        <v>252</v>
      </c>
      <c r="U1250">
        <v>892213</v>
      </c>
      <c r="V1250" s="3">
        <v>46083.459722222222</v>
      </c>
      <c r="W1250" t="s">
        <v>1173</v>
      </c>
      <c r="X1250" t="s">
        <v>1174</v>
      </c>
      <c r="Y1250" t="str">
        <f>"0432261353"</f>
        <v>0432261353</v>
      </c>
      <c r="Z1250" t="s">
        <v>345</v>
      </c>
      <c r="AA1250" s="1">
        <v>46083</v>
      </c>
      <c r="AB1250" t="s">
        <v>1175</v>
      </c>
      <c r="AD1250" t="s">
        <v>41</v>
      </c>
      <c r="AE1250" t="s">
        <v>1176</v>
      </c>
      <c r="AF1250">
        <v>4680</v>
      </c>
      <c r="AG1250" t="s">
        <v>1177</v>
      </c>
      <c r="AI1250" t="s">
        <v>59</v>
      </c>
      <c r="AJ1250" t="str">
        <f>"0050076336"</f>
        <v>0050076336</v>
      </c>
      <c r="AN1250" s="3">
        <v>46083.459722222222</v>
      </c>
      <c r="AO1250" t="s">
        <v>1173</v>
      </c>
    </row>
    <row r="1251" spans="1:41" x14ac:dyDescent="0.3">
      <c r="A1251" t="s">
        <v>61</v>
      </c>
      <c r="B1251" t="s">
        <v>182</v>
      </c>
      <c r="C1251" t="s">
        <v>183</v>
      </c>
      <c r="D1251" t="s">
        <v>184</v>
      </c>
      <c r="E1251" s="1">
        <v>46080</v>
      </c>
      <c r="F1251" t="s">
        <v>2113</v>
      </c>
      <c r="G1251" t="s">
        <v>45</v>
      </c>
      <c r="H1251" s="2">
        <v>0.27083333333333331</v>
      </c>
      <c r="I1251" s="2">
        <v>0.47916666666666669</v>
      </c>
      <c r="J1251" t="s">
        <v>185</v>
      </c>
      <c r="L1251" t="s">
        <v>186</v>
      </c>
      <c r="M1251" t="s">
        <v>1395</v>
      </c>
      <c r="N1251" t="s">
        <v>1396</v>
      </c>
      <c r="O1251">
        <v>758</v>
      </c>
      <c r="Q1251" t="s">
        <v>3607</v>
      </c>
      <c r="R1251" t="s">
        <v>500</v>
      </c>
      <c r="S1251" t="s">
        <v>52</v>
      </c>
      <c r="U1251">
        <v>892006</v>
      </c>
      <c r="V1251" s="3">
        <v>46071.82708333333</v>
      </c>
      <c r="W1251" t="s">
        <v>1397</v>
      </c>
      <c r="X1251" t="s">
        <v>1398</v>
      </c>
      <c r="Y1251" t="str">
        <f>"0402403886"</f>
        <v>0402403886</v>
      </c>
      <c r="Z1251" t="s">
        <v>2036</v>
      </c>
      <c r="AA1251" s="1">
        <v>46080</v>
      </c>
      <c r="AB1251" t="s">
        <v>193</v>
      </c>
      <c r="AD1251" t="s">
        <v>61</v>
      </c>
      <c r="AE1251" t="s">
        <v>194</v>
      </c>
      <c r="AF1251">
        <v>2229</v>
      </c>
      <c r="AG1251" t="s">
        <v>189</v>
      </c>
      <c r="AI1251" t="s">
        <v>59</v>
      </c>
      <c r="AL1251" t="s">
        <v>3608</v>
      </c>
      <c r="AN1251" s="3">
        <v>46080.474999999999</v>
      </c>
      <c r="AO1251" t="s">
        <v>1397</v>
      </c>
    </row>
    <row r="1252" spans="1:41" x14ac:dyDescent="0.3">
      <c r="A1252" t="s">
        <v>41</v>
      </c>
      <c r="B1252" t="s">
        <v>632</v>
      </c>
      <c r="C1252" t="s">
        <v>296</v>
      </c>
      <c r="D1252" t="s">
        <v>246</v>
      </c>
      <c r="E1252" s="1">
        <v>46080</v>
      </c>
      <c r="F1252" t="s">
        <v>2113</v>
      </c>
      <c r="G1252" t="s">
        <v>45</v>
      </c>
      <c r="H1252" s="2">
        <v>0.27083333333333331</v>
      </c>
      <c r="I1252" s="2">
        <v>0.625</v>
      </c>
      <c r="J1252" t="s">
        <v>296</v>
      </c>
      <c r="L1252" t="s">
        <v>298</v>
      </c>
      <c r="M1252" t="s">
        <v>1401</v>
      </c>
      <c r="N1252" t="s">
        <v>1402</v>
      </c>
      <c r="O1252">
        <v>5952070</v>
      </c>
      <c r="Q1252" t="s">
        <v>1403</v>
      </c>
      <c r="R1252" t="s">
        <v>723</v>
      </c>
      <c r="S1252" t="s">
        <v>52</v>
      </c>
      <c r="U1252">
        <v>892028</v>
      </c>
      <c r="V1252" s="3">
        <v>46070.465277777781</v>
      </c>
      <c r="W1252" t="s">
        <v>1404</v>
      </c>
      <c r="X1252" t="s">
        <v>1405</v>
      </c>
      <c r="Y1252" t="str">
        <f>"0474506417"</f>
        <v>0474506417</v>
      </c>
      <c r="Z1252" t="s">
        <v>3609</v>
      </c>
      <c r="AB1252" t="s">
        <v>640</v>
      </c>
      <c r="AD1252" t="s">
        <v>41</v>
      </c>
      <c r="AE1252" t="s">
        <v>641</v>
      </c>
      <c r="AF1252">
        <v>4305</v>
      </c>
      <c r="AG1252" t="s">
        <v>1370</v>
      </c>
      <c r="AI1252" t="s">
        <v>59</v>
      </c>
      <c r="AL1252" t="s">
        <v>3610</v>
      </c>
      <c r="AN1252" s="3">
        <v>46080.665277777778</v>
      </c>
      <c r="AO1252" t="s">
        <v>1404</v>
      </c>
    </row>
    <row r="1253" spans="1:41" x14ac:dyDescent="0.3">
      <c r="A1253" t="s">
        <v>61</v>
      </c>
      <c r="B1253" t="s">
        <v>1441</v>
      </c>
      <c r="C1253" t="s">
        <v>43</v>
      </c>
      <c r="D1253" t="s">
        <v>127</v>
      </c>
      <c r="E1253" s="1">
        <v>46080</v>
      </c>
      <c r="F1253" t="s">
        <v>2113</v>
      </c>
      <c r="G1253" t="s">
        <v>45</v>
      </c>
      <c r="H1253" s="2">
        <v>0.28125</v>
      </c>
      <c r="I1253" s="2">
        <v>0.61458333333333337</v>
      </c>
      <c r="J1253" t="s">
        <v>46</v>
      </c>
      <c r="L1253" t="s">
        <v>47</v>
      </c>
      <c r="M1253" t="s">
        <v>91</v>
      </c>
      <c r="N1253" t="s">
        <v>92</v>
      </c>
      <c r="O1253">
        <v>5950650</v>
      </c>
      <c r="P1253">
        <v>514427</v>
      </c>
      <c r="Q1253" t="s">
        <v>3304</v>
      </c>
      <c r="R1253" t="s">
        <v>67</v>
      </c>
      <c r="S1253" t="s">
        <v>52</v>
      </c>
      <c r="U1253">
        <v>892217</v>
      </c>
      <c r="V1253" s="3">
        <v>46071.531944444447</v>
      </c>
      <c r="W1253" t="s">
        <v>94</v>
      </c>
      <c r="X1253" t="s">
        <v>95</v>
      </c>
      <c r="Y1253" t="str">
        <f>"0493332534"</f>
        <v>0493332534</v>
      </c>
      <c r="Z1253" t="s">
        <v>70</v>
      </c>
      <c r="AA1253" s="1">
        <v>46080</v>
      </c>
      <c r="AB1253" t="s">
        <v>1444</v>
      </c>
      <c r="AD1253" t="s">
        <v>61</v>
      </c>
      <c r="AE1253" t="s">
        <v>1445</v>
      </c>
      <c r="AF1253">
        <v>2100</v>
      </c>
      <c r="AG1253" t="s">
        <v>3304</v>
      </c>
      <c r="AI1253" t="s">
        <v>59</v>
      </c>
      <c r="AL1253" t="s">
        <v>3611</v>
      </c>
      <c r="AN1253" s="3">
        <v>46083.465277777781</v>
      </c>
      <c r="AO1253" t="s">
        <v>94</v>
      </c>
    </row>
    <row r="1254" spans="1:41" x14ac:dyDescent="0.3">
      <c r="A1254" t="s">
        <v>168</v>
      </c>
      <c r="B1254" t="s">
        <v>3612</v>
      </c>
      <c r="C1254" t="s">
        <v>3613</v>
      </c>
      <c r="D1254" t="s">
        <v>309</v>
      </c>
      <c r="E1254" s="1">
        <v>46080</v>
      </c>
      <c r="F1254" t="s">
        <v>2113</v>
      </c>
      <c r="G1254" t="s">
        <v>45</v>
      </c>
      <c r="H1254" s="2">
        <v>0.28125</v>
      </c>
      <c r="I1254" s="2">
        <v>0.61458333333333337</v>
      </c>
      <c r="J1254" t="s">
        <v>529</v>
      </c>
      <c r="L1254" t="s">
        <v>298</v>
      </c>
      <c r="M1254" t="s">
        <v>3614</v>
      </c>
      <c r="N1254" t="s">
        <v>518</v>
      </c>
      <c r="O1254">
        <v>21038</v>
      </c>
      <c r="Q1254" t="s">
        <v>705</v>
      </c>
      <c r="R1254" t="s">
        <v>1302</v>
      </c>
      <c r="S1254" t="s">
        <v>52</v>
      </c>
      <c r="U1254">
        <v>892021</v>
      </c>
      <c r="V1254" s="3">
        <v>46079.811805555553</v>
      </c>
      <c r="W1254" t="s">
        <v>3615</v>
      </c>
      <c r="X1254" t="s">
        <v>3616</v>
      </c>
      <c r="Y1254" t="str">
        <f>"0433238616"</f>
        <v>0433238616</v>
      </c>
      <c r="Z1254" t="s">
        <v>70</v>
      </c>
      <c r="AA1254" s="1">
        <v>46080</v>
      </c>
      <c r="AB1254" t="s">
        <v>3617</v>
      </c>
      <c r="AD1254" t="s">
        <v>168</v>
      </c>
      <c r="AE1254" t="s">
        <v>2401</v>
      </c>
      <c r="AF1254">
        <v>5006</v>
      </c>
      <c r="AI1254" t="s">
        <v>59</v>
      </c>
      <c r="AL1254" t="s">
        <v>3618</v>
      </c>
      <c r="AM1254" t="s">
        <v>3619</v>
      </c>
      <c r="AN1254" s="3">
        <v>46080.643055555556</v>
      </c>
      <c r="AO1254" t="s">
        <v>3615</v>
      </c>
    </row>
    <row r="1255" spans="1:41" x14ac:dyDescent="0.3">
      <c r="A1255" t="s">
        <v>61</v>
      </c>
      <c r="B1255" t="s">
        <v>1271</v>
      </c>
      <c r="C1255" t="s">
        <v>1272</v>
      </c>
      <c r="D1255" t="s">
        <v>184</v>
      </c>
      <c r="E1255" s="1">
        <v>46080</v>
      </c>
      <c r="F1255" t="s">
        <v>2113</v>
      </c>
      <c r="G1255" t="s">
        <v>45</v>
      </c>
      <c r="H1255" s="2">
        <v>0.29166666666666669</v>
      </c>
      <c r="I1255" s="2">
        <v>0.8125</v>
      </c>
      <c r="J1255" t="s">
        <v>590</v>
      </c>
      <c r="L1255" t="s">
        <v>487</v>
      </c>
      <c r="M1255" t="s">
        <v>3620</v>
      </c>
      <c r="N1255" t="s">
        <v>3621</v>
      </c>
      <c r="O1255">
        <v>5951148</v>
      </c>
      <c r="Q1255" t="s">
        <v>1275</v>
      </c>
      <c r="R1255" t="s">
        <v>500</v>
      </c>
      <c r="S1255" t="s">
        <v>52</v>
      </c>
      <c r="U1255">
        <v>892043</v>
      </c>
      <c r="V1255" s="3">
        <v>46071.746527777781</v>
      </c>
      <c r="W1255" t="s">
        <v>3622</v>
      </c>
      <c r="X1255" t="s">
        <v>3623</v>
      </c>
      <c r="Y1255" t="str">
        <f>"0438455774"</f>
        <v>0438455774</v>
      </c>
      <c r="Z1255" t="s">
        <v>84</v>
      </c>
      <c r="AB1255" t="s">
        <v>1278</v>
      </c>
      <c r="AD1255" t="s">
        <v>61</v>
      </c>
      <c r="AE1255" t="s">
        <v>1279</v>
      </c>
      <c r="AF1255">
        <v>2145</v>
      </c>
      <c r="AG1255" t="s">
        <v>1275</v>
      </c>
      <c r="AI1255" t="s">
        <v>59</v>
      </c>
      <c r="AL1255" t="s">
        <v>3624</v>
      </c>
      <c r="AN1255" s="3">
        <v>46080.73541666667</v>
      </c>
      <c r="AO1255" t="s">
        <v>3622</v>
      </c>
    </row>
    <row r="1256" spans="1:41" x14ac:dyDescent="0.3">
      <c r="A1256" t="s">
        <v>61</v>
      </c>
      <c r="B1256" t="s">
        <v>62</v>
      </c>
      <c r="C1256" t="s">
        <v>43</v>
      </c>
      <c r="D1256" t="s">
        <v>63</v>
      </c>
      <c r="E1256" s="1">
        <v>46080</v>
      </c>
      <c r="F1256" t="s">
        <v>2113</v>
      </c>
      <c r="G1256" t="s">
        <v>45</v>
      </c>
      <c r="H1256" s="2">
        <v>0.29166666666666669</v>
      </c>
      <c r="I1256" s="2">
        <v>0.99861111111111112</v>
      </c>
      <c r="J1256" t="s">
        <v>101</v>
      </c>
      <c r="L1256" t="s">
        <v>159</v>
      </c>
      <c r="M1256" t="s">
        <v>645</v>
      </c>
      <c r="N1256" t="s">
        <v>646</v>
      </c>
      <c r="O1256">
        <v>5950942</v>
      </c>
      <c r="Q1256" t="s">
        <v>66</v>
      </c>
      <c r="R1256" t="s">
        <v>67</v>
      </c>
      <c r="S1256" t="s">
        <v>52</v>
      </c>
      <c r="U1256">
        <v>892060</v>
      </c>
      <c r="V1256" s="3">
        <v>46069.605555555558</v>
      </c>
      <c r="W1256" t="s">
        <v>647</v>
      </c>
      <c r="X1256" t="s">
        <v>648</v>
      </c>
      <c r="Y1256" t="str">
        <f>"0411463760"</f>
        <v>0411463760</v>
      </c>
      <c r="Z1256" t="s">
        <v>2276</v>
      </c>
      <c r="AA1256" s="1">
        <v>46080</v>
      </c>
      <c r="AB1256" t="s">
        <v>71</v>
      </c>
      <c r="AD1256" t="s">
        <v>61</v>
      </c>
      <c r="AE1256" t="s">
        <v>72</v>
      </c>
      <c r="AF1256">
        <v>2747</v>
      </c>
      <c r="AG1256" t="s">
        <v>73</v>
      </c>
      <c r="AI1256" t="s">
        <v>59</v>
      </c>
      <c r="AL1256" t="s">
        <v>3625</v>
      </c>
      <c r="AN1256" s="3">
        <v>46080.823611111111</v>
      </c>
      <c r="AO1256" t="s">
        <v>647</v>
      </c>
    </row>
    <row r="1257" spans="1:41" x14ac:dyDescent="0.3">
      <c r="A1257" t="s">
        <v>61</v>
      </c>
      <c r="B1257" t="s">
        <v>1271</v>
      </c>
      <c r="C1257" t="s">
        <v>1272</v>
      </c>
      <c r="D1257" t="s">
        <v>184</v>
      </c>
      <c r="E1257" s="1">
        <v>46080</v>
      </c>
      <c r="F1257" t="s">
        <v>2113</v>
      </c>
      <c r="G1257" t="s">
        <v>128</v>
      </c>
      <c r="H1257" s="2">
        <v>0.29166666666666669</v>
      </c>
      <c r="I1257" s="2">
        <v>0.8125</v>
      </c>
      <c r="J1257" t="s">
        <v>486</v>
      </c>
      <c r="L1257" t="s">
        <v>487</v>
      </c>
      <c r="M1257" t="s">
        <v>1295</v>
      </c>
      <c r="N1257" t="s">
        <v>2176</v>
      </c>
      <c r="O1257">
        <v>5951197</v>
      </c>
      <c r="Q1257" t="s">
        <v>1190</v>
      </c>
      <c r="R1257" t="s">
        <v>67</v>
      </c>
      <c r="S1257" t="s">
        <v>52</v>
      </c>
      <c r="T1257" t="s">
        <v>1437</v>
      </c>
      <c r="U1257">
        <v>892047</v>
      </c>
      <c r="V1257" s="3">
        <v>46070.455555555556</v>
      </c>
      <c r="W1257" t="s">
        <v>2177</v>
      </c>
      <c r="X1257" t="s">
        <v>2178</v>
      </c>
      <c r="Y1257" t="str">
        <f>"0414644229"</f>
        <v>0414644229</v>
      </c>
      <c r="Z1257" t="s">
        <v>123</v>
      </c>
      <c r="AB1257" t="s">
        <v>1278</v>
      </c>
      <c r="AD1257" t="s">
        <v>61</v>
      </c>
      <c r="AE1257" t="s">
        <v>1279</v>
      </c>
      <c r="AF1257">
        <v>2145</v>
      </c>
      <c r="AG1257" t="s">
        <v>2126</v>
      </c>
      <c r="AI1257" t="s">
        <v>59</v>
      </c>
      <c r="AL1257" t="s">
        <v>3626</v>
      </c>
      <c r="AN1257" s="3">
        <v>46082.482638888891</v>
      </c>
      <c r="AO1257" t="s">
        <v>759</v>
      </c>
    </row>
    <row r="1258" spans="1:41" x14ac:dyDescent="0.3">
      <c r="A1258" t="s">
        <v>61</v>
      </c>
      <c r="B1258" t="s">
        <v>1271</v>
      </c>
      <c r="C1258" t="s">
        <v>1272</v>
      </c>
      <c r="D1258" t="s">
        <v>184</v>
      </c>
      <c r="E1258" s="1">
        <v>46080</v>
      </c>
      <c r="F1258" t="s">
        <v>2113</v>
      </c>
      <c r="G1258" t="s">
        <v>45</v>
      </c>
      <c r="H1258" s="2">
        <v>0.29166666666666669</v>
      </c>
      <c r="I1258" s="2">
        <v>0.64583333333333337</v>
      </c>
      <c r="J1258" t="s">
        <v>590</v>
      </c>
      <c r="L1258" t="s">
        <v>487</v>
      </c>
      <c r="M1258" t="s">
        <v>1273</v>
      </c>
      <c r="N1258" t="s">
        <v>1274</v>
      </c>
      <c r="O1258">
        <v>5950810</v>
      </c>
      <c r="Q1258" t="s">
        <v>1275</v>
      </c>
      <c r="R1258" t="s">
        <v>208</v>
      </c>
      <c r="S1258" t="s">
        <v>52</v>
      </c>
      <c r="U1258">
        <v>892022</v>
      </c>
      <c r="V1258" s="3">
        <v>46067.69027777778</v>
      </c>
      <c r="W1258" t="s">
        <v>1276</v>
      </c>
      <c r="X1258" t="s">
        <v>1277</v>
      </c>
      <c r="Y1258" t="str">
        <f>"0405246691"</f>
        <v>0405246691</v>
      </c>
      <c r="Z1258" t="s">
        <v>375</v>
      </c>
      <c r="AA1258" s="1">
        <v>46080</v>
      </c>
      <c r="AB1258" t="s">
        <v>1278</v>
      </c>
      <c r="AD1258" t="s">
        <v>61</v>
      </c>
      <c r="AE1258" t="s">
        <v>1279</v>
      </c>
      <c r="AF1258">
        <v>2145</v>
      </c>
      <c r="AG1258" t="s">
        <v>1275</v>
      </c>
      <c r="AI1258" t="s">
        <v>59</v>
      </c>
      <c r="AL1258" t="s">
        <v>3624</v>
      </c>
      <c r="AN1258" s="3">
        <v>46080.647916666669</v>
      </c>
      <c r="AO1258" t="s">
        <v>1276</v>
      </c>
    </row>
    <row r="1259" spans="1:41" x14ac:dyDescent="0.3">
      <c r="A1259" t="s">
        <v>61</v>
      </c>
      <c r="B1259" t="s">
        <v>1441</v>
      </c>
      <c r="C1259" t="s">
        <v>43</v>
      </c>
      <c r="D1259" t="s">
        <v>127</v>
      </c>
      <c r="E1259" s="1">
        <v>46080</v>
      </c>
      <c r="F1259" t="s">
        <v>2113</v>
      </c>
      <c r="G1259" t="s">
        <v>45</v>
      </c>
      <c r="H1259" s="2">
        <v>0.29166666666666669</v>
      </c>
      <c r="I1259" s="2">
        <v>0.625</v>
      </c>
      <c r="J1259" t="s">
        <v>185</v>
      </c>
      <c r="K1259" t="s">
        <v>1442</v>
      </c>
      <c r="L1259" t="s">
        <v>186</v>
      </c>
      <c r="M1259" t="s">
        <v>777</v>
      </c>
      <c r="N1259" t="s">
        <v>778</v>
      </c>
      <c r="O1259">
        <v>5952331</v>
      </c>
      <c r="P1259">
        <v>474513</v>
      </c>
      <c r="Q1259" t="s">
        <v>1443</v>
      </c>
      <c r="R1259" t="s">
        <v>67</v>
      </c>
      <c r="S1259" t="s">
        <v>52</v>
      </c>
      <c r="U1259">
        <v>892014</v>
      </c>
      <c r="V1259" s="3">
        <v>46042.453472222223</v>
      </c>
      <c r="W1259" t="s">
        <v>780</v>
      </c>
      <c r="X1259" t="s">
        <v>781</v>
      </c>
      <c r="Y1259" t="str">
        <f>"0478730906"</f>
        <v>0478730906</v>
      </c>
      <c r="Z1259" t="s">
        <v>545</v>
      </c>
      <c r="AA1259" s="1">
        <v>46080</v>
      </c>
      <c r="AB1259" t="s">
        <v>1444</v>
      </c>
      <c r="AD1259" t="s">
        <v>61</v>
      </c>
      <c r="AE1259" t="s">
        <v>1445</v>
      </c>
      <c r="AF1259">
        <v>2100</v>
      </c>
      <c r="AG1259" t="s">
        <v>1443</v>
      </c>
      <c r="AI1259" t="s">
        <v>59</v>
      </c>
      <c r="AL1259" t="s">
        <v>3611</v>
      </c>
      <c r="AN1259" s="3">
        <v>46080.604166666664</v>
      </c>
      <c r="AO1259" t="s">
        <v>780</v>
      </c>
    </row>
    <row r="1260" spans="1:41" x14ac:dyDescent="0.3">
      <c r="A1260" t="s">
        <v>61</v>
      </c>
      <c r="B1260" t="s">
        <v>655</v>
      </c>
      <c r="C1260" t="s">
        <v>43</v>
      </c>
      <c r="D1260" t="s">
        <v>656</v>
      </c>
      <c r="E1260" s="1">
        <v>46080</v>
      </c>
      <c r="F1260" t="s">
        <v>2113</v>
      </c>
      <c r="G1260" t="s">
        <v>45</v>
      </c>
      <c r="H1260" s="2">
        <v>0.29166666666666669</v>
      </c>
      <c r="I1260" s="2">
        <v>0.64583333333333337</v>
      </c>
      <c r="J1260" t="s">
        <v>100</v>
      </c>
      <c r="L1260" t="s">
        <v>100</v>
      </c>
      <c r="M1260" t="s">
        <v>1566</v>
      </c>
      <c r="N1260" t="s">
        <v>1567</v>
      </c>
      <c r="O1260">
        <v>20900</v>
      </c>
      <c r="Q1260" t="s">
        <v>665</v>
      </c>
      <c r="R1260" t="s">
        <v>500</v>
      </c>
      <c r="S1260" t="s">
        <v>52</v>
      </c>
      <c r="U1260">
        <v>892025</v>
      </c>
      <c r="V1260" s="3">
        <v>46050.688194444447</v>
      </c>
      <c r="W1260" t="s">
        <v>1569</v>
      </c>
      <c r="X1260" t="s">
        <v>1570</v>
      </c>
      <c r="Y1260" t="str">
        <f>"0411393136"</f>
        <v>0411393136</v>
      </c>
      <c r="Z1260" t="s">
        <v>3627</v>
      </c>
      <c r="AA1260" s="1">
        <v>46080</v>
      </c>
      <c r="AB1260" t="s">
        <v>662</v>
      </c>
      <c r="AC1260" t="s">
        <v>663</v>
      </c>
      <c r="AD1260" t="s">
        <v>61</v>
      </c>
      <c r="AE1260" t="s">
        <v>664</v>
      </c>
      <c r="AF1260">
        <v>2067</v>
      </c>
      <c r="AG1260" t="s">
        <v>665</v>
      </c>
      <c r="AI1260" t="s">
        <v>59</v>
      </c>
      <c r="AL1260" t="s">
        <v>3624</v>
      </c>
      <c r="AN1260" s="3">
        <v>46080.65902777778</v>
      </c>
      <c r="AO1260" t="s">
        <v>1569</v>
      </c>
    </row>
    <row r="1261" spans="1:41" x14ac:dyDescent="0.3">
      <c r="A1261" t="s">
        <v>168</v>
      </c>
      <c r="B1261" t="s">
        <v>336</v>
      </c>
      <c r="C1261" t="s">
        <v>602</v>
      </c>
      <c r="D1261" t="s">
        <v>268</v>
      </c>
      <c r="E1261" s="1">
        <v>46080</v>
      </c>
      <c r="F1261" t="s">
        <v>2113</v>
      </c>
      <c r="G1261" t="s">
        <v>45</v>
      </c>
      <c r="H1261" s="2">
        <v>0.29166666666666669</v>
      </c>
      <c r="I1261" s="2">
        <v>0.60416666666666663</v>
      </c>
      <c r="J1261" t="s">
        <v>269</v>
      </c>
      <c r="K1261" t="s">
        <v>712</v>
      </c>
      <c r="L1261" t="s">
        <v>713</v>
      </c>
      <c r="M1261" t="s">
        <v>476</v>
      </c>
      <c r="N1261" t="s">
        <v>714</v>
      </c>
      <c r="O1261">
        <v>5951199</v>
      </c>
      <c r="Q1261" t="s">
        <v>3628</v>
      </c>
      <c r="R1261" t="s">
        <v>176</v>
      </c>
      <c r="S1261" t="s">
        <v>52</v>
      </c>
      <c r="U1261">
        <v>892015</v>
      </c>
      <c r="V1261" s="3">
        <v>46063.561805555553</v>
      </c>
      <c r="W1261" t="s">
        <v>715</v>
      </c>
      <c r="X1261" t="s">
        <v>716</v>
      </c>
      <c r="Y1261" t="str">
        <f>"0426611875"</f>
        <v>0426611875</v>
      </c>
      <c r="Z1261" t="s">
        <v>984</v>
      </c>
      <c r="AA1261" s="1">
        <v>46080</v>
      </c>
      <c r="AB1261" t="s">
        <v>346</v>
      </c>
      <c r="AD1261" t="s">
        <v>168</v>
      </c>
      <c r="AE1261" t="s">
        <v>347</v>
      </c>
      <c r="AF1261">
        <v>5042</v>
      </c>
      <c r="AG1261" t="s">
        <v>342</v>
      </c>
      <c r="AI1261" t="s">
        <v>59</v>
      </c>
      <c r="AL1261" t="s">
        <v>3629</v>
      </c>
      <c r="AM1261" t="s">
        <v>349</v>
      </c>
      <c r="AN1261" s="3">
        <v>46080.618750000001</v>
      </c>
      <c r="AO1261" t="s">
        <v>715</v>
      </c>
    </row>
    <row r="1262" spans="1:41" x14ac:dyDescent="0.3">
      <c r="A1262" t="s">
        <v>41</v>
      </c>
      <c r="B1262" t="s">
        <v>1452</v>
      </c>
      <c r="D1262" t="s">
        <v>246</v>
      </c>
      <c r="E1262" s="1">
        <v>46080</v>
      </c>
      <c r="F1262" t="s">
        <v>2113</v>
      </c>
      <c r="G1262" t="s">
        <v>45</v>
      </c>
      <c r="H1262" s="2">
        <v>0.29166666666666669</v>
      </c>
      <c r="I1262" s="2">
        <v>0.64583333333333337</v>
      </c>
      <c r="J1262" t="s">
        <v>296</v>
      </c>
      <c r="L1262" t="s">
        <v>1453</v>
      </c>
      <c r="M1262" t="s">
        <v>1454</v>
      </c>
      <c r="N1262" t="s">
        <v>1455</v>
      </c>
      <c r="O1262">
        <v>5951941</v>
      </c>
      <c r="Q1262" t="s">
        <v>1456</v>
      </c>
      <c r="R1262" t="s">
        <v>1457</v>
      </c>
      <c r="S1262" t="s">
        <v>52</v>
      </c>
      <c r="T1262" t="s">
        <v>252</v>
      </c>
      <c r="U1262">
        <v>892392</v>
      </c>
      <c r="V1262" s="3">
        <v>46084.470138888886</v>
      </c>
      <c r="W1262" t="s">
        <v>1457</v>
      </c>
      <c r="X1262" t="s">
        <v>1458</v>
      </c>
      <c r="Y1262" t="str">
        <f>"0413847722"</f>
        <v>0413847722</v>
      </c>
      <c r="Z1262" t="s">
        <v>527</v>
      </c>
      <c r="AA1262" s="1">
        <v>46097</v>
      </c>
      <c r="AB1262" t="s">
        <v>1459</v>
      </c>
      <c r="AD1262" t="s">
        <v>41</v>
      </c>
      <c r="AE1262" t="s">
        <v>1460</v>
      </c>
      <c r="AF1262">
        <v>4740</v>
      </c>
      <c r="AG1262" t="s">
        <v>1461</v>
      </c>
      <c r="AI1262" t="s">
        <v>59</v>
      </c>
      <c r="AJ1262" t="str">
        <f>"0050076628"</f>
        <v>0050076628</v>
      </c>
      <c r="AN1262" s="3">
        <v>46084.470138888886</v>
      </c>
      <c r="AO1262" t="s">
        <v>1457</v>
      </c>
    </row>
    <row r="1263" spans="1:41" x14ac:dyDescent="0.3">
      <c r="A1263" t="s">
        <v>61</v>
      </c>
      <c r="B1263" t="s">
        <v>62</v>
      </c>
      <c r="C1263" t="s">
        <v>43</v>
      </c>
      <c r="D1263" t="s">
        <v>63</v>
      </c>
      <c r="E1263" s="1">
        <v>46080</v>
      </c>
      <c r="F1263" t="s">
        <v>2113</v>
      </c>
      <c r="G1263" t="s">
        <v>45</v>
      </c>
      <c r="H1263" s="2">
        <v>0.29166666666666669</v>
      </c>
      <c r="I1263" s="2">
        <v>0.99861111111111112</v>
      </c>
      <c r="J1263" t="s">
        <v>101</v>
      </c>
      <c r="L1263" t="s">
        <v>159</v>
      </c>
      <c r="M1263" t="s">
        <v>1746</v>
      </c>
      <c r="N1263" t="s">
        <v>1747</v>
      </c>
      <c r="O1263">
        <v>20760</v>
      </c>
      <c r="Q1263" t="s">
        <v>66</v>
      </c>
      <c r="R1263" t="s">
        <v>67</v>
      </c>
      <c r="S1263" t="s">
        <v>52</v>
      </c>
      <c r="U1263">
        <v>892008</v>
      </c>
      <c r="V1263" s="3">
        <v>46076.629861111112</v>
      </c>
      <c r="W1263" t="s">
        <v>1748</v>
      </c>
      <c r="X1263" t="s">
        <v>1749</v>
      </c>
      <c r="Y1263" t="str">
        <f>"0433858379"</f>
        <v>0433858379</v>
      </c>
      <c r="Z1263" t="s">
        <v>70</v>
      </c>
      <c r="AA1263" s="1">
        <v>46080</v>
      </c>
      <c r="AB1263" t="s">
        <v>71</v>
      </c>
      <c r="AD1263" t="s">
        <v>61</v>
      </c>
      <c r="AE1263" t="s">
        <v>72</v>
      </c>
      <c r="AF1263">
        <v>2747</v>
      </c>
      <c r="AG1263" t="s">
        <v>73</v>
      </c>
      <c r="AI1263" t="s">
        <v>59</v>
      </c>
      <c r="AL1263" t="s">
        <v>3624</v>
      </c>
      <c r="AN1263" s="3">
        <v>46080.519444444442</v>
      </c>
      <c r="AO1263" t="s">
        <v>1748</v>
      </c>
    </row>
    <row r="1264" spans="1:41" x14ac:dyDescent="0.3">
      <c r="A1264" t="s">
        <v>61</v>
      </c>
      <c r="B1264" t="s">
        <v>158</v>
      </c>
      <c r="C1264" t="s">
        <v>43</v>
      </c>
      <c r="D1264" t="s">
        <v>127</v>
      </c>
      <c r="E1264" s="1">
        <v>46080</v>
      </c>
      <c r="F1264" t="s">
        <v>2113</v>
      </c>
      <c r="G1264" t="s">
        <v>45</v>
      </c>
      <c r="H1264" s="2">
        <v>0.29166666666666669</v>
      </c>
      <c r="I1264" s="2">
        <v>0.99861111111111112</v>
      </c>
      <c r="J1264" t="s">
        <v>185</v>
      </c>
      <c r="K1264" t="s">
        <v>238</v>
      </c>
      <c r="L1264" t="s">
        <v>186</v>
      </c>
      <c r="M1264" t="s">
        <v>3630</v>
      </c>
      <c r="N1264" t="s">
        <v>729</v>
      </c>
      <c r="O1264">
        <v>5951913</v>
      </c>
      <c r="Q1264" t="s">
        <v>162</v>
      </c>
      <c r="R1264" t="s">
        <v>67</v>
      </c>
      <c r="S1264" t="s">
        <v>52</v>
      </c>
      <c r="U1264">
        <v>892055</v>
      </c>
      <c r="V1264" s="3">
        <v>46072.568749999999</v>
      </c>
      <c r="W1264" t="s">
        <v>3631</v>
      </c>
      <c r="X1264" t="s">
        <v>3632</v>
      </c>
      <c r="Y1264" t="str">
        <f>"0430277673"</f>
        <v>0430277673</v>
      </c>
      <c r="Z1264" t="s">
        <v>2595</v>
      </c>
      <c r="AA1264" s="1">
        <v>46080</v>
      </c>
      <c r="AB1264" t="s">
        <v>166</v>
      </c>
      <c r="AD1264" t="s">
        <v>61</v>
      </c>
      <c r="AE1264" t="s">
        <v>167</v>
      </c>
      <c r="AF1264">
        <v>2011</v>
      </c>
      <c r="AG1264" t="s">
        <v>162</v>
      </c>
      <c r="AI1264" t="s">
        <v>59</v>
      </c>
      <c r="AL1264" t="s">
        <v>3624</v>
      </c>
      <c r="AN1264" s="3">
        <v>46080.803472222222</v>
      </c>
      <c r="AO1264" t="s">
        <v>3631</v>
      </c>
    </row>
    <row r="1265" spans="1:41" x14ac:dyDescent="0.3">
      <c r="A1265" t="s">
        <v>41</v>
      </c>
      <c r="B1265" t="s">
        <v>965</v>
      </c>
      <c r="C1265" t="s">
        <v>43</v>
      </c>
      <c r="D1265" t="s">
        <v>966</v>
      </c>
      <c r="E1265" s="1">
        <v>46080</v>
      </c>
      <c r="F1265" t="s">
        <v>2113</v>
      </c>
      <c r="G1265" t="s">
        <v>45</v>
      </c>
      <c r="H1265" s="2">
        <v>0.29166666666666669</v>
      </c>
      <c r="I1265" s="2">
        <v>0.64583333333333337</v>
      </c>
      <c r="J1265" t="s">
        <v>101</v>
      </c>
      <c r="L1265" t="s">
        <v>967</v>
      </c>
      <c r="M1265" t="s">
        <v>968</v>
      </c>
      <c r="N1265" t="s">
        <v>969</v>
      </c>
      <c r="O1265">
        <v>5952467</v>
      </c>
      <c r="Q1265" t="s">
        <v>1471</v>
      </c>
      <c r="R1265" t="s">
        <v>1472</v>
      </c>
      <c r="S1265" t="s">
        <v>52</v>
      </c>
      <c r="U1265">
        <v>892044</v>
      </c>
      <c r="V1265" s="3">
        <v>46063.439583333333</v>
      </c>
      <c r="W1265" t="s">
        <v>970</v>
      </c>
      <c r="X1265" t="s">
        <v>971</v>
      </c>
      <c r="Y1265" t="str">
        <f>"0433979184"</f>
        <v>0433979184</v>
      </c>
      <c r="Z1265" t="s">
        <v>984</v>
      </c>
      <c r="AA1265" s="1">
        <v>46080</v>
      </c>
      <c r="AB1265" t="s">
        <v>972</v>
      </c>
      <c r="AD1265" t="s">
        <v>41</v>
      </c>
      <c r="AE1265" t="s">
        <v>973</v>
      </c>
      <c r="AF1265">
        <v>4068</v>
      </c>
      <c r="AG1265" t="s">
        <v>1471</v>
      </c>
      <c r="AI1265" t="s">
        <v>59</v>
      </c>
      <c r="AL1265" t="s">
        <v>1473</v>
      </c>
      <c r="AN1265" s="3">
        <v>46080.740277777775</v>
      </c>
      <c r="AO1265" t="s">
        <v>970</v>
      </c>
    </row>
    <row r="1266" spans="1:41" x14ac:dyDescent="0.3">
      <c r="A1266" t="s">
        <v>41</v>
      </c>
      <c r="B1266" t="s">
        <v>244</v>
      </c>
      <c r="C1266" t="s">
        <v>245</v>
      </c>
      <c r="D1266" t="s">
        <v>246</v>
      </c>
      <c r="E1266" s="1">
        <v>46080</v>
      </c>
      <c r="F1266" t="s">
        <v>2113</v>
      </c>
      <c r="G1266" t="s">
        <v>45</v>
      </c>
      <c r="H1266" s="2">
        <v>0.29166666666666669</v>
      </c>
      <c r="I1266" s="2">
        <v>0.64583333333333337</v>
      </c>
      <c r="J1266" t="s">
        <v>100</v>
      </c>
      <c r="L1266" t="s">
        <v>452</v>
      </c>
      <c r="M1266" t="s">
        <v>1122</v>
      </c>
      <c r="N1266" t="s">
        <v>1123</v>
      </c>
      <c r="O1266">
        <v>5951585</v>
      </c>
      <c r="P1266" t="s">
        <v>249</v>
      </c>
      <c r="Q1266" t="s">
        <v>250</v>
      </c>
      <c r="R1266" t="s">
        <v>1124</v>
      </c>
      <c r="S1266" t="s">
        <v>52</v>
      </c>
      <c r="T1266" t="s">
        <v>252</v>
      </c>
      <c r="U1266">
        <v>892199</v>
      </c>
      <c r="V1266" s="3">
        <v>46083.347916666666</v>
      </c>
      <c r="W1266" t="s">
        <v>1124</v>
      </c>
      <c r="X1266" t="s">
        <v>1125</v>
      </c>
      <c r="Y1266" t="str">
        <f>"0406622986"</f>
        <v>0406622986</v>
      </c>
      <c r="Z1266" t="s">
        <v>290</v>
      </c>
      <c r="AA1266" s="1">
        <v>46082</v>
      </c>
      <c r="AB1266" t="s">
        <v>255</v>
      </c>
      <c r="AD1266" t="s">
        <v>41</v>
      </c>
      <c r="AE1266" t="s">
        <v>256</v>
      </c>
      <c r="AF1266">
        <v>4655</v>
      </c>
      <c r="AG1266" t="s">
        <v>257</v>
      </c>
      <c r="AI1266" t="s">
        <v>59</v>
      </c>
      <c r="AJ1266" t="str">
        <f>"0050076953"</f>
        <v>0050076953</v>
      </c>
      <c r="AN1266" s="3">
        <v>46083.347916666666</v>
      </c>
      <c r="AO1266" t="s">
        <v>1124</v>
      </c>
    </row>
    <row r="1267" spans="1:41" x14ac:dyDescent="0.3">
      <c r="A1267" t="s">
        <v>41</v>
      </c>
      <c r="B1267" t="s">
        <v>1480</v>
      </c>
      <c r="C1267" t="s">
        <v>1481</v>
      </c>
      <c r="E1267" s="1">
        <v>46080</v>
      </c>
      <c r="F1267" t="s">
        <v>2113</v>
      </c>
      <c r="G1267" t="s">
        <v>45</v>
      </c>
      <c r="H1267" s="2">
        <v>0.29166666666666669</v>
      </c>
      <c r="I1267" s="2">
        <v>0.625</v>
      </c>
      <c r="J1267" t="s">
        <v>1482</v>
      </c>
      <c r="L1267" t="s">
        <v>1482</v>
      </c>
      <c r="M1267" t="s">
        <v>1483</v>
      </c>
      <c r="N1267" t="s">
        <v>1484</v>
      </c>
      <c r="O1267">
        <v>402353</v>
      </c>
      <c r="Q1267" t="s">
        <v>1485</v>
      </c>
      <c r="R1267" t="s">
        <v>1472</v>
      </c>
      <c r="S1267" t="s">
        <v>119</v>
      </c>
      <c r="T1267" t="s">
        <v>120</v>
      </c>
      <c r="U1267">
        <v>892165</v>
      </c>
      <c r="V1267" s="3">
        <v>46044.65</v>
      </c>
      <c r="W1267" t="s">
        <v>1486</v>
      </c>
      <c r="X1267" t="s">
        <v>1487</v>
      </c>
      <c r="Y1267" t="str">
        <f>"0407640486"</f>
        <v>0407640486</v>
      </c>
      <c r="Z1267" t="s">
        <v>2531</v>
      </c>
      <c r="AB1267" t="s">
        <v>1488</v>
      </c>
      <c r="AD1267" t="s">
        <v>41</v>
      </c>
      <c r="AE1267" t="s">
        <v>1489</v>
      </c>
      <c r="AF1267">
        <v>4059</v>
      </c>
      <c r="AG1267" t="s">
        <v>1485</v>
      </c>
      <c r="AI1267" t="s">
        <v>59</v>
      </c>
      <c r="AN1267" s="3">
        <v>46044.65</v>
      </c>
      <c r="AO1267" t="s">
        <v>1472</v>
      </c>
    </row>
    <row r="1268" spans="1:41" x14ac:dyDescent="0.3">
      <c r="A1268" t="s">
        <v>61</v>
      </c>
      <c r="B1268" t="s">
        <v>1271</v>
      </c>
      <c r="C1268" t="s">
        <v>1272</v>
      </c>
      <c r="D1268" t="s">
        <v>184</v>
      </c>
      <c r="E1268" s="1">
        <v>46080</v>
      </c>
      <c r="F1268" t="s">
        <v>2113</v>
      </c>
      <c r="G1268" t="s">
        <v>128</v>
      </c>
      <c r="H1268" s="2">
        <v>0.29166666666666669</v>
      </c>
      <c r="I1268" s="2">
        <v>0.8125</v>
      </c>
      <c r="J1268" t="s">
        <v>486</v>
      </c>
      <c r="L1268" t="s">
        <v>487</v>
      </c>
      <c r="M1268" t="s">
        <v>1490</v>
      </c>
      <c r="N1268" t="s">
        <v>1491</v>
      </c>
      <c r="O1268">
        <v>21218</v>
      </c>
      <c r="Q1268" t="s">
        <v>1190</v>
      </c>
      <c r="R1268" t="s">
        <v>67</v>
      </c>
      <c r="S1268" t="s">
        <v>52</v>
      </c>
      <c r="T1268" t="s">
        <v>1437</v>
      </c>
      <c r="U1268">
        <v>892041</v>
      </c>
      <c r="V1268" s="3">
        <v>46077.464583333334</v>
      </c>
      <c r="W1268" t="s">
        <v>1493</v>
      </c>
      <c r="X1268" t="s">
        <v>1494</v>
      </c>
      <c r="Y1268" t="str">
        <f>"0401746606"</f>
        <v>0401746606</v>
      </c>
      <c r="Z1268" t="s">
        <v>345</v>
      </c>
      <c r="AB1268" t="s">
        <v>1278</v>
      </c>
      <c r="AD1268" t="s">
        <v>61</v>
      </c>
      <c r="AE1268" t="s">
        <v>1279</v>
      </c>
      <c r="AF1268">
        <v>2145</v>
      </c>
      <c r="AG1268" t="s">
        <v>3633</v>
      </c>
      <c r="AI1268" t="s">
        <v>59</v>
      </c>
      <c r="AL1268" t="s">
        <v>3634</v>
      </c>
      <c r="AN1268" s="3">
        <v>46082.48333333333</v>
      </c>
      <c r="AO1268" t="s">
        <v>759</v>
      </c>
    </row>
    <row r="1269" spans="1:41" x14ac:dyDescent="0.3">
      <c r="A1269" t="s">
        <v>168</v>
      </c>
      <c r="B1269" t="s">
        <v>689</v>
      </c>
      <c r="C1269" t="s">
        <v>1496</v>
      </c>
      <c r="D1269" t="s">
        <v>268</v>
      </c>
      <c r="E1269" s="1">
        <v>46080</v>
      </c>
      <c r="F1269" t="s">
        <v>2113</v>
      </c>
      <c r="G1269" t="s">
        <v>45</v>
      </c>
      <c r="H1269" s="2">
        <v>0.29166666666666669</v>
      </c>
      <c r="I1269" s="2">
        <v>0.64583333333333337</v>
      </c>
      <c r="J1269" t="s">
        <v>46</v>
      </c>
      <c r="L1269" t="s">
        <v>47</v>
      </c>
      <c r="M1269" t="s">
        <v>1497</v>
      </c>
      <c r="N1269" t="s">
        <v>465</v>
      </c>
      <c r="O1269">
        <v>5950806</v>
      </c>
      <c r="P1269" t="s">
        <v>249</v>
      </c>
      <c r="Q1269" t="s">
        <v>692</v>
      </c>
      <c r="R1269" t="s">
        <v>1498</v>
      </c>
      <c r="S1269" t="s">
        <v>52</v>
      </c>
      <c r="T1269" t="s">
        <v>252</v>
      </c>
      <c r="U1269">
        <v>892230</v>
      </c>
      <c r="V1269" s="3">
        <v>46083.493750000001</v>
      </c>
      <c r="W1269" t="s">
        <v>1498</v>
      </c>
      <c r="X1269" t="s">
        <v>1499</v>
      </c>
      <c r="Y1269" t="str">
        <f>"0425332962"</f>
        <v>0425332962</v>
      </c>
      <c r="Z1269" t="s">
        <v>375</v>
      </c>
      <c r="AA1269" s="1">
        <v>46117</v>
      </c>
      <c r="AB1269" t="s">
        <v>695</v>
      </c>
      <c r="AD1269" t="s">
        <v>168</v>
      </c>
      <c r="AE1269" t="s">
        <v>696</v>
      </c>
      <c r="AF1269">
        <v>5606</v>
      </c>
      <c r="AG1269" t="s">
        <v>1500</v>
      </c>
      <c r="AI1269" t="s">
        <v>59</v>
      </c>
      <c r="AJ1269" t="str">
        <f>"0020188039"</f>
        <v>0020188039</v>
      </c>
      <c r="AN1269" s="3">
        <v>46083.493750000001</v>
      </c>
      <c r="AO1269" t="s">
        <v>1498</v>
      </c>
    </row>
    <row r="1270" spans="1:41" x14ac:dyDescent="0.3">
      <c r="A1270" t="s">
        <v>306</v>
      </c>
      <c r="B1270" t="s">
        <v>2407</v>
      </c>
      <c r="C1270" t="s">
        <v>3118</v>
      </c>
      <c r="D1270" t="s">
        <v>184</v>
      </c>
      <c r="E1270" s="1">
        <v>46080</v>
      </c>
      <c r="F1270" t="s">
        <v>2113</v>
      </c>
      <c r="G1270" t="s">
        <v>45</v>
      </c>
      <c r="H1270" s="2">
        <v>0.29166666666666669</v>
      </c>
      <c r="I1270" s="2">
        <v>0.625</v>
      </c>
      <c r="J1270" t="s">
        <v>1314</v>
      </c>
      <c r="L1270" t="s">
        <v>1260</v>
      </c>
      <c r="M1270" t="s">
        <v>239</v>
      </c>
      <c r="N1270" t="s">
        <v>1261</v>
      </c>
      <c r="O1270">
        <v>5952100</v>
      </c>
      <c r="Q1270" t="s">
        <v>705</v>
      </c>
      <c r="R1270" t="s">
        <v>1248</v>
      </c>
      <c r="S1270" t="s">
        <v>119</v>
      </c>
      <c r="T1270" t="s">
        <v>1356</v>
      </c>
      <c r="U1270">
        <v>892160</v>
      </c>
      <c r="V1270" s="3">
        <v>46079.829861111109</v>
      </c>
      <c r="W1270" t="s">
        <v>1262</v>
      </c>
      <c r="X1270" t="s">
        <v>1263</v>
      </c>
      <c r="Y1270" t="str">
        <f>"0420517034"</f>
        <v>0420517034</v>
      </c>
      <c r="Z1270" t="s">
        <v>70</v>
      </c>
      <c r="AB1270" t="s">
        <v>2408</v>
      </c>
      <c r="AD1270" t="s">
        <v>306</v>
      </c>
      <c r="AE1270" t="s">
        <v>2409</v>
      </c>
      <c r="AF1270">
        <v>3149</v>
      </c>
      <c r="AI1270" t="s">
        <v>59</v>
      </c>
      <c r="AL1270" t="s">
        <v>3635</v>
      </c>
      <c r="AM1270" t="s">
        <v>3636</v>
      </c>
      <c r="AN1270" s="3">
        <v>46079.830555555556</v>
      </c>
      <c r="AO1270" t="s">
        <v>1262</v>
      </c>
    </row>
    <row r="1271" spans="1:41" x14ac:dyDescent="0.3">
      <c r="A1271" t="s">
        <v>61</v>
      </c>
      <c r="B1271" t="s">
        <v>158</v>
      </c>
      <c r="C1271" t="s">
        <v>43</v>
      </c>
      <c r="D1271" t="s">
        <v>127</v>
      </c>
      <c r="E1271" s="1">
        <v>46080</v>
      </c>
      <c r="F1271" t="s">
        <v>2113</v>
      </c>
      <c r="G1271" t="s">
        <v>45</v>
      </c>
      <c r="H1271" s="2">
        <v>0.29166666666666669</v>
      </c>
      <c r="I1271" s="2">
        <v>0.52083333333333337</v>
      </c>
      <c r="J1271" t="s">
        <v>101</v>
      </c>
      <c r="L1271" t="s">
        <v>159</v>
      </c>
      <c r="M1271" t="s">
        <v>1502</v>
      </c>
      <c r="N1271" t="s">
        <v>1503</v>
      </c>
      <c r="O1271">
        <v>21662</v>
      </c>
      <c r="Q1271" t="s">
        <v>162</v>
      </c>
      <c r="R1271" t="s">
        <v>500</v>
      </c>
      <c r="S1271" t="s">
        <v>52</v>
      </c>
      <c r="U1271">
        <v>892009</v>
      </c>
      <c r="V1271" s="3">
        <v>46078.745833333334</v>
      </c>
      <c r="W1271" t="s">
        <v>1504</v>
      </c>
      <c r="X1271" t="s">
        <v>1505</v>
      </c>
      <c r="Y1271" t="str">
        <f>"0424896869"</f>
        <v>0424896869</v>
      </c>
      <c r="Z1271" t="s">
        <v>70</v>
      </c>
      <c r="AB1271" t="s">
        <v>166</v>
      </c>
      <c r="AD1271" t="s">
        <v>61</v>
      </c>
      <c r="AE1271" t="s">
        <v>167</v>
      </c>
      <c r="AF1271">
        <v>2011</v>
      </c>
      <c r="AG1271" t="s">
        <v>162</v>
      </c>
      <c r="AI1271" t="s">
        <v>59</v>
      </c>
      <c r="AL1271" t="s">
        <v>3637</v>
      </c>
      <c r="AN1271" s="3">
        <v>46080.525000000001</v>
      </c>
      <c r="AO1271" t="s">
        <v>1504</v>
      </c>
    </row>
    <row r="1272" spans="1:41" x14ac:dyDescent="0.3">
      <c r="A1272" t="s">
        <v>61</v>
      </c>
      <c r="B1272" t="s">
        <v>768</v>
      </c>
      <c r="C1272" t="s">
        <v>296</v>
      </c>
      <c r="D1272" t="s">
        <v>769</v>
      </c>
      <c r="E1272" s="1">
        <v>46080</v>
      </c>
      <c r="F1272" t="s">
        <v>2113</v>
      </c>
      <c r="G1272" t="s">
        <v>45</v>
      </c>
      <c r="H1272" s="2">
        <v>0.3125</v>
      </c>
      <c r="I1272" s="2">
        <v>0.625</v>
      </c>
      <c r="J1272" t="s">
        <v>296</v>
      </c>
      <c r="L1272" t="s">
        <v>298</v>
      </c>
      <c r="M1272" t="s">
        <v>770</v>
      </c>
      <c r="N1272" t="s">
        <v>771</v>
      </c>
      <c r="O1272">
        <v>5952291</v>
      </c>
      <c r="Q1272" t="s">
        <v>772</v>
      </c>
      <c r="R1272" t="s">
        <v>67</v>
      </c>
      <c r="S1272" t="s">
        <v>52</v>
      </c>
      <c r="U1272">
        <v>892019</v>
      </c>
      <c r="V1272" s="3">
        <v>46070.444444444445</v>
      </c>
      <c r="W1272" t="s">
        <v>773</v>
      </c>
      <c r="X1272" t="s">
        <v>774</v>
      </c>
      <c r="Y1272" t="str">
        <f>"0432174467"</f>
        <v>0432174467</v>
      </c>
      <c r="Z1272" t="s">
        <v>1013</v>
      </c>
      <c r="AB1272" t="s">
        <v>775</v>
      </c>
      <c r="AD1272" t="s">
        <v>61</v>
      </c>
      <c r="AE1272" t="s">
        <v>776</v>
      </c>
      <c r="AF1272">
        <v>2076</v>
      </c>
      <c r="AG1272" t="s">
        <v>772</v>
      </c>
      <c r="AI1272" t="s">
        <v>59</v>
      </c>
      <c r="AL1272" t="s">
        <v>3624</v>
      </c>
      <c r="AN1272" s="3">
        <v>46080.629166666666</v>
      </c>
      <c r="AO1272" t="s">
        <v>773</v>
      </c>
    </row>
    <row r="1273" spans="1:41" x14ac:dyDescent="0.3">
      <c r="A1273" t="s">
        <v>75</v>
      </c>
      <c r="B1273" t="s">
        <v>76</v>
      </c>
      <c r="C1273" t="s">
        <v>43</v>
      </c>
      <c r="D1273" t="s">
        <v>63</v>
      </c>
      <c r="E1273" s="1">
        <v>46080</v>
      </c>
      <c r="F1273" t="s">
        <v>2113</v>
      </c>
      <c r="G1273" t="s">
        <v>128</v>
      </c>
      <c r="H1273" s="2">
        <v>0.3125</v>
      </c>
      <c r="I1273" s="2">
        <v>0.75</v>
      </c>
      <c r="J1273" t="s">
        <v>46</v>
      </c>
      <c r="K1273" t="s">
        <v>77</v>
      </c>
      <c r="L1273" t="s">
        <v>47</v>
      </c>
      <c r="M1273" t="s">
        <v>78</v>
      </c>
      <c r="N1273" t="s">
        <v>79</v>
      </c>
      <c r="O1273">
        <v>5950961</v>
      </c>
      <c r="Q1273" t="s">
        <v>1056</v>
      </c>
      <c r="R1273" t="s">
        <v>500</v>
      </c>
      <c r="S1273" t="s">
        <v>52</v>
      </c>
      <c r="T1273" t="s">
        <v>1437</v>
      </c>
      <c r="U1273">
        <v>892052</v>
      </c>
      <c r="V1273" s="3">
        <v>46069.777777777781</v>
      </c>
      <c r="W1273" t="s">
        <v>82</v>
      </c>
      <c r="X1273" t="s">
        <v>83</v>
      </c>
      <c r="Y1273" t="str">
        <f>"0423151375"</f>
        <v>0423151375</v>
      </c>
      <c r="Z1273" t="s">
        <v>503</v>
      </c>
      <c r="AB1273" t="s">
        <v>85</v>
      </c>
      <c r="AD1273" t="s">
        <v>75</v>
      </c>
      <c r="AE1273" t="s">
        <v>86</v>
      </c>
      <c r="AF1273">
        <v>6000</v>
      </c>
      <c r="AG1273" t="s">
        <v>2568</v>
      </c>
      <c r="AI1273" t="s">
        <v>59</v>
      </c>
      <c r="AL1273" t="s">
        <v>3638</v>
      </c>
      <c r="AN1273" s="3">
        <v>46082.479166666664</v>
      </c>
      <c r="AO1273" t="s">
        <v>759</v>
      </c>
    </row>
    <row r="1274" spans="1:41" x14ac:dyDescent="0.3">
      <c r="A1274" t="s">
        <v>61</v>
      </c>
      <c r="B1274" t="s">
        <v>3639</v>
      </c>
      <c r="C1274" t="s">
        <v>43</v>
      </c>
      <c r="D1274" t="s">
        <v>3640</v>
      </c>
      <c r="E1274" s="1">
        <v>46080</v>
      </c>
      <c r="F1274" t="s">
        <v>2113</v>
      </c>
      <c r="G1274" t="s">
        <v>45</v>
      </c>
      <c r="H1274" s="2">
        <v>0.3125</v>
      </c>
      <c r="I1274" s="2">
        <v>0.70833333333333337</v>
      </c>
      <c r="J1274" t="s">
        <v>185</v>
      </c>
      <c r="L1274" t="s">
        <v>186</v>
      </c>
      <c r="M1274" t="s">
        <v>3282</v>
      </c>
      <c r="N1274" t="s">
        <v>3641</v>
      </c>
      <c r="O1274">
        <v>21178</v>
      </c>
      <c r="Q1274" t="s">
        <v>3642</v>
      </c>
      <c r="R1274" t="s">
        <v>145</v>
      </c>
      <c r="S1274" t="s">
        <v>52</v>
      </c>
      <c r="U1274">
        <v>892024</v>
      </c>
      <c r="V1274" s="3">
        <v>46003.697916666664</v>
      </c>
      <c r="W1274" t="s">
        <v>3643</v>
      </c>
      <c r="X1274" t="s">
        <v>3644</v>
      </c>
      <c r="Y1274" t="str">
        <f>"0412384857"</f>
        <v>0412384857</v>
      </c>
      <c r="Z1274" t="s">
        <v>123</v>
      </c>
      <c r="AB1274" t="s">
        <v>3645</v>
      </c>
      <c r="AD1274" t="s">
        <v>61</v>
      </c>
      <c r="AE1274" t="s">
        <v>1279</v>
      </c>
      <c r="AF1274">
        <v>2145</v>
      </c>
      <c r="AG1274" t="s">
        <v>3646</v>
      </c>
      <c r="AI1274" t="s">
        <v>59</v>
      </c>
      <c r="AL1274" t="s">
        <v>3624</v>
      </c>
      <c r="AN1274" s="3">
        <v>46080.650694444441</v>
      </c>
      <c r="AO1274" t="s">
        <v>3643</v>
      </c>
    </row>
    <row r="1275" spans="1:41" x14ac:dyDescent="0.3">
      <c r="A1275" t="s">
        <v>75</v>
      </c>
      <c r="B1275" t="s">
        <v>2359</v>
      </c>
      <c r="C1275" t="s">
        <v>43</v>
      </c>
      <c r="D1275" t="s">
        <v>283</v>
      </c>
      <c r="E1275" s="1">
        <v>46080</v>
      </c>
      <c r="F1275" t="s">
        <v>2113</v>
      </c>
      <c r="G1275" t="s">
        <v>45</v>
      </c>
      <c r="H1275" s="2">
        <v>0.3125</v>
      </c>
      <c r="I1275" s="2">
        <v>0.72916666666666663</v>
      </c>
      <c r="J1275" t="s">
        <v>185</v>
      </c>
      <c r="K1275" t="s">
        <v>238</v>
      </c>
      <c r="L1275" t="s">
        <v>47</v>
      </c>
      <c r="M1275" t="s">
        <v>3282</v>
      </c>
      <c r="N1275" t="s">
        <v>3316</v>
      </c>
      <c r="O1275">
        <v>22370</v>
      </c>
      <c r="Q1275" t="s">
        <v>823</v>
      </c>
      <c r="R1275" t="s">
        <v>81</v>
      </c>
      <c r="S1275" t="s">
        <v>52</v>
      </c>
      <c r="U1275">
        <v>892058</v>
      </c>
      <c r="V1275" s="3">
        <v>46056.613888888889</v>
      </c>
      <c r="W1275" t="s">
        <v>3317</v>
      </c>
      <c r="X1275" t="s">
        <v>3318</v>
      </c>
      <c r="Y1275" t="str">
        <f>"0407446821"</f>
        <v>0407446821</v>
      </c>
      <c r="Z1275" t="s">
        <v>70</v>
      </c>
      <c r="AA1275" s="1">
        <v>46080</v>
      </c>
      <c r="AB1275" t="s">
        <v>2364</v>
      </c>
      <c r="AD1275" t="s">
        <v>75</v>
      </c>
      <c r="AE1275" t="s">
        <v>368</v>
      </c>
      <c r="AF1275">
        <v>6027</v>
      </c>
      <c r="AG1275" t="s">
        <v>823</v>
      </c>
      <c r="AI1275" t="s">
        <v>59</v>
      </c>
      <c r="AL1275" t="s">
        <v>87</v>
      </c>
      <c r="AN1275" s="3">
        <v>46080.809027777781</v>
      </c>
      <c r="AO1275" t="s">
        <v>3317</v>
      </c>
    </row>
    <row r="1276" spans="1:41" x14ac:dyDescent="0.3">
      <c r="A1276" t="s">
        <v>61</v>
      </c>
      <c r="B1276" t="s">
        <v>1079</v>
      </c>
      <c r="C1276" t="s">
        <v>484</v>
      </c>
      <c r="D1276" t="s">
        <v>63</v>
      </c>
      <c r="E1276" s="1">
        <v>46080</v>
      </c>
      <c r="F1276" t="s">
        <v>2113</v>
      </c>
      <c r="G1276" t="s">
        <v>45</v>
      </c>
      <c r="H1276" s="2">
        <v>0.3125</v>
      </c>
      <c r="I1276" s="2">
        <v>0.54166666666666663</v>
      </c>
      <c r="J1276" t="s">
        <v>590</v>
      </c>
      <c r="L1276" t="s">
        <v>487</v>
      </c>
      <c r="M1276" t="s">
        <v>1463</v>
      </c>
      <c r="N1276" t="s">
        <v>1464</v>
      </c>
      <c r="O1276">
        <v>22756</v>
      </c>
      <c r="Q1276" t="s">
        <v>1653</v>
      </c>
      <c r="R1276" t="s">
        <v>132</v>
      </c>
      <c r="S1276" t="s">
        <v>52</v>
      </c>
      <c r="U1276">
        <v>892010</v>
      </c>
      <c r="V1276" s="3">
        <v>46078.571527777778</v>
      </c>
      <c r="W1276" t="s">
        <v>1466</v>
      </c>
      <c r="X1276" t="s">
        <v>1467</v>
      </c>
      <c r="Y1276" t="str">
        <f>"0416856891"</f>
        <v>0416856891</v>
      </c>
      <c r="Z1276" t="s">
        <v>70</v>
      </c>
      <c r="AA1276" s="1">
        <v>46080</v>
      </c>
      <c r="AB1276" t="s">
        <v>1085</v>
      </c>
      <c r="AD1276" t="s">
        <v>61</v>
      </c>
      <c r="AE1276" t="s">
        <v>1086</v>
      </c>
      <c r="AF1276">
        <v>2031</v>
      </c>
      <c r="AG1276" t="s">
        <v>3647</v>
      </c>
      <c r="AI1276" t="s">
        <v>59</v>
      </c>
      <c r="AL1276" t="s">
        <v>3648</v>
      </c>
      <c r="AN1276" s="3">
        <v>46080.53402777778</v>
      </c>
      <c r="AO1276" t="s">
        <v>1466</v>
      </c>
    </row>
    <row r="1277" spans="1:41" x14ac:dyDescent="0.3">
      <c r="A1277" t="s">
        <v>75</v>
      </c>
      <c r="B1277" t="s">
        <v>895</v>
      </c>
      <c r="C1277" t="s">
        <v>896</v>
      </c>
      <c r="D1277" t="s">
        <v>184</v>
      </c>
      <c r="E1277" s="1">
        <v>46080</v>
      </c>
      <c r="F1277" t="s">
        <v>2113</v>
      </c>
      <c r="G1277" t="s">
        <v>128</v>
      </c>
      <c r="H1277" s="2">
        <v>0.3125</v>
      </c>
      <c r="I1277" s="2">
        <v>0.77083333333333337</v>
      </c>
      <c r="J1277" t="s">
        <v>185</v>
      </c>
      <c r="K1277" t="s">
        <v>678</v>
      </c>
      <c r="L1277" t="s">
        <v>186</v>
      </c>
      <c r="M1277" t="s">
        <v>3649</v>
      </c>
      <c r="N1277" t="s">
        <v>3650</v>
      </c>
      <c r="O1277">
        <v>5952374</v>
      </c>
      <c r="Q1277" t="s">
        <v>3651</v>
      </c>
      <c r="R1277" t="s">
        <v>926</v>
      </c>
      <c r="S1277" t="s">
        <v>52</v>
      </c>
      <c r="T1277" t="s">
        <v>1437</v>
      </c>
      <c r="U1277">
        <v>892076</v>
      </c>
      <c r="V1277" s="3">
        <v>46079.600694444445</v>
      </c>
      <c r="W1277" t="s">
        <v>3652</v>
      </c>
      <c r="X1277" t="s">
        <v>3653</v>
      </c>
      <c r="Y1277" t="str">
        <f>"0404505109"</f>
        <v>0404505109</v>
      </c>
      <c r="Z1277" t="s">
        <v>70</v>
      </c>
      <c r="AA1277" s="1">
        <v>46080</v>
      </c>
      <c r="AB1277" t="s">
        <v>902</v>
      </c>
      <c r="AD1277" t="s">
        <v>75</v>
      </c>
      <c r="AE1277" t="s">
        <v>903</v>
      </c>
      <c r="AF1277">
        <v>6009</v>
      </c>
      <c r="AG1277" t="s">
        <v>2229</v>
      </c>
      <c r="AI1277" t="s">
        <v>59</v>
      </c>
      <c r="AL1277" t="s">
        <v>3654</v>
      </c>
      <c r="AN1277" s="3">
        <v>46082.480555555558</v>
      </c>
      <c r="AO1277" t="s">
        <v>759</v>
      </c>
    </row>
    <row r="1278" spans="1:41" x14ac:dyDescent="0.3">
      <c r="A1278" t="s">
        <v>75</v>
      </c>
      <c r="B1278" t="s">
        <v>3655</v>
      </c>
      <c r="C1278" t="s">
        <v>43</v>
      </c>
      <c r="D1278" t="s">
        <v>719</v>
      </c>
      <c r="E1278" s="1">
        <v>46080</v>
      </c>
      <c r="F1278" t="s">
        <v>2113</v>
      </c>
      <c r="G1278" t="s">
        <v>45</v>
      </c>
      <c r="H1278" s="2">
        <v>0.3125</v>
      </c>
      <c r="I1278" s="2">
        <v>0.54166666666666663</v>
      </c>
      <c r="J1278" t="s">
        <v>185</v>
      </c>
      <c r="L1278" t="s">
        <v>186</v>
      </c>
      <c r="M1278" t="s">
        <v>1070</v>
      </c>
      <c r="N1278" t="s">
        <v>1071</v>
      </c>
      <c r="O1278">
        <v>5951604</v>
      </c>
      <c r="Q1278" t="s">
        <v>3656</v>
      </c>
      <c r="R1278" t="s">
        <v>926</v>
      </c>
      <c r="S1278" t="s">
        <v>52</v>
      </c>
      <c r="U1278">
        <v>892031</v>
      </c>
      <c r="V1278" s="3">
        <v>46076.508333333331</v>
      </c>
      <c r="W1278" t="s">
        <v>1072</v>
      </c>
      <c r="X1278" t="s">
        <v>1073</v>
      </c>
      <c r="Y1278" t="str">
        <f>"0410139992"</f>
        <v>0410139992</v>
      </c>
      <c r="Z1278" t="s">
        <v>70</v>
      </c>
      <c r="AA1278" s="1">
        <v>46080</v>
      </c>
      <c r="AB1278" t="s">
        <v>3657</v>
      </c>
      <c r="AD1278" t="s">
        <v>75</v>
      </c>
      <c r="AE1278" t="s">
        <v>1993</v>
      </c>
      <c r="AF1278">
        <v>6008</v>
      </c>
      <c r="AG1278" t="s">
        <v>3656</v>
      </c>
      <c r="AI1278" t="s">
        <v>59</v>
      </c>
      <c r="AL1278" t="s">
        <v>3658</v>
      </c>
      <c r="AN1278" s="3">
        <v>46080.696527777778</v>
      </c>
      <c r="AO1278" t="s">
        <v>1072</v>
      </c>
    </row>
    <row r="1279" spans="1:41" x14ac:dyDescent="0.3">
      <c r="A1279" t="s">
        <v>75</v>
      </c>
      <c r="B1279" t="s">
        <v>895</v>
      </c>
      <c r="C1279" t="s">
        <v>896</v>
      </c>
      <c r="D1279" t="s">
        <v>184</v>
      </c>
      <c r="E1279" s="1">
        <v>46080</v>
      </c>
      <c r="F1279" t="s">
        <v>2113</v>
      </c>
      <c r="G1279" t="s">
        <v>128</v>
      </c>
      <c r="H1279" s="2">
        <v>0.3125</v>
      </c>
      <c r="I1279" s="2">
        <v>0.75</v>
      </c>
      <c r="J1279" t="s">
        <v>185</v>
      </c>
      <c r="K1279" t="s">
        <v>238</v>
      </c>
      <c r="L1279" t="s">
        <v>186</v>
      </c>
      <c r="M1279" t="s">
        <v>2489</v>
      </c>
      <c r="N1279" t="s">
        <v>2490</v>
      </c>
      <c r="O1279">
        <v>5952229</v>
      </c>
      <c r="Q1279" t="s">
        <v>3659</v>
      </c>
      <c r="R1279" t="s">
        <v>926</v>
      </c>
      <c r="S1279" t="s">
        <v>52</v>
      </c>
      <c r="T1279" t="s">
        <v>1437</v>
      </c>
      <c r="U1279">
        <v>892078</v>
      </c>
      <c r="V1279" s="3">
        <v>46079.603472222225</v>
      </c>
      <c r="W1279" t="s">
        <v>2492</v>
      </c>
      <c r="X1279" t="s">
        <v>2493</v>
      </c>
      <c r="Y1279" t="str">
        <f>"0424214153"</f>
        <v>0424214153</v>
      </c>
      <c r="Z1279" t="s">
        <v>70</v>
      </c>
      <c r="AA1279" s="1">
        <v>46080</v>
      </c>
      <c r="AB1279" t="s">
        <v>902</v>
      </c>
      <c r="AD1279" t="s">
        <v>75</v>
      </c>
      <c r="AE1279" t="s">
        <v>903</v>
      </c>
      <c r="AF1279">
        <v>6009</v>
      </c>
      <c r="AG1279" t="s">
        <v>2229</v>
      </c>
      <c r="AI1279" t="s">
        <v>59</v>
      </c>
      <c r="AL1279" t="s">
        <v>3660</v>
      </c>
      <c r="AN1279" s="3">
        <v>46082.479166666664</v>
      </c>
      <c r="AO1279" t="s">
        <v>759</v>
      </c>
    </row>
    <row r="1280" spans="1:41" x14ac:dyDescent="0.3">
      <c r="A1280" t="s">
        <v>75</v>
      </c>
      <c r="B1280" t="s">
        <v>358</v>
      </c>
      <c r="C1280" t="s">
        <v>43</v>
      </c>
      <c r="D1280" t="s">
        <v>184</v>
      </c>
      <c r="E1280" s="1">
        <v>46080</v>
      </c>
      <c r="F1280" t="s">
        <v>2113</v>
      </c>
      <c r="G1280" t="s">
        <v>45</v>
      </c>
      <c r="H1280" s="2">
        <v>0.3125</v>
      </c>
      <c r="I1280" s="2">
        <v>0.75</v>
      </c>
      <c r="J1280" t="s">
        <v>185</v>
      </c>
      <c r="K1280" t="s">
        <v>678</v>
      </c>
      <c r="L1280" t="s">
        <v>186</v>
      </c>
      <c r="M1280" t="s">
        <v>3661</v>
      </c>
      <c r="N1280" t="s">
        <v>925</v>
      </c>
      <c r="O1280">
        <v>5952081</v>
      </c>
      <c r="Q1280" t="s">
        <v>1179</v>
      </c>
      <c r="R1280" t="s">
        <v>500</v>
      </c>
      <c r="S1280" t="s">
        <v>119</v>
      </c>
      <c r="T1280" t="s">
        <v>414</v>
      </c>
      <c r="U1280">
        <v>892437</v>
      </c>
      <c r="V1280" s="3">
        <v>46078.84652777778</v>
      </c>
      <c r="W1280" t="s">
        <v>3662</v>
      </c>
      <c r="X1280" t="s">
        <v>3663</v>
      </c>
      <c r="Y1280" t="str">
        <f>"0403870363"</f>
        <v>0403870363</v>
      </c>
      <c r="Z1280" t="s">
        <v>70</v>
      </c>
      <c r="AA1280" s="1">
        <v>46080</v>
      </c>
      <c r="AB1280" t="s">
        <v>367</v>
      </c>
      <c r="AD1280" t="s">
        <v>75</v>
      </c>
      <c r="AE1280" t="s">
        <v>368</v>
      </c>
      <c r="AF1280">
        <v>6027</v>
      </c>
      <c r="AG1280" t="s">
        <v>1179</v>
      </c>
      <c r="AI1280" t="s">
        <v>59</v>
      </c>
      <c r="AL1280" t="s">
        <v>87</v>
      </c>
      <c r="AN1280" s="3">
        <v>46078.87222222222</v>
      </c>
      <c r="AO1280" t="s">
        <v>500</v>
      </c>
    </row>
    <row r="1281" spans="1:41" x14ac:dyDescent="0.3">
      <c r="A1281" t="s">
        <v>61</v>
      </c>
      <c r="B1281" t="s">
        <v>62</v>
      </c>
      <c r="C1281" t="s">
        <v>43</v>
      </c>
      <c r="D1281" t="s">
        <v>63</v>
      </c>
      <c r="E1281" s="1">
        <v>46080</v>
      </c>
      <c r="F1281" t="s">
        <v>2113</v>
      </c>
      <c r="G1281" t="s">
        <v>45</v>
      </c>
      <c r="H1281" s="2">
        <v>0.3125</v>
      </c>
      <c r="I1281" s="2">
        <v>0.99861111111111112</v>
      </c>
      <c r="J1281" t="s">
        <v>46</v>
      </c>
      <c r="L1281" t="s">
        <v>47</v>
      </c>
      <c r="M1281" t="s">
        <v>610</v>
      </c>
      <c r="N1281" t="s">
        <v>3184</v>
      </c>
      <c r="O1281">
        <v>5950775</v>
      </c>
      <c r="Q1281" t="s">
        <v>66</v>
      </c>
      <c r="R1281" t="s">
        <v>67</v>
      </c>
      <c r="S1281" t="s">
        <v>52</v>
      </c>
      <c r="U1281">
        <v>892026</v>
      </c>
      <c r="V1281" s="3">
        <v>46069.605555555558</v>
      </c>
      <c r="W1281" t="s">
        <v>3185</v>
      </c>
      <c r="X1281" t="s">
        <v>3186</v>
      </c>
      <c r="Y1281" t="str">
        <f>"0406883932"</f>
        <v>0406883932</v>
      </c>
      <c r="Z1281" t="s">
        <v>2292</v>
      </c>
      <c r="AA1281" s="1">
        <v>46080</v>
      </c>
      <c r="AB1281" t="s">
        <v>71</v>
      </c>
      <c r="AD1281" t="s">
        <v>61</v>
      </c>
      <c r="AE1281" t="s">
        <v>72</v>
      </c>
      <c r="AF1281">
        <v>2747</v>
      </c>
      <c r="AG1281" t="s">
        <v>73</v>
      </c>
      <c r="AI1281" t="s">
        <v>59</v>
      </c>
      <c r="AL1281" t="s">
        <v>3624</v>
      </c>
      <c r="AN1281" s="3">
        <v>46080.662499999999</v>
      </c>
      <c r="AO1281" t="s">
        <v>3185</v>
      </c>
    </row>
    <row r="1282" spans="1:41" x14ac:dyDescent="0.3">
      <c r="A1282" t="s">
        <v>41</v>
      </c>
      <c r="B1282" t="s">
        <v>426</v>
      </c>
      <c r="C1282" t="s">
        <v>43</v>
      </c>
      <c r="D1282" t="s">
        <v>246</v>
      </c>
      <c r="E1282" s="1">
        <v>46080</v>
      </c>
      <c r="F1282" t="s">
        <v>2113</v>
      </c>
      <c r="G1282" t="s">
        <v>45</v>
      </c>
      <c r="H1282" s="2">
        <v>0.32291666666666669</v>
      </c>
      <c r="I1282" s="2">
        <v>0.71875</v>
      </c>
      <c r="J1282" t="s">
        <v>185</v>
      </c>
      <c r="K1282" t="s">
        <v>427</v>
      </c>
      <c r="L1282" t="s">
        <v>815</v>
      </c>
      <c r="M1282" t="s">
        <v>816</v>
      </c>
      <c r="N1282" t="s">
        <v>817</v>
      </c>
      <c r="O1282">
        <v>22501</v>
      </c>
      <c r="Q1282" t="s">
        <v>249</v>
      </c>
      <c r="R1282" t="s">
        <v>51</v>
      </c>
      <c r="S1282" t="s">
        <v>52</v>
      </c>
      <c r="U1282">
        <v>892048</v>
      </c>
      <c r="V1282" s="3">
        <v>46076.363194444442</v>
      </c>
      <c r="W1282" t="s">
        <v>818</v>
      </c>
      <c r="X1282" t="s">
        <v>819</v>
      </c>
      <c r="Y1282" t="str">
        <f>"0432588228"</f>
        <v>0432588228</v>
      </c>
      <c r="Z1282" t="s">
        <v>832</v>
      </c>
      <c r="AB1282" t="s">
        <v>434</v>
      </c>
      <c r="AD1282" t="s">
        <v>41</v>
      </c>
      <c r="AE1282" t="s">
        <v>435</v>
      </c>
      <c r="AF1282">
        <v>4163</v>
      </c>
      <c r="AG1282" t="s">
        <v>249</v>
      </c>
      <c r="AI1282" t="s">
        <v>59</v>
      </c>
      <c r="AL1282" t="s">
        <v>249</v>
      </c>
      <c r="AN1282" s="3">
        <v>46080.769444444442</v>
      </c>
      <c r="AO1282" t="s">
        <v>818</v>
      </c>
    </row>
    <row r="1283" spans="1:41" x14ac:dyDescent="0.3">
      <c r="A1283" t="s">
        <v>168</v>
      </c>
      <c r="B1283" t="s">
        <v>400</v>
      </c>
      <c r="C1283" t="s">
        <v>100</v>
      </c>
      <c r="D1283" t="s">
        <v>401</v>
      </c>
      <c r="E1283" s="1">
        <v>46080</v>
      </c>
      <c r="F1283" t="s">
        <v>2113</v>
      </c>
      <c r="G1283" t="s">
        <v>45</v>
      </c>
      <c r="H1283" s="2">
        <v>0.33333333333333331</v>
      </c>
      <c r="I1283" s="2">
        <v>0.66666666666666663</v>
      </c>
      <c r="J1283" t="s">
        <v>100</v>
      </c>
      <c r="L1283" t="s">
        <v>100</v>
      </c>
      <c r="M1283" t="s">
        <v>2279</v>
      </c>
      <c r="N1283" t="s">
        <v>2280</v>
      </c>
      <c r="O1283">
        <v>5951984</v>
      </c>
      <c r="Q1283" t="s">
        <v>3069</v>
      </c>
      <c r="R1283" t="s">
        <v>176</v>
      </c>
      <c r="S1283" t="s">
        <v>52</v>
      </c>
      <c r="U1283">
        <v>892030</v>
      </c>
      <c r="V1283" s="3">
        <v>46079.470138888886</v>
      </c>
      <c r="W1283" t="s">
        <v>2282</v>
      </c>
      <c r="X1283" t="s">
        <v>2283</v>
      </c>
      <c r="Y1283" t="str">
        <f>"0421440269"</f>
        <v>0421440269</v>
      </c>
      <c r="Z1283" t="s">
        <v>70</v>
      </c>
      <c r="AA1283" s="1">
        <v>46080</v>
      </c>
      <c r="AB1283" t="s">
        <v>407</v>
      </c>
      <c r="AD1283" t="s">
        <v>168</v>
      </c>
      <c r="AE1283" t="s">
        <v>347</v>
      </c>
      <c r="AF1283">
        <v>5042</v>
      </c>
      <c r="AG1283" t="s">
        <v>3069</v>
      </c>
      <c r="AI1283" t="s">
        <v>59</v>
      </c>
      <c r="AL1283" t="s">
        <v>3664</v>
      </c>
      <c r="AN1283" s="3">
        <v>46080.686111111114</v>
      </c>
      <c r="AO1283" t="s">
        <v>2282</v>
      </c>
    </row>
    <row r="1284" spans="1:41" x14ac:dyDescent="0.3">
      <c r="A1284" t="s">
        <v>41</v>
      </c>
      <c r="B1284" t="s">
        <v>138</v>
      </c>
      <c r="C1284" t="s">
        <v>139</v>
      </c>
      <c r="D1284" t="s">
        <v>127</v>
      </c>
      <c r="E1284" s="1">
        <v>46080</v>
      </c>
      <c r="F1284" t="s">
        <v>2113</v>
      </c>
      <c r="G1284" t="s">
        <v>45</v>
      </c>
      <c r="H1284" s="2">
        <v>0.33333333333333331</v>
      </c>
      <c r="I1284" s="2">
        <v>0.66666666666666663</v>
      </c>
      <c r="J1284" t="s">
        <v>140</v>
      </c>
      <c r="L1284" t="s">
        <v>141</v>
      </c>
      <c r="M1284" t="s">
        <v>142</v>
      </c>
      <c r="N1284" t="s">
        <v>143</v>
      </c>
      <c r="O1284">
        <v>22649</v>
      </c>
      <c r="Q1284" t="s">
        <v>3570</v>
      </c>
      <c r="R1284" t="s">
        <v>51</v>
      </c>
      <c r="S1284" t="s">
        <v>52</v>
      </c>
      <c r="U1284">
        <v>892037</v>
      </c>
      <c r="V1284" s="3">
        <v>46055.625694444447</v>
      </c>
      <c r="W1284" t="s">
        <v>146</v>
      </c>
      <c r="X1284" t="s">
        <v>147</v>
      </c>
      <c r="Y1284" t="str">
        <f>"0407039143"</f>
        <v>0407039143</v>
      </c>
      <c r="Z1284" t="s">
        <v>84</v>
      </c>
      <c r="AB1284" t="s">
        <v>148</v>
      </c>
      <c r="AC1284" t="s">
        <v>149</v>
      </c>
      <c r="AD1284" t="s">
        <v>41</v>
      </c>
      <c r="AE1284" t="s">
        <v>150</v>
      </c>
      <c r="AF1284">
        <v>4000</v>
      </c>
      <c r="AG1284" t="s">
        <v>3665</v>
      </c>
      <c r="AI1284" t="s">
        <v>59</v>
      </c>
      <c r="AL1284" t="s">
        <v>2726</v>
      </c>
      <c r="AN1284" s="3">
        <v>46080.706944444442</v>
      </c>
      <c r="AO1284" t="s">
        <v>146</v>
      </c>
    </row>
    <row r="1285" spans="1:41" x14ac:dyDescent="0.3">
      <c r="A1285" t="s">
        <v>41</v>
      </c>
      <c r="B1285" t="s">
        <v>965</v>
      </c>
      <c r="C1285" t="s">
        <v>43</v>
      </c>
      <c r="D1285" t="s">
        <v>966</v>
      </c>
      <c r="E1285" s="1">
        <v>46080</v>
      </c>
      <c r="F1285" t="s">
        <v>2113</v>
      </c>
      <c r="G1285" t="s">
        <v>45</v>
      </c>
      <c r="H1285" s="2">
        <v>0.33333333333333331</v>
      </c>
      <c r="I1285" s="2">
        <v>0.72916666666666663</v>
      </c>
      <c r="J1285" t="s">
        <v>46</v>
      </c>
      <c r="L1285" t="s">
        <v>159</v>
      </c>
      <c r="M1285" t="s">
        <v>1239</v>
      </c>
      <c r="N1285" t="s">
        <v>3641</v>
      </c>
      <c r="O1285">
        <v>5951675</v>
      </c>
      <c r="Q1285" t="s">
        <v>3666</v>
      </c>
      <c r="R1285" t="s">
        <v>51</v>
      </c>
      <c r="S1285" t="s">
        <v>52</v>
      </c>
      <c r="U1285">
        <v>892042</v>
      </c>
      <c r="V1285" s="3">
        <v>46071.365972222222</v>
      </c>
      <c r="W1285" t="s">
        <v>3667</v>
      </c>
      <c r="X1285" t="s">
        <v>3668</v>
      </c>
      <c r="Y1285" t="str">
        <f>"0419235842"</f>
        <v>0419235842</v>
      </c>
      <c r="Z1285" t="s">
        <v>2531</v>
      </c>
      <c r="AB1285" t="s">
        <v>972</v>
      </c>
      <c r="AD1285" t="s">
        <v>41</v>
      </c>
      <c r="AE1285" t="s">
        <v>973</v>
      </c>
      <c r="AF1285">
        <v>4068</v>
      </c>
      <c r="AG1285" t="s">
        <v>2507</v>
      </c>
      <c r="AI1285" t="s">
        <v>59</v>
      </c>
      <c r="AL1285" t="s">
        <v>2508</v>
      </c>
      <c r="AN1285" s="3">
        <v>46080.720138888886</v>
      </c>
      <c r="AO1285" t="s">
        <v>3667</v>
      </c>
    </row>
    <row r="1286" spans="1:41" x14ac:dyDescent="0.3">
      <c r="A1286" t="s">
        <v>61</v>
      </c>
      <c r="B1286" t="s">
        <v>655</v>
      </c>
      <c r="C1286" t="s">
        <v>43</v>
      </c>
      <c r="D1286" t="s">
        <v>656</v>
      </c>
      <c r="E1286" s="1">
        <v>46080</v>
      </c>
      <c r="F1286" t="s">
        <v>2113</v>
      </c>
      <c r="G1286" t="s">
        <v>45</v>
      </c>
      <c r="H1286" s="2">
        <v>0.33333333333333331</v>
      </c>
      <c r="I1286" s="2">
        <v>0.99861111111111112</v>
      </c>
      <c r="J1286" t="s">
        <v>46</v>
      </c>
      <c r="K1286" t="s">
        <v>2537</v>
      </c>
      <c r="L1286" t="s">
        <v>159</v>
      </c>
      <c r="M1286" t="s">
        <v>1126</v>
      </c>
      <c r="N1286" t="s">
        <v>1127</v>
      </c>
      <c r="O1286">
        <v>21552</v>
      </c>
      <c r="Q1286" t="s">
        <v>1568</v>
      </c>
      <c r="R1286" t="s">
        <v>67</v>
      </c>
      <c r="S1286" t="s">
        <v>52</v>
      </c>
      <c r="U1286">
        <v>892013</v>
      </c>
      <c r="V1286" s="3">
        <v>46064.560416666667</v>
      </c>
      <c r="W1286" t="s">
        <v>1129</v>
      </c>
      <c r="X1286" t="s">
        <v>1130</v>
      </c>
      <c r="Y1286" t="str">
        <f>"0401723179"</f>
        <v>0401723179</v>
      </c>
      <c r="Z1286" t="s">
        <v>55</v>
      </c>
      <c r="AB1286" t="s">
        <v>662</v>
      </c>
      <c r="AC1286" t="s">
        <v>663</v>
      </c>
      <c r="AD1286" t="s">
        <v>61</v>
      </c>
      <c r="AE1286" t="s">
        <v>664</v>
      </c>
      <c r="AF1286">
        <v>2067</v>
      </c>
      <c r="AG1286" t="s">
        <v>3177</v>
      </c>
      <c r="AI1286" t="s">
        <v>59</v>
      </c>
      <c r="AL1286" t="s">
        <v>3624</v>
      </c>
      <c r="AN1286" s="3">
        <v>46080.597222222219</v>
      </c>
      <c r="AO1286" t="s">
        <v>1129</v>
      </c>
    </row>
    <row r="1287" spans="1:41" x14ac:dyDescent="0.3">
      <c r="A1287" t="s">
        <v>306</v>
      </c>
      <c r="B1287" t="s">
        <v>450</v>
      </c>
      <c r="C1287" t="s">
        <v>100</v>
      </c>
      <c r="D1287" t="s">
        <v>63</v>
      </c>
      <c r="E1287" s="1">
        <v>46080</v>
      </c>
      <c r="F1287" t="s">
        <v>2113</v>
      </c>
      <c r="G1287" t="s">
        <v>45</v>
      </c>
      <c r="H1287" s="2">
        <v>0.33333333333333331</v>
      </c>
      <c r="I1287" s="2">
        <v>0.625</v>
      </c>
      <c r="J1287" t="s">
        <v>100</v>
      </c>
      <c r="L1287" t="s">
        <v>100</v>
      </c>
      <c r="M1287" t="s">
        <v>554</v>
      </c>
      <c r="N1287" t="s">
        <v>2056</v>
      </c>
      <c r="O1287">
        <v>5951890</v>
      </c>
      <c r="Q1287" t="s">
        <v>3669</v>
      </c>
      <c r="R1287" t="s">
        <v>314</v>
      </c>
      <c r="S1287" t="s">
        <v>52</v>
      </c>
      <c r="U1287">
        <v>892016</v>
      </c>
      <c r="V1287" s="3">
        <v>46079.329861111109</v>
      </c>
      <c r="W1287" t="s">
        <v>2058</v>
      </c>
      <c r="X1287" t="s">
        <v>2059</v>
      </c>
      <c r="Y1287" t="str">
        <f>"0450488053"</f>
        <v>0450488053</v>
      </c>
      <c r="Z1287" t="s">
        <v>70</v>
      </c>
      <c r="AA1287" s="1">
        <v>46080</v>
      </c>
      <c r="AB1287" t="s">
        <v>459</v>
      </c>
      <c r="AD1287" t="s">
        <v>306</v>
      </c>
      <c r="AE1287" t="s">
        <v>460</v>
      </c>
      <c r="AF1287">
        <v>3058</v>
      </c>
      <c r="AG1287" t="s">
        <v>1704</v>
      </c>
      <c r="AI1287" t="s">
        <v>59</v>
      </c>
      <c r="AL1287" t="s">
        <v>3670</v>
      </c>
      <c r="AN1287" s="3">
        <v>46080.622916666667</v>
      </c>
      <c r="AO1287" t="s">
        <v>2058</v>
      </c>
    </row>
    <row r="1288" spans="1:41" x14ac:dyDescent="0.3">
      <c r="A1288" t="s">
        <v>168</v>
      </c>
      <c r="B1288" t="s">
        <v>1178</v>
      </c>
      <c r="C1288" t="s">
        <v>2452</v>
      </c>
      <c r="D1288" t="s">
        <v>127</v>
      </c>
      <c r="E1288" s="1">
        <v>46080</v>
      </c>
      <c r="F1288" t="s">
        <v>2113</v>
      </c>
      <c r="G1288" t="s">
        <v>45</v>
      </c>
      <c r="H1288" s="2">
        <v>0.33333333333333331</v>
      </c>
      <c r="I1288" s="2">
        <v>0.625</v>
      </c>
      <c r="J1288" t="s">
        <v>170</v>
      </c>
      <c r="L1288" t="s">
        <v>159</v>
      </c>
      <c r="M1288" t="s">
        <v>228</v>
      </c>
      <c r="N1288" t="s">
        <v>229</v>
      </c>
      <c r="O1288">
        <v>21017</v>
      </c>
      <c r="P1288" t="s">
        <v>3671</v>
      </c>
      <c r="Q1288" t="s">
        <v>3672</v>
      </c>
      <c r="R1288" t="s">
        <v>231</v>
      </c>
      <c r="S1288" t="s">
        <v>52</v>
      </c>
      <c r="U1288">
        <v>892012</v>
      </c>
      <c r="V1288" s="3">
        <v>46059.461805555555</v>
      </c>
      <c r="W1288" t="s">
        <v>232</v>
      </c>
      <c r="X1288" t="s">
        <v>233</v>
      </c>
      <c r="Y1288" t="str">
        <f>"0409900497"</f>
        <v>0409900497</v>
      </c>
      <c r="Z1288" t="s">
        <v>980</v>
      </c>
      <c r="AA1288" s="1">
        <v>46080</v>
      </c>
      <c r="AB1288" t="s">
        <v>1184</v>
      </c>
      <c r="AD1288" t="s">
        <v>168</v>
      </c>
      <c r="AE1288" t="s">
        <v>1185</v>
      </c>
      <c r="AF1288">
        <v>5066</v>
      </c>
      <c r="AG1288" t="s">
        <v>2047</v>
      </c>
      <c r="AI1288" t="s">
        <v>59</v>
      </c>
      <c r="AL1288" t="s">
        <v>3673</v>
      </c>
      <c r="AN1288" s="3">
        <v>46080.575694444444</v>
      </c>
      <c r="AO1288" t="s">
        <v>232</v>
      </c>
    </row>
    <row r="1289" spans="1:41" x14ac:dyDescent="0.3">
      <c r="A1289" t="s">
        <v>75</v>
      </c>
      <c r="B1289" t="s">
        <v>1104</v>
      </c>
      <c r="C1289" t="s">
        <v>43</v>
      </c>
      <c r="D1289" t="s">
        <v>700</v>
      </c>
      <c r="E1289" s="1">
        <v>46080</v>
      </c>
      <c r="F1289" t="s">
        <v>2113</v>
      </c>
      <c r="G1289" t="s">
        <v>45</v>
      </c>
      <c r="H1289" s="2">
        <v>0.33333333333333331</v>
      </c>
      <c r="I1289" s="2">
        <v>0.54166666666666663</v>
      </c>
      <c r="J1289" t="s">
        <v>46</v>
      </c>
      <c r="L1289" t="s">
        <v>47</v>
      </c>
      <c r="M1289" t="s">
        <v>239</v>
      </c>
      <c r="N1289" t="s">
        <v>961</v>
      </c>
      <c r="O1289">
        <v>5952223</v>
      </c>
      <c r="Q1289" t="s">
        <v>1106</v>
      </c>
      <c r="R1289" t="s">
        <v>1248</v>
      </c>
      <c r="S1289" t="s">
        <v>52</v>
      </c>
      <c r="U1289">
        <v>892027</v>
      </c>
      <c r="V1289" s="3">
        <v>46079.759027777778</v>
      </c>
      <c r="W1289" t="s">
        <v>2223</v>
      </c>
      <c r="X1289" t="s">
        <v>2224</v>
      </c>
      <c r="Y1289" t="str">
        <f>"0460932692"</f>
        <v>0460932692</v>
      </c>
      <c r="Z1289" t="s">
        <v>70</v>
      </c>
      <c r="AA1289" s="1">
        <v>46080</v>
      </c>
      <c r="AB1289" t="s">
        <v>920</v>
      </c>
      <c r="AC1289" t="s">
        <v>1109</v>
      </c>
      <c r="AD1289" t="s">
        <v>75</v>
      </c>
      <c r="AE1289" t="s">
        <v>1110</v>
      </c>
      <c r="AF1289">
        <v>6014</v>
      </c>
      <c r="AG1289" t="s">
        <v>1106</v>
      </c>
      <c r="AI1289" t="s">
        <v>59</v>
      </c>
      <c r="AL1289" t="s">
        <v>3674</v>
      </c>
      <c r="AN1289" s="3">
        <v>46080.665277777778</v>
      </c>
      <c r="AO1289" t="s">
        <v>2223</v>
      </c>
    </row>
    <row r="1290" spans="1:41" x14ac:dyDescent="0.3">
      <c r="A1290" t="s">
        <v>41</v>
      </c>
      <c r="B1290" t="s">
        <v>718</v>
      </c>
      <c r="C1290" t="s">
        <v>43</v>
      </c>
      <c r="D1290" t="s">
        <v>719</v>
      </c>
      <c r="E1290" s="1">
        <v>46080</v>
      </c>
      <c r="F1290" t="s">
        <v>2113</v>
      </c>
      <c r="G1290" t="s">
        <v>45</v>
      </c>
      <c r="H1290" s="2">
        <v>0.33333333333333331</v>
      </c>
      <c r="I1290" s="2">
        <v>0.66666666666666663</v>
      </c>
      <c r="J1290" t="s">
        <v>46</v>
      </c>
      <c r="L1290" t="s">
        <v>47</v>
      </c>
      <c r="M1290" t="s">
        <v>798</v>
      </c>
      <c r="N1290" t="s">
        <v>3675</v>
      </c>
      <c r="O1290">
        <v>5952110</v>
      </c>
      <c r="Q1290" t="s">
        <v>3676</v>
      </c>
      <c r="R1290" t="s">
        <v>1472</v>
      </c>
      <c r="S1290" t="s">
        <v>52</v>
      </c>
      <c r="U1290">
        <v>892038</v>
      </c>
      <c r="V1290" s="3">
        <v>46065.684027777781</v>
      </c>
      <c r="W1290" t="s">
        <v>3677</v>
      </c>
      <c r="X1290" t="s">
        <v>3678</v>
      </c>
      <c r="Y1290" t="str">
        <f>"0407770794"</f>
        <v>0407770794</v>
      </c>
      <c r="Z1290" t="s">
        <v>123</v>
      </c>
      <c r="AB1290" t="s">
        <v>726</v>
      </c>
      <c r="AD1290" t="s">
        <v>41</v>
      </c>
      <c r="AE1290" t="s">
        <v>727</v>
      </c>
      <c r="AF1290">
        <v>4032</v>
      </c>
      <c r="AG1290" t="s">
        <v>3676</v>
      </c>
      <c r="AI1290" t="s">
        <v>59</v>
      </c>
      <c r="AL1290" t="s">
        <v>3679</v>
      </c>
      <c r="AN1290" s="3">
        <v>46080.706944444442</v>
      </c>
      <c r="AO1290" t="s">
        <v>3677</v>
      </c>
    </row>
    <row r="1291" spans="1:41" x14ac:dyDescent="0.3">
      <c r="A1291" t="s">
        <v>168</v>
      </c>
      <c r="B1291" t="s">
        <v>847</v>
      </c>
      <c r="C1291" t="s">
        <v>848</v>
      </c>
      <c r="D1291" t="s">
        <v>268</v>
      </c>
      <c r="E1291" s="1">
        <v>46080</v>
      </c>
      <c r="F1291" t="s">
        <v>2113</v>
      </c>
      <c r="G1291" t="s">
        <v>45</v>
      </c>
      <c r="H1291" s="2">
        <v>0.35416666666666669</v>
      </c>
      <c r="I1291" s="2">
        <v>0.70833333333333337</v>
      </c>
      <c r="J1291" t="s">
        <v>101</v>
      </c>
      <c r="K1291" t="s">
        <v>849</v>
      </c>
      <c r="L1291" t="s">
        <v>159</v>
      </c>
      <c r="M1291" t="s">
        <v>1552</v>
      </c>
      <c r="N1291" t="s">
        <v>1553</v>
      </c>
      <c r="O1291">
        <v>5951790</v>
      </c>
      <c r="Q1291" t="s">
        <v>857</v>
      </c>
      <c r="R1291" t="s">
        <v>231</v>
      </c>
      <c r="S1291" t="s">
        <v>52</v>
      </c>
      <c r="U1291">
        <v>892039</v>
      </c>
      <c r="V1291" s="3">
        <v>46035.581250000003</v>
      </c>
      <c r="W1291" t="s">
        <v>1554</v>
      </c>
      <c r="X1291" t="s">
        <v>1555</v>
      </c>
      <c r="Y1291" t="str">
        <f>"0402115073"</f>
        <v>0402115073</v>
      </c>
      <c r="Z1291" t="s">
        <v>2036</v>
      </c>
      <c r="AA1291" s="1">
        <v>46080</v>
      </c>
      <c r="AB1291" t="s">
        <v>847</v>
      </c>
      <c r="AC1291" t="s">
        <v>855</v>
      </c>
      <c r="AD1291" t="s">
        <v>168</v>
      </c>
      <c r="AE1291" t="s">
        <v>856</v>
      </c>
      <c r="AF1291">
        <v>5112</v>
      </c>
      <c r="AG1291" t="s">
        <v>857</v>
      </c>
      <c r="AI1291" t="s">
        <v>59</v>
      </c>
      <c r="AL1291" t="s">
        <v>1556</v>
      </c>
      <c r="AN1291" s="3">
        <v>46080.708333333336</v>
      </c>
      <c r="AO1291" t="s">
        <v>1554</v>
      </c>
    </row>
    <row r="1292" spans="1:41" x14ac:dyDescent="0.3">
      <c r="A1292" t="s">
        <v>61</v>
      </c>
      <c r="B1292" t="s">
        <v>88</v>
      </c>
      <c r="C1292" t="s">
        <v>3680</v>
      </c>
      <c r="D1292" t="s">
        <v>90</v>
      </c>
      <c r="E1292" s="1">
        <v>46080</v>
      </c>
      <c r="F1292" t="s">
        <v>2113</v>
      </c>
      <c r="G1292" t="s">
        <v>45</v>
      </c>
      <c r="H1292" s="2">
        <v>0.35416666666666669</v>
      </c>
      <c r="I1292" s="2">
        <v>0.70833333333333337</v>
      </c>
      <c r="J1292" t="s">
        <v>46</v>
      </c>
      <c r="L1292" t="s">
        <v>298</v>
      </c>
      <c r="M1292" t="s">
        <v>960</v>
      </c>
      <c r="N1292" t="s">
        <v>961</v>
      </c>
      <c r="O1292">
        <v>5952208</v>
      </c>
      <c r="P1292">
        <v>11603857</v>
      </c>
      <c r="Q1292" t="s">
        <v>1245</v>
      </c>
      <c r="R1292" t="s">
        <v>67</v>
      </c>
      <c r="S1292" t="s">
        <v>52</v>
      </c>
      <c r="U1292">
        <v>892033</v>
      </c>
      <c r="V1292" s="3">
        <v>46071.530555555553</v>
      </c>
      <c r="W1292" t="s">
        <v>962</v>
      </c>
      <c r="X1292" t="s">
        <v>963</v>
      </c>
      <c r="Y1292" t="str">
        <f>"0427301257"</f>
        <v>0427301257</v>
      </c>
      <c r="Z1292" t="s">
        <v>70</v>
      </c>
      <c r="AA1292" s="1">
        <v>46080</v>
      </c>
      <c r="AB1292" t="s">
        <v>96</v>
      </c>
      <c r="AD1292" t="s">
        <v>61</v>
      </c>
      <c r="AE1292" t="s">
        <v>97</v>
      </c>
      <c r="AF1292">
        <v>2010</v>
      </c>
      <c r="AG1292" t="s">
        <v>98</v>
      </c>
      <c r="AI1292" t="s">
        <v>59</v>
      </c>
      <c r="AL1292" t="s">
        <v>3611</v>
      </c>
      <c r="AN1292" s="3">
        <v>46080.703472222223</v>
      </c>
      <c r="AO1292" t="s">
        <v>962</v>
      </c>
    </row>
    <row r="1293" spans="1:41" x14ac:dyDescent="0.3">
      <c r="A1293" t="s">
        <v>168</v>
      </c>
      <c r="B1293" t="s">
        <v>847</v>
      </c>
      <c r="C1293" t="s">
        <v>848</v>
      </c>
      <c r="D1293" t="s">
        <v>268</v>
      </c>
      <c r="E1293" s="1">
        <v>46080</v>
      </c>
      <c r="F1293" t="s">
        <v>2113</v>
      </c>
      <c r="G1293" t="s">
        <v>45</v>
      </c>
      <c r="H1293" s="2">
        <v>0.35416666666666669</v>
      </c>
      <c r="I1293" s="2">
        <v>0.70833333333333337</v>
      </c>
      <c r="J1293" t="s">
        <v>101</v>
      </c>
      <c r="K1293" t="s">
        <v>849</v>
      </c>
      <c r="L1293" t="s">
        <v>47</v>
      </c>
      <c r="M1293" t="s">
        <v>3681</v>
      </c>
      <c r="N1293" t="s">
        <v>3682</v>
      </c>
      <c r="O1293">
        <v>20565</v>
      </c>
      <c r="Q1293" t="s">
        <v>3423</v>
      </c>
      <c r="R1293" t="s">
        <v>231</v>
      </c>
      <c r="S1293" t="s">
        <v>52</v>
      </c>
      <c r="U1293">
        <v>892120</v>
      </c>
      <c r="V1293" s="3">
        <v>46035.581250000003</v>
      </c>
      <c r="W1293" t="s">
        <v>3683</v>
      </c>
      <c r="X1293" t="s">
        <v>3684</v>
      </c>
      <c r="Y1293" t="str">
        <f>"0422285624"</f>
        <v>0422285624</v>
      </c>
      <c r="Z1293" t="s">
        <v>984</v>
      </c>
      <c r="AA1293" s="1">
        <v>46080</v>
      </c>
      <c r="AB1293" t="s">
        <v>847</v>
      </c>
      <c r="AC1293" t="s">
        <v>855</v>
      </c>
      <c r="AD1293" t="s">
        <v>168</v>
      </c>
      <c r="AE1293" t="s">
        <v>856</v>
      </c>
      <c r="AF1293">
        <v>5112</v>
      </c>
      <c r="AG1293" t="s">
        <v>857</v>
      </c>
      <c r="AI1293" t="s">
        <v>59</v>
      </c>
      <c r="AL1293" t="s">
        <v>3685</v>
      </c>
      <c r="AN1293" s="3">
        <v>46081.004861111112</v>
      </c>
      <c r="AO1293" t="s">
        <v>3683</v>
      </c>
    </row>
    <row r="1294" spans="1:41" x14ac:dyDescent="0.3">
      <c r="A1294" t="s">
        <v>61</v>
      </c>
      <c r="B1294" t="s">
        <v>655</v>
      </c>
      <c r="C1294" t="s">
        <v>43</v>
      </c>
      <c r="D1294" t="s">
        <v>656</v>
      </c>
      <c r="E1294" s="1">
        <v>46080</v>
      </c>
      <c r="F1294" t="s">
        <v>2113</v>
      </c>
      <c r="G1294" t="s">
        <v>45</v>
      </c>
      <c r="H1294" s="2">
        <v>0.35416666666666669</v>
      </c>
      <c r="I1294" s="2">
        <v>0.99861111111111112</v>
      </c>
      <c r="J1294" t="s">
        <v>46</v>
      </c>
      <c r="K1294" t="s">
        <v>2537</v>
      </c>
      <c r="L1294" t="s">
        <v>47</v>
      </c>
      <c r="M1294" t="s">
        <v>1080</v>
      </c>
      <c r="N1294" t="s">
        <v>1081</v>
      </c>
      <c r="O1294">
        <v>5951255</v>
      </c>
      <c r="Q1294" t="s">
        <v>665</v>
      </c>
      <c r="R1294" t="s">
        <v>67</v>
      </c>
      <c r="S1294" t="s">
        <v>52</v>
      </c>
      <c r="U1294">
        <v>892036</v>
      </c>
      <c r="V1294" s="3">
        <v>46064.604861111111</v>
      </c>
      <c r="W1294" t="s">
        <v>1083</v>
      </c>
      <c r="X1294" t="s">
        <v>1084</v>
      </c>
      <c r="Y1294" t="str">
        <f>"0451307044"</f>
        <v>0451307044</v>
      </c>
      <c r="Z1294" t="s">
        <v>70</v>
      </c>
      <c r="AA1294" s="1">
        <v>46080</v>
      </c>
      <c r="AB1294" t="s">
        <v>662</v>
      </c>
      <c r="AC1294" t="s">
        <v>663</v>
      </c>
      <c r="AD1294" t="s">
        <v>61</v>
      </c>
      <c r="AE1294" t="s">
        <v>664</v>
      </c>
      <c r="AF1294">
        <v>2067</v>
      </c>
      <c r="AG1294" t="s">
        <v>3177</v>
      </c>
      <c r="AI1294" t="s">
        <v>59</v>
      </c>
      <c r="AL1294" t="s">
        <v>3686</v>
      </c>
      <c r="AN1294" s="3">
        <v>46080.705555555556</v>
      </c>
      <c r="AO1294" t="s">
        <v>1083</v>
      </c>
    </row>
    <row r="1295" spans="1:41" x14ac:dyDescent="0.3">
      <c r="A1295" t="s">
        <v>168</v>
      </c>
      <c r="B1295" t="s">
        <v>847</v>
      </c>
      <c r="C1295" t="s">
        <v>43</v>
      </c>
      <c r="D1295" t="s">
        <v>268</v>
      </c>
      <c r="E1295" s="1">
        <v>46080</v>
      </c>
      <c r="F1295" t="s">
        <v>2113</v>
      </c>
      <c r="G1295" t="s">
        <v>45</v>
      </c>
      <c r="H1295" s="2">
        <v>0.35416666666666669</v>
      </c>
      <c r="I1295" s="2">
        <v>0.70833333333333337</v>
      </c>
      <c r="J1295" t="s">
        <v>185</v>
      </c>
      <c r="L1295" t="s">
        <v>2243</v>
      </c>
      <c r="M1295" t="s">
        <v>2244</v>
      </c>
      <c r="N1295" t="s">
        <v>2245</v>
      </c>
      <c r="O1295">
        <v>22748</v>
      </c>
      <c r="Q1295" t="s">
        <v>857</v>
      </c>
      <c r="R1295" t="s">
        <v>231</v>
      </c>
      <c r="S1295" t="s">
        <v>52</v>
      </c>
      <c r="U1295">
        <v>892035</v>
      </c>
      <c r="V1295" s="3">
        <v>46063.612500000003</v>
      </c>
      <c r="W1295" t="s">
        <v>2246</v>
      </c>
      <c r="X1295" t="s">
        <v>2247</v>
      </c>
      <c r="Y1295" t="str">
        <f>"0423555385"</f>
        <v>0423555385</v>
      </c>
      <c r="Z1295" t="s">
        <v>366</v>
      </c>
      <c r="AB1295" t="s">
        <v>847</v>
      </c>
      <c r="AC1295" t="s">
        <v>855</v>
      </c>
      <c r="AD1295" t="s">
        <v>168</v>
      </c>
      <c r="AE1295" t="s">
        <v>856</v>
      </c>
      <c r="AF1295">
        <v>5112</v>
      </c>
      <c r="AG1295" t="s">
        <v>857</v>
      </c>
      <c r="AI1295" t="s">
        <v>59</v>
      </c>
      <c r="AL1295" t="s">
        <v>3687</v>
      </c>
      <c r="AN1295" s="3">
        <v>46080.705555555556</v>
      </c>
      <c r="AO1295" t="s">
        <v>2246</v>
      </c>
    </row>
    <row r="1296" spans="1:41" x14ac:dyDescent="0.3">
      <c r="A1296" t="s">
        <v>874</v>
      </c>
      <c r="B1296" t="s">
        <v>875</v>
      </c>
      <c r="D1296" t="s">
        <v>388</v>
      </c>
      <c r="E1296" s="1">
        <v>46080</v>
      </c>
      <c r="F1296" t="s">
        <v>2113</v>
      </c>
      <c r="G1296" t="s">
        <v>45</v>
      </c>
      <c r="H1296" s="2">
        <v>0.35416666666666669</v>
      </c>
      <c r="I1296" s="2">
        <v>0.70833333333333337</v>
      </c>
      <c r="J1296" t="s">
        <v>876</v>
      </c>
      <c r="L1296" t="s">
        <v>877</v>
      </c>
      <c r="M1296" t="s">
        <v>878</v>
      </c>
      <c r="N1296" t="s">
        <v>879</v>
      </c>
      <c r="O1296">
        <v>5951689</v>
      </c>
      <c r="P1296" t="s">
        <v>249</v>
      </c>
      <c r="Q1296" t="s">
        <v>880</v>
      </c>
      <c r="R1296" t="s">
        <v>392</v>
      </c>
      <c r="S1296" t="s">
        <v>52</v>
      </c>
      <c r="T1296" t="s">
        <v>252</v>
      </c>
      <c r="U1296">
        <v>892247</v>
      </c>
      <c r="V1296" s="3">
        <v>46083.556944444441</v>
      </c>
      <c r="W1296" t="s">
        <v>881</v>
      </c>
      <c r="X1296" t="s">
        <v>882</v>
      </c>
      <c r="Y1296" t="str">
        <f>"0474765680"</f>
        <v>0474765680</v>
      </c>
      <c r="Z1296" t="s">
        <v>375</v>
      </c>
      <c r="AA1296" s="1">
        <v>46110</v>
      </c>
      <c r="AB1296" t="s">
        <v>883</v>
      </c>
      <c r="AD1296" t="s">
        <v>397</v>
      </c>
      <c r="AE1296" t="s">
        <v>884</v>
      </c>
      <c r="AG1296" t="s">
        <v>880</v>
      </c>
      <c r="AI1296" t="s">
        <v>59</v>
      </c>
      <c r="AJ1296" t="str">
        <f>"0090000061"</f>
        <v>0090000061</v>
      </c>
      <c r="AN1296" s="3">
        <v>46083.556944444441</v>
      </c>
      <c r="AO1296" t="s">
        <v>392</v>
      </c>
    </row>
    <row r="1297" spans="1:41" x14ac:dyDescent="0.3">
      <c r="A1297" t="s">
        <v>168</v>
      </c>
      <c r="B1297" t="s">
        <v>215</v>
      </c>
      <c r="C1297" t="s">
        <v>202</v>
      </c>
      <c r="D1297" t="s">
        <v>127</v>
      </c>
      <c r="E1297" s="1">
        <v>46080</v>
      </c>
      <c r="F1297" t="s">
        <v>2113</v>
      </c>
      <c r="G1297" t="s">
        <v>45</v>
      </c>
      <c r="H1297" s="2">
        <v>0.375</v>
      </c>
      <c r="I1297" s="2">
        <v>0.61458333333333337</v>
      </c>
      <c r="J1297" t="s">
        <v>46</v>
      </c>
      <c r="L1297" t="s">
        <v>47</v>
      </c>
      <c r="M1297" t="s">
        <v>420</v>
      </c>
      <c r="N1297" t="s">
        <v>421</v>
      </c>
      <c r="O1297">
        <v>21332</v>
      </c>
      <c r="Q1297" t="s">
        <v>219</v>
      </c>
      <c r="R1297" t="s">
        <v>3688</v>
      </c>
      <c r="S1297" t="s">
        <v>52</v>
      </c>
      <c r="U1297">
        <v>892020</v>
      </c>
      <c r="V1297" s="3">
        <v>46073.684027777781</v>
      </c>
      <c r="W1297" t="s">
        <v>422</v>
      </c>
      <c r="X1297" t="s">
        <v>423</v>
      </c>
      <c r="Y1297" t="str">
        <f>"0481793381"</f>
        <v>0481793381</v>
      </c>
      <c r="Z1297" t="s">
        <v>70</v>
      </c>
      <c r="AA1297" s="1">
        <v>46080</v>
      </c>
      <c r="AB1297" t="s">
        <v>222</v>
      </c>
      <c r="AD1297" t="s">
        <v>168</v>
      </c>
      <c r="AE1297" t="s">
        <v>223</v>
      </c>
      <c r="AF1297">
        <v>5069</v>
      </c>
      <c r="AI1297" t="s">
        <v>59</v>
      </c>
      <c r="AL1297" t="s">
        <v>3689</v>
      </c>
      <c r="AN1297" s="3">
        <v>46080.629861111112</v>
      </c>
      <c r="AO1297" t="s">
        <v>422</v>
      </c>
    </row>
    <row r="1298" spans="1:41" x14ac:dyDescent="0.3">
      <c r="A1298" t="s">
        <v>168</v>
      </c>
      <c r="B1298" t="s">
        <v>1178</v>
      </c>
      <c r="C1298" t="s">
        <v>100</v>
      </c>
      <c r="D1298" t="s">
        <v>127</v>
      </c>
      <c r="E1298" s="1">
        <v>46080</v>
      </c>
      <c r="F1298" t="s">
        <v>2113</v>
      </c>
      <c r="G1298" t="s">
        <v>45</v>
      </c>
      <c r="H1298" s="2">
        <v>0.375</v>
      </c>
      <c r="I1298" s="2">
        <v>0.70833333333333337</v>
      </c>
      <c r="J1298" t="s">
        <v>100</v>
      </c>
      <c r="L1298" t="s">
        <v>100</v>
      </c>
      <c r="M1298" t="s">
        <v>2716</v>
      </c>
      <c r="N1298" t="s">
        <v>2717</v>
      </c>
      <c r="O1298">
        <v>5950873</v>
      </c>
      <c r="Q1298" t="s">
        <v>3179</v>
      </c>
      <c r="R1298" t="s">
        <v>176</v>
      </c>
      <c r="S1298" t="s">
        <v>52</v>
      </c>
      <c r="U1298">
        <v>892034</v>
      </c>
      <c r="V1298" s="3">
        <v>46078.636805555558</v>
      </c>
      <c r="W1298" t="s">
        <v>2718</v>
      </c>
      <c r="X1298" t="s">
        <v>2719</v>
      </c>
      <c r="Y1298" t="str">
        <f>"61401208429"</f>
        <v>61401208429</v>
      </c>
      <c r="Z1298" t="s">
        <v>395</v>
      </c>
      <c r="AB1298" t="s">
        <v>1184</v>
      </c>
      <c r="AD1298" t="s">
        <v>168</v>
      </c>
      <c r="AE1298" t="s">
        <v>1185</v>
      </c>
      <c r="AF1298">
        <v>5066</v>
      </c>
      <c r="AG1298" t="s">
        <v>3180</v>
      </c>
      <c r="AI1298" t="s">
        <v>59</v>
      </c>
      <c r="AL1298" t="s">
        <v>87</v>
      </c>
      <c r="AN1298" s="3">
        <v>46080.704861111109</v>
      </c>
      <c r="AO1298" t="s">
        <v>2718</v>
      </c>
    </row>
    <row r="1299" spans="1:41" x14ac:dyDescent="0.3">
      <c r="A1299" t="s">
        <v>168</v>
      </c>
      <c r="B1299" t="s">
        <v>689</v>
      </c>
      <c r="C1299" t="s">
        <v>43</v>
      </c>
      <c r="D1299" t="s">
        <v>268</v>
      </c>
      <c r="E1299" s="1">
        <v>46080</v>
      </c>
      <c r="F1299" t="s">
        <v>2113</v>
      </c>
      <c r="G1299" t="s">
        <v>45</v>
      </c>
      <c r="H1299" s="2">
        <v>0.375</v>
      </c>
      <c r="I1299" s="2">
        <v>0.86458333333333337</v>
      </c>
      <c r="J1299" t="s">
        <v>101</v>
      </c>
      <c r="L1299" t="s">
        <v>159</v>
      </c>
      <c r="M1299" t="s">
        <v>690</v>
      </c>
      <c r="N1299" t="s">
        <v>691</v>
      </c>
      <c r="O1299">
        <v>5950774</v>
      </c>
      <c r="P1299" t="s">
        <v>249</v>
      </c>
      <c r="Q1299" t="s">
        <v>692</v>
      </c>
      <c r="R1299" t="s">
        <v>693</v>
      </c>
      <c r="S1299" t="s">
        <v>52</v>
      </c>
      <c r="T1299" t="s">
        <v>252</v>
      </c>
      <c r="U1299">
        <v>892208</v>
      </c>
      <c r="V1299" s="3">
        <v>46083.38958333333</v>
      </c>
      <c r="W1299" t="s">
        <v>693</v>
      </c>
      <c r="X1299" t="s">
        <v>694</v>
      </c>
      <c r="Y1299" t="str">
        <f>"0404019300"</f>
        <v>0404019300</v>
      </c>
      <c r="Z1299" t="s">
        <v>375</v>
      </c>
      <c r="AA1299" s="1">
        <v>46117</v>
      </c>
      <c r="AB1299" t="s">
        <v>695</v>
      </c>
      <c r="AD1299" t="s">
        <v>168</v>
      </c>
      <c r="AE1299" t="s">
        <v>696</v>
      </c>
      <c r="AF1299">
        <v>5606</v>
      </c>
      <c r="AG1299" t="s">
        <v>1585</v>
      </c>
      <c r="AI1299" t="s">
        <v>59</v>
      </c>
      <c r="AJ1299" t="str">
        <f>"0020188040"</f>
        <v>0020188040</v>
      </c>
      <c r="AN1299" s="3">
        <v>46083.38958333333</v>
      </c>
      <c r="AO1299" t="s">
        <v>693</v>
      </c>
    </row>
    <row r="1300" spans="1:41" x14ac:dyDescent="0.3">
      <c r="A1300" t="s">
        <v>75</v>
      </c>
      <c r="B1300" t="s">
        <v>3690</v>
      </c>
      <c r="C1300" t="s">
        <v>43</v>
      </c>
      <c r="D1300" t="s">
        <v>3691</v>
      </c>
      <c r="E1300" s="1">
        <v>46080</v>
      </c>
      <c r="F1300" t="s">
        <v>2113</v>
      </c>
      <c r="G1300" t="s">
        <v>45</v>
      </c>
      <c r="H1300" s="2">
        <v>0.375</v>
      </c>
      <c r="I1300" s="2">
        <v>0.70833333333333337</v>
      </c>
      <c r="J1300" t="s">
        <v>46</v>
      </c>
      <c r="K1300" t="s">
        <v>77</v>
      </c>
      <c r="L1300" t="s">
        <v>159</v>
      </c>
      <c r="M1300" t="s">
        <v>250</v>
      </c>
      <c r="N1300" t="s">
        <v>2302</v>
      </c>
      <c r="O1300">
        <v>5952443</v>
      </c>
      <c r="Q1300" t="s">
        <v>3692</v>
      </c>
      <c r="R1300" t="s">
        <v>556</v>
      </c>
      <c r="S1300" t="s">
        <v>52</v>
      </c>
      <c r="U1300">
        <v>892059</v>
      </c>
      <c r="V1300" s="3">
        <v>46057.762499999997</v>
      </c>
      <c r="W1300" t="s">
        <v>2304</v>
      </c>
      <c r="X1300" t="s">
        <v>2305</v>
      </c>
      <c r="Y1300" t="str">
        <f>"0402925703"</f>
        <v>0402925703</v>
      </c>
      <c r="Z1300" t="s">
        <v>254</v>
      </c>
      <c r="AB1300" t="s">
        <v>3693</v>
      </c>
      <c r="AD1300" t="s">
        <v>75</v>
      </c>
      <c r="AE1300" t="s">
        <v>3694</v>
      </c>
      <c r="AF1300">
        <v>6056</v>
      </c>
      <c r="AG1300" t="s">
        <v>3695</v>
      </c>
      <c r="AI1300" t="s">
        <v>59</v>
      </c>
      <c r="AL1300" t="s">
        <v>3696</v>
      </c>
      <c r="AN1300" s="3">
        <v>46080.816666666666</v>
      </c>
      <c r="AO1300" t="s">
        <v>2304</v>
      </c>
    </row>
    <row r="1301" spans="1:41" x14ac:dyDescent="0.3">
      <c r="A1301" t="s">
        <v>61</v>
      </c>
      <c r="B1301" t="s">
        <v>62</v>
      </c>
      <c r="C1301" t="s">
        <v>100</v>
      </c>
      <c r="D1301" t="s">
        <v>63</v>
      </c>
      <c r="E1301" s="1">
        <v>46080</v>
      </c>
      <c r="F1301" t="s">
        <v>2113</v>
      </c>
      <c r="G1301" t="s">
        <v>45</v>
      </c>
      <c r="H1301" s="2">
        <v>0.41666666666666669</v>
      </c>
      <c r="I1301" s="2">
        <v>0.77083333333333337</v>
      </c>
      <c r="J1301" t="s">
        <v>100</v>
      </c>
      <c r="L1301" t="s">
        <v>100</v>
      </c>
      <c r="M1301" t="s">
        <v>101</v>
      </c>
      <c r="N1301" t="s">
        <v>102</v>
      </c>
      <c r="O1301">
        <v>27</v>
      </c>
      <c r="Q1301" t="s">
        <v>1051</v>
      </c>
      <c r="R1301" t="s">
        <v>132</v>
      </c>
      <c r="S1301" t="s">
        <v>52</v>
      </c>
      <c r="U1301">
        <v>892046</v>
      </c>
      <c r="V1301" s="3">
        <v>46052.632638888892</v>
      </c>
      <c r="W1301" t="s">
        <v>104</v>
      </c>
      <c r="X1301" t="s">
        <v>105</v>
      </c>
      <c r="Y1301" t="str">
        <f>"0403748369"</f>
        <v>0403748369</v>
      </c>
      <c r="Z1301" t="s">
        <v>2331</v>
      </c>
      <c r="AB1301" t="s">
        <v>71</v>
      </c>
      <c r="AD1301" t="s">
        <v>61</v>
      </c>
      <c r="AE1301" t="s">
        <v>72</v>
      </c>
      <c r="AF1301">
        <v>2747</v>
      </c>
      <c r="AG1301" t="s">
        <v>1051</v>
      </c>
      <c r="AI1301" t="s">
        <v>59</v>
      </c>
      <c r="AL1301" t="s">
        <v>3624</v>
      </c>
      <c r="AN1301" s="3">
        <v>46080.760416666664</v>
      </c>
      <c r="AO1301" t="s">
        <v>104</v>
      </c>
    </row>
    <row r="1302" spans="1:41" x14ac:dyDescent="0.3">
      <c r="A1302" t="s">
        <v>168</v>
      </c>
      <c r="B1302" t="s">
        <v>1963</v>
      </c>
      <c r="C1302" t="s">
        <v>602</v>
      </c>
      <c r="D1302" t="s">
        <v>401</v>
      </c>
      <c r="E1302" s="1">
        <v>46080</v>
      </c>
      <c r="F1302" t="s">
        <v>2113</v>
      </c>
      <c r="G1302" t="s">
        <v>45</v>
      </c>
      <c r="H1302" s="2">
        <v>0.41666666666666669</v>
      </c>
      <c r="I1302" s="2">
        <v>0.625</v>
      </c>
      <c r="J1302" t="s">
        <v>269</v>
      </c>
      <c r="L1302" t="s">
        <v>172</v>
      </c>
      <c r="M1302" t="s">
        <v>173</v>
      </c>
      <c r="N1302" t="s">
        <v>174</v>
      </c>
      <c r="O1302">
        <v>300006</v>
      </c>
      <c r="Q1302" t="s">
        <v>3697</v>
      </c>
      <c r="R1302" t="s">
        <v>176</v>
      </c>
      <c r="S1302" t="s">
        <v>52</v>
      </c>
      <c r="U1302">
        <v>892023</v>
      </c>
      <c r="V1302" s="3">
        <v>46076.644444444442</v>
      </c>
      <c r="W1302" t="s">
        <v>177</v>
      </c>
      <c r="X1302" t="s">
        <v>178</v>
      </c>
      <c r="Y1302" t="str">
        <f>"0430966876"</f>
        <v>0430966876</v>
      </c>
      <c r="Z1302" t="s">
        <v>70</v>
      </c>
      <c r="AA1302" s="1">
        <v>46080</v>
      </c>
      <c r="AB1302" t="s">
        <v>1967</v>
      </c>
      <c r="AD1302" t="s">
        <v>168</v>
      </c>
      <c r="AE1302" t="s">
        <v>1968</v>
      </c>
      <c r="AF1302">
        <v>5000</v>
      </c>
      <c r="AG1302" t="s">
        <v>1401</v>
      </c>
      <c r="AI1302" t="s">
        <v>59</v>
      </c>
      <c r="AL1302" t="s">
        <v>3698</v>
      </c>
      <c r="AN1302" s="3">
        <v>46080.649305555555</v>
      </c>
      <c r="AO1302" t="s">
        <v>177</v>
      </c>
    </row>
    <row r="1303" spans="1:41" x14ac:dyDescent="0.3">
      <c r="A1303" t="s">
        <v>168</v>
      </c>
      <c r="B1303" t="s">
        <v>266</v>
      </c>
      <c r="C1303" t="s">
        <v>43</v>
      </c>
      <c r="D1303" t="s">
        <v>268</v>
      </c>
      <c r="E1303" s="1">
        <v>46080</v>
      </c>
      <c r="F1303" t="s">
        <v>2113</v>
      </c>
      <c r="G1303" t="s">
        <v>128</v>
      </c>
      <c r="H1303" s="2">
        <v>0.41666666666666669</v>
      </c>
      <c r="I1303" s="2">
        <v>0.77083333333333337</v>
      </c>
      <c r="J1303" t="s">
        <v>185</v>
      </c>
      <c r="L1303" t="s">
        <v>186</v>
      </c>
      <c r="M1303" t="s">
        <v>651</v>
      </c>
      <c r="N1303" t="s">
        <v>412</v>
      </c>
      <c r="O1303">
        <v>21855</v>
      </c>
      <c r="Q1303" t="s">
        <v>3699</v>
      </c>
      <c r="R1303" t="s">
        <v>231</v>
      </c>
      <c r="S1303" t="s">
        <v>52</v>
      </c>
      <c r="T1303" t="s">
        <v>1437</v>
      </c>
      <c r="U1303">
        <v>892032</v>
      </c>
      <c r="V1303" s="3">
        <v>46076.57916666667</v>
      </c>
      <c r="W1303" t="s">
        <v>652</v>
      </c>
      <c r="X1303" t="s">
        <v>653</v>
      </c>
      <c r="Y1303" t="str">
        <f>"0407317111"</f>
        <v>0407317111</v>
      </c>
      <c r="Z1303" t="s">
        <v>503</v>
      </c>
      <c r="AA1303" s="1">
        <v>46080</v>
      </c>
      <c r="AB1303" t="s">
        <v>277</v>
      </c>
      <c r="AC1303" t="s">
        <v>278</v>
      </c>
      <c r="AD1303" t="s">
        <v>168</v>
      </c>
      <c r="AE1303" t="s">
        <v>279</v>
      </c>
      <c r="AF1303">
        <v>5092</v>
      </c>
      <c r="AG1303" t="s">
        <v>869</v>
      </c>
      <c r="AI1303" t="s">
        <v>59</v>
      </c>
      <c r="AL1303" t="s">
        <v>3700</v>
      </c>
      <c r="AM1303" t="s">
        <v>3701</v>
      </c>
      <c r="AN1303" s="3">
        <v>46082.480555555558</v>
      </c>
      <c r="AO1303" t="s">
        <v>759</v>
      </c>
    </row>
    <row r="1304" spans="1:41" x14ac:dyDescent="0.3">
      <c r="A1304" t="s">
        <v>61</v>
      </c>
      <c r="B1304" t="s">
        <v>350</v>
      </c>
      <c r="C1304" t="s">
        <v>43</v>
      </c>
      <c r="D1304" t="s">
        <v>63</v>
      </c>
      <c r="E1304" s="1">
        <v>46080</v>
      </c>
      <c r="F1304" t="s">
        <v>2113</v>
      </c>
      <c r="G1304" t="s">
        <v>128</v>
      </c>
      <c r="H1304" s="2">
        <v>0.5</v>
      </c>
      <c r="I1304" s="2">
        <v>0.85416666666666663</v>
      </c>
      <c r="J1304" t="s">
        <v>46</v>
      </c>
      <c r="L1304" t="s">
        <v>47</v>
      </c>
      <c r="M1304" t="s">
        <v>351</v>
      </c>
      <c r="N1304" t="s">
        <v>352</v>
      </c>
      <c r="O1304">
        <v>5951965</v>
      </c>
      <c r="Q1304" t="s">
        <v>353</v>
      </c>
      <c r="R1304" t="s">
        <v>67</v>
      </c>
      <c r="S1304" t="s">
        <v>52</v>
      </c>
      <c r="U1304">
        <v>892061</v>
      </c>
      <c r="V1304" s="3">
        <v>46079.362500000003</v>
      </c>
      <c r="W1304" t="s">
        <v>354</v>
      </c>
      <c r="X1304" t="s">
        <v>355</v>
      </c>
      <c r="Y1304" t="str">
        <f>"0430083393"</f>
        <v>0430083393</v>
      </c>
      <c r="Z1304" t="s">
        <v>70</v>
      </c>
      <c r="AA1304" s="1">
        <v>46080</v>
      </c>
      <c r="AB1304" t="s">
        <v>356</v>
      </c>
      <c r="AD1304" t="s">
        <v>61</v>
      </c>
      <c r="AE1304" t="s">
        <v>357</v>
      </c>
      <c r="AF1304">
        <v>2153</v>
      </c>
      <c r="AG1304" t="s">
        <v>353</v>
      </c>
      <c r="AI1304" t="s">
        <v>59</v>
      </c>
      <c r="AL1304" t="s">
        <v>87</v>
      </c>
      <c r="AN1304" s="3">
        <v>46080.82708333333</v>
      </c>
      <c r="AO1304" t="s">
        <v>354</v>
      </c>
    </row>
    <row r="1305" spans="1:41" x14ac:dyDescent="0.3">
      <c r="A1305" t="s">
        <v>41</v>
      </c>
      <c r="B1305" t="s">
        <v>718</v>
      </c>
      <c r="C1305" t="s">
        <v>43</v>
      </c>
      <c r="D1305" t="s">
        <v>719</v>
      </c>
      <c r="E1305" s="1">
        <v>46080</v>
      </c>
      <c r="F1305" t="s">
        <v>2113</v>
      </c>
      <c r="G1305" t="s">
        <v>128</v>
      </c>
      <c r="H1305" s="2">
        <v>0.5</v>
      </c>
      <c r="I1305" s="2">
        <v>0.75</v>
      </c>
      <c r="J1305" t="s">
        <v>101</v>
      </c>
      <c r="L1305" t="s">
        <v>47</v>
      </c>
      <c r="M1305" t="s">
        <v>3702</v>
      </c>
      <c r="N1305" t="s">
        <v>3703</v>
      </c>
      <c r="O1305">
        <v>5951318</v>
      </c>
      <c r="Q1305" t="s">
        <v>3704</v>
      </c>
      <c r="R1305" t="s">
        <v>314</v>
      </c>
      <c r="S1305" t="s">
        <v>52</v>
      </c>
      <c r="U1305">
        <v>892050</v>
      </c>
      <c r="V1305" s="3">
        <v>46080.304861111108</v>
      </c>
      <c r="W1305" t="s">
        <v>3705</v>
      </c>
      <c r="X1305" t="s">
        <v>3706</v>
      </c>
      <c r="Y1305" t="str">
        <f>"0491278645"</f>
        <v>0491278645</v>
      </c>
      <c r="Z1305" t="s">
        <v>70</v>
      </c>
      <c r="AA1305" s="1">
        <v>46080</v>
      </c>
      <c r="AB1305" t="s">
        <v>726</v>
      </c>
      <c r="AD1305" t="s">
        <v>41</v>
      </c>
      <c r="AE1305" t="s">
        <v>727</v>
      </c>
      <c r="AF1305">
        <v>4032</v>
      </c>
      <c r="AG1305" t="s">
        <v>3707</v>
      </c>
      <c r="AI1305" t="s">
        <v>59</v>
      </c>
      <c r="AL1305" t="s">
        <v>87</v>
      </c>
      <c r="AM1305" t="s">
        <v>3708</v>
      </c>
      <c r="AN1305" s="3">
        <v>46080.790277777778</v>
      </c>
      <c r="AO1305" t="s">
        <v>3705</v>
      </c>
    </row>
    <row r="1306" spans="1:41" x14ac:dyDescent="0.3">
      <c r="A1306" t="s">
        <v>168</v>
      </c>
      <c r="B1306" t="s">
        <v>982</v>
      </c>
      <c r="C1306" t="s">
        <v>100</v>
      </c>
      <c r="D1306" t="s">
        <v>127</v>
      </c>
      <c r="E1306" s="1">
        <v>46080</v>
      </c>
      <c r="F1306" t="s">
        <v>2113</v>
      </c>
      <c r="G1306" t="s">
        <v>128</v>
      </c>
      <c r="H1306" s="2">
        <v>0.5</v>
      </c>
      <c r="I1306" s="2">
        <v>0.83333333333333337</v>
      </c>
      <c r="J1306" t="s">
        <v>100</v>
      </c>
      <c r="L1306" t="s">
        <v>100</v>
      </c>
      <c r="M1306" t="s">
        <v>411</v>
      </c>
      <c r="N1306" t="s">
        <v>412</v>
      </c>
      <c r="O1306">
        <v>228</v>
      </c>
      <c r="Q1306" t="s">
        <v>986</v>
      </c>
      <c r="R1306" t="s">
        <v>176</v>
      </c>
      <c r="S1306" t="s">
        <v>52</v>
      </c>
      <c r="U1306">
        <v>892065</v>
      </c>
      <c r="V1306" s="3">
        <v>46043.802777777775</v>
      </c>
      <c r="W1306" t="s">
        <v>415</v>
      </c>
      <c r="X1306" t="s">
        <v>416</v>
      </c>
      <c r="Y1306" t="str">
        <f>"0414869673"</f>
        <v>0414869673</v>
      </c>
      <c r="Z1306" t="s">
        <v>2358</v>
      </c>
      <c r="AB1306" t="s">
        <v>985</v>
      </c>
      <c r="AD1306" t="s">
        <v>168</v>
      </c>
      <c r="AE1306" t="s">
        <v>279</v>
      </c>
      <c r="AF1306">
        <v>5092</v>
      </c>
      <c r="AG1306" t="s">
        <v>986</v>
      </c>
      <c r="AI1306" t="s">
        <v>59</v>
      </c>
      <c r="AL1306" t="s">
        <v>1098</v>
      </c>
      <c r="AN1306" s="3">
        <v>46080.857638888891</v>
      </c>
      <c r="AO1306" t="s">
        <v>415</v>
      </c>
    </row>
    <row r="1307" spans="1:41" x14ac:dyDescent="0.3">
      <c r="A1307" t="s">
        <v>61</v>
      </c>
      <c r="B1307" t="s">
        <v>2984</v>
      </c>
      <c r="C1307" t="s">
        <v>43</v>
      </c>
      <c r="D1307" t="s">
        <v>2985</v>
      </c>
      <c r="E1307" s="1">
        <v>46080</v>
      </c>
      <c r="F1307" t="s">
        <v>2113</v>
      </c>
      <c r="G1307" t="s">
        <v>128</v>
      </c>
      <c r="H1307" s="2">
        <v>0.52083333333333337</v>
      </c>
      <c r="I1307" s="2">
        <v>0.83333333333333337</v>
      </c>
      <c r="J1307" t="s">
        <v>464</v>
      </c>
      <c r="L1307" t="s">
        <v>298</v>
      </c>
      <c r="M1307" t="s">
        <v>2011</v>
      </c>
      <c r="N1307" t="s">
        <v>933</v>
      </c>
      <c r="O1307">
        <v>5952316</v>
      </c>
      <c r="Q1307" t="s">
        <v>3709</v>
      </c>
      <c r="R1307" t="s">
        <v>67</v>
      </c>
      <c r="S1307" t="s">
        <v>119</v>
      </c>
      <c r="T1307" t="s">
        <v>414</v>
      </c>
      <c r="U1307">
        <v>892414</v>
      </c>
      <c r="V1307" s="3">
        <v>46079.54583333333</v>
      </c>
      <c r="W1307" t="s">
        <v>2013</v>
      </c>
      <c r="X1307" t="s">
        <v>2014</v>
      </c>
      <c r="Y1307" t="str">
        <f>"1111111111"</f>
        <v>1111111111</v>
      </c>
      <c r="Z1307" t="s">
        <v>55</v>
      </c>
      <c r="AA1307" s="1">
        <v>46080</v>
      </c>
      <c r="AB1307" t="s">
        <v>2987</v>
      </c>
      <c r="AD1307" t="s">
        <v>61</v>
      </c>
      <c r="AE1307" t="s">
        <v>2988</v>
      </c>
      <c r="AF1307">
        <v>2557</v>
      </c>
      <c r="AG1307" t="s">
        <v>3710</v>
      </c>
      <c r="AI1307" t="s">
        <v>59</v>
      </c>
      <c r="AL1307" t="s">
        <v>3711</v>
      </c>
      <c r="AN1307" s="3">
        <v>46079.591666666667</v>
      </c>
      <c r="AO1307" t="s">
        <v>67</v>
      </c>
    </row>
    <row r="1308" spans="1:41" x14ac:dyDescent="0.3">
      <c r="A1308" t="s">
        <v>61</v>
      </c>
      <c r="B1308" t="s">
        <v>655</v>
      </c>
      <c r="C1308" t="s">
        <v>43</v>
      </c>
      <c r="D1308" t="s">
        <v>656</v>
      </c>
      <c r="E1308" s="1">
        <v>46080</v>
      </c>
      <c r="F1308" t="s">
        <v>2113</v>
      </c>
      <c r="G1308" t="s">
        <v>128</v>
      </c>
      <c r="H1308" s="2">
        <v>0.52083333333333337</v>
      </c>
      <c r="I1308" s="2">
        <v>0.99861111111111112</v>
      </c>
      <c r="J1308" t="s">
        <v>101</v>
      </c>
      <c r="L1308" t="s">
        <v>47</v>
      </c>
      <c r="M1308" t="s">
        <v>785</v>
      </c>
      <c r="N1308" t="s">
        <v>905</v>
      </c>
      <c r="O1308">
        <v>5950885</v>
      </c>
      <c r="Q1308" t="s">
        <v>665</v>
      </c>
      <c r="R1308" t="s">
        <v>67</v>
      </c>
      <c r="S1308" t="s">
        <v>52</v>
      </c>
      <c r="U1308">
        <v>892075</v>
      </c>
      <c r="V1308" s="3">
        <v>46042.432638888888</v>
      </c>
      <c r="W1308" t="s">
        <v>906</v>
      </c>
      <c r="X1308" t="s">
        <v>907</v>
      </c>
      <c r="Y1308" t="str">
        <f>"0421650139"</f>
        <v>0421650139</v>
      </c>
      <c r="Z1308" t="s">
        <v>3712</v>
      </c>
      <c r="AA1308" s="1">
        <v>46080</v>
      </c>
      <c r="AB1308" t="s">
        <v>662</v>
      </c>
      <c r="AC1308" t="s">
        <v>663</v>
      </c>
      <c r="AD1308" t="s">
        <v>61</v>
      </c>
      <c r="AE1308" t="s">
        <v>664</v>
      </c>
      <c r="AF1308">
        <v>2067</v>
      </c>
      <c r="AG1308" t="s">
        <v>665</v>
      </c>
      <c r="AI1308" t="s">
        <v>59</v>
      </c>
      <c r="AL1308" t="s">
        <v>3713</v>
      </c>
      <c r="AN1308" s="3">
        <v>46080.879861111112</v>
      </c>
      <c r="AO1308" t="s">
        <v>906</v>
      </c>
    </row>
    <row r="1309" spans="1:41" x14ac:dyDescent="0.3">
      <c r="A1309" t="s">
        <v>168</v>
      </c>
      <c r="B1309" t="s">
        <v>215</v>
      </c>
      <c r="C1309" t="s">
        <v>216</v>
      </c>
      <c r="D1309" t="s">
        <v>127</v>
      </c>
      <c r="E1309" s="1">
        <v>46080</v>
      </c>
      <c r="F1309" t="s">
        <v>2113</v>
      </c>
      <c r="G1309" t="s">
        <v>128</v>
      </c>
      <c r="H1309" s="2">
        <v>0.52083333333333337</v>
      </c>
      <c r="I1309" s="2">
        <v>0.85416666666666663</v>
      </c>
      <c r="J1309" t="s">
        <v>101</v>
      </c>
      <c r="L1309" t="s">
        <v>743</v>
      </c>
      <c r="M1309" t="s">
        <v>744</v>
      </c>
      <c r="N1309" t="s">
        <v>745</v>
      </c>
      <c r="O1309">
        <v>5951894</v>
      </c>
      <c r="Q1309" t="s">
        <v>219</v>
      </c>
      <c r="R1309" t="s">
        <v>176</v>
      </c>
      <c r="S1309" t="s">
        <v>52</v>
      </c>
      <c r="U1309">
        <v>892062</v>
      </c>
      <c r="V1309" s="3">
        <v>46079.57708333333</v>
      </c>
      <c r="W1309" t="s">
        <v>746</v>
      </c>
      <c r="X1309" t="s">
        <v>747</v>
      </c>
      <c r="Y1309" t="str">
        <f>"0420536678"</f>
        <v>0420536678</v>
      </c>
      <c r="Z1309" t="s">
        <v>70</v>
      </c>
      <c r="AA1309" s="1">
        <v>46080</v>
      </c>
      <c r="AB1309" t="s">
        <v>222</v>
      </c>
      <c r="AD1309" t="s">
        <v>168</v>
      </c>
      <c r="AE1309" t="s">
        <v>223</v>
      </c>
      <c r="AF1309">
        <v>5069</v>
      </c>
      <c r="AG1309" t="s">
        <v>219</v>
      </c>
      <c r="AI1309" t="s">
        <v>59</v>
      </c>
      <c r="AL1309" t="s">
        <v>3689</v>
      </c>
      <c r="AN1309" s="3">
        <v>46080.835416666669</v>
      </c>
      <c r="AO1309" t="s">
        <v>746</v>
      </c>
    </row>
    <row r="1310" spans="1:41" x14ac:dyDescent="0.3">
      <c r="A1310" t="s">
        <v>75</v>
      </c>
      <c r="B1310" t="s">
        <v>1104</v>
      </c>
      <c r="C1310" t="s">
        <v>43</v>
      </c>
      <c r="D1310" t="s">
        <v>700</v>
      </c>
      <c r="E1310" s="1">
        <v>46080</v>
      </c>
      <c r="F1310" t="s">
        <v>2113</v>
      </c>
      <c r="G1310" t="s">
        <v>128</v>
      </c>
      <c r="H1310" s="2">
        <v>0.54166666666666663</v>
      </c>
      <c r="I1310" s="2">
        <v>0.75</v>
      </c>
      <c r="J1310" t="s">
        <v>46</v>
      </c>
      <c r="L1310" t="s">
        <v>159</v>
      </c>
      <c r="M1310" t="s">
        <v>187</v>
      </c>
      <c r="N1310" t="s">
        <v>1105</v>
      </c>
      <c r="O1310">
        <v>21727</v>
      </c>
      <c r="Q1310" t="s">
        <v>1106</v>
      </c>
      <c r="R1310" t="s">
        <v>1302</v>
      </c>
      <c r="S1310" t="s">
        <v>52</v>
      </c>
      <c r="U1310">
        <v>892051</v>
      </c>
      <c r="V1310" s="3">
        <v>46079.857638888891</v>
      </c>
      <c r="W1310" t="s">
        <v>1107</v>
      </c>
      <c r="X1310" t="s">
        <v>1108</v>
      </c>
      <c r="Y1310" t="str">
        <f>"0407897784"</f>
        <v>0407897784</v>
      </c>
      <c r="Z1310" t="s">
        <v>70</v>
      </c>
      <c r="AB1310" t="s">
        <v>920</v>
      </c>
      <c r="AC1310" t="s">
        <v>1109</v>
      </c>
      <c r="AD1310" t="s">
        <v>75</v>
      </c>
      <c r="AE1310" t="s">
        <v>1110</v>
      </c>
      <c r="AF1310">
        <v>6014</v>
      </c>
      <c r="AG1310" t="s">
        <v>1106</v>
      </c>
      <c r="AI1310" t="s">
        <v>59</v>
      </c>
      <c r="AL1310" t="s">
        <v>3714</v>
      </c>
      <c r="AN1310" s="3">
        <v>46080.790972222225</v>
      </c>
      <c r="AO1310" t="s">
        <v>1107</v>
      </c>
    </row>
    <row r="1311" spans="1:41" x14ac:dyDescent="0.3">
      <c r="A1311" t="s">
        <v>61</v>
      </c>
      <c r="B1311" t="s">
        <v>1764</v>
      </c>
      <c r="C1311" t="s">
        <v>43</v>
      </c>
      <c r="D1311" t="s">
        <v>719</v>
      </c>
      <c r="E1311" s="1">
        <v>46080</v>
      </c>
      <c r="F1311" t="s">
        <v>2113</v>
      </c>
      <c r="G1311" t="s">
        <v>128</v>
      </c>
      <c r="H1311" s="2">
        <v>0.54166666666666663</v>
      </c>
      <c r="I1311" s="2">
        <v>0.70833333333333337</v>
      </c>
      <c r="J1311" t="s">
        <v>101</v>
      </c>
      <c r="L1311" t="s">
        <v>159</v>
      </c>
      <c r="M1311" t="s">
        <v>1111</v>
      </c>
      <c r="N1311" t="s">
        <v>1112</v>
      </c>
      <c r="O1311">
        <v>5950887</v>
      </c>
      <c r="Q1311" t="s">
        <v>3715</v>
      </c>
      <c r="R1311" t="s">
        <v>67</v>
      </c>
      <c r="S1311" t="s">
        <v>52</v>
      </c>
      <c r="U1311">
        <v>892057</v>
      </c>
      <c r="V1311" s="3">
        <v>46063.518055555556</v>
      </c>
      <c r="W1311" t="s">
        <v>1114</v>
      </c>
      <c r="X1311" t="s">
        <v>1115</v>
      </c>
      <c r="Y1311" t="str">
        <f>"0406493884"</f>
        <v>0406493884</v>
      </c>
      <c r="Z1311" t="s">
        <v>70</v>
      </c>
      <c r="AA1311" s="1">
        <v>46080</v>
      </c>
      <c r="AB1311" t="s">
        <v>1770</v>
      </c>
      <c r="AD1311" t="s">
        <v>61</v>
      </c>
      <c r="AE1311" t="s">
        <v>1771</v>
      </c>
      <c r="AF1311">
        <v>2042</v>
      </c>
      <c r="AG1311" t="s">
        <v>3715</v>
      </c>
      <c r="AI1311" t="s">
        <v>59</v>
      </c>
      <c r="AL1311" t="s">
        <v>3624</v>
      </c>
      <c r="AN1311" s="3">
        <v>46080.805555555555</v>
      </c>
      <c r="AO1311" t="s">
        <v>1114</v>
      </c>
    </row>
    <row r="1312" spans="1:41" x14ac:dyDescent="0.3">
      <c r="A1312" t="s">
        <v>168</v>
      </c>
      <c r="B1312" t="s">
        <v>266</v>
      </c>
      <c r="D1312" t="s">
        <v>268</v>
      </c>
      <c r="E1312" s="1">
        <v>46080</v>
      </c>
      <c r="F1312" t="s">
        <v>2113</v>
      </c>
      <c r="G1312" t="s">
        <v>128</v>
      </c>
      <c r="H1312" s="2">
        <v>0.54166666666666663</v>
      </c>
      <c r="I1312" s="2">
        <v>0.89583333333333337</v>
      </c>
      <c r="J1312" t="s">
        <v>296</v>
      </c>
      <c r="K1312" t="s">
        <v>297</v>
      </c>
      <c r="L1312" t="s">
        <v>713</v>
      </c>
      <c r="M1312" t="s">
        <v>2070</v>
      </c>
      <c r="N1312" t="s">
        <v>2071</v>
      </c>
      <c r="O1312">
        <v>5951614</v>
      </c>
      <c r="Q1312" t="s">
        <v>301</v>
      </c>
      <c r="R1312" t="s">
        <v>176</v>
      </c>
      <c r="S1312" t="s">
        <v>52</v>
      </c>
      <c r="U1312">
        <v>892079</v>
      </c>
      <c r="V1312" s="3">
        <v>45993.540277777778</v>
      </c>
      <c r="W1312" t="s">
        <v>2072</v>
      </c>
      <c r="X1312" t="s">
        <v>2073</v>
      </c>
      <c r="Y1312" t="str">
        <f>"0432595856"</f>
        <v>0432595856</v>
      </c>
      <c r="Z1312" t="s">
        <v>70</v>
      </c>
      <c r="AB1312" t="s">
        <v>277</v>
      </c>
      <c r="AC1312" t="s">
        <v>278</v>
      </c>
      <c r="AD1312" t="s">
        <v>168</v>
      </c>
      <c r="AE1312" t="s">
        <v>279</v>
      </c>
      <c r="AF1312">
        <v>5092</v>
      </c>
      <c r="AG1312" t="s">
        <v>274</v>
      </c>
      <c r="AI1312" t="s">
        <v>59</v>
      </c>
      <c r="AL1312" t="s">
        <v>3716</v>
      </c>
      <c r="AM1312" t="s">
        <v>281</v>
      </c>
      <c r="AN1312" s="3">
        <v>46080.917361111111</v>
      </c>
      <c r="AO1312" t="s">
        <v>2072</v>
      </c>
    </row>
    <row r="1313" spans="1:41" x14ac:dyDescent="0.3">
      <c r="A1313" t="s">
        <v>168</v>
      </c>
      <c r="B1313" t="s">
        <v>266</v>
      </c>
      <c r="D1313" t="s">
        <v>268</v>
      </c>
      <c r="E1313" s="1">
        <v>46080</v>
      </c>
      <c r="F1313" t="s">
        <v>2113</v>
      </c>
      <c r="G1313" t="s">
        <v>128</v>
      </c>
      <c r="H1313" s="2">
        <v>0.54166666666666663</v>
      </c>
      <c r="I1313" s="2">
        <v>0.89583333333333337</v>
      </c>
      <c r="J1313" t="s">
        <v>296</v>
      </c>
      <c r="K1313" t="s">
        <v>297</v>
      </c>
      <c r="L1313" t="s">
        <v>2603</v>
      </c>
      <c r="M1313" t="s">
        <v>1365</v>
      </c>
      <c r="N1313" t="s">
        <v>1365</v>
      </c>
      <c r="O1313">
        <v>22974</v>
      </c>
      <c r="Q1313" t="s">
        <v>274</v>
      </c>
      <c r="R1313" t="s">
        <v>176</v>
      </c>
      <c r="S1313" t="s">
        <v>52</v>
      </c>
      <c r="U1313">
        <v>892080</v>
      </c>
      <c r="V1313" s="3">
        <v>45993.429166666669</v>
      </c>
      <c r="W1313" t="s">
        <v>2604</v>
      </c>
      <c r="X1313" t="s">
        <v>2605</v>
      </c>
      <c r="Y1313" t="str">
        <f>"0426662717"</f>
        <v>0426662717</v>
      </c>
      <c r="Z1313" t="s">
        <v>3717</v>
      </c>
      <c r="AB1313" t="s">
        <v>277</v>
      </c>
      <c r="AC1313" t="s">
        <v>278</v>
      </c>
      <c r="AD1313" t="s">
        <v>168</v>
      </c>
      <c r="AE1313" t="s">
        <v>279</v>
      </c>
      <c r="AF1313">
        <v>5092</v>
      </c>
      <c r="AG1313" t="s">
        <v>274</v>
      </c>
      <c r="AI1313" t="s">
        <v>59</v>
      </c>
      <c r="AL1313" t="s">
        <v>3718</v>
      </c>
      <c r="AM1313" t="s">
        <v>281</v>
      </c>
      <c r="AN1313" s="3">
        <v>46080.922222222223</v>
      </c>
      <c r="AO1313" t="s">
        <v>2604</v>
      </c>
    </row>
    <row r="1314" spans="1:41" x14ac:dyDescent="0.3">
      <c r="A1314" t="s">
        <v>61</v>
      </c>
      <c r="B1314" t="s">
        <v>912</v>
      </c>
      <c r="C1314" t="s">
        <v>913</v>
      </c>
      <c r="D1314" t="s">
        <v>184</v>
      </c>
      <c r="E1314" s="1">
        <v>46080</v>
      </c>
      <c r="F1314" t="s">
        <v>2113</v>
      </c>
      <c r="G1314" t="s">
        <v>128</v>
      </c>
      <c r="H1314" s="2">
        <v>0.54166666666666663</v>
      </c>
      <c r="I1314" s="2">
        <v>0.99861111111111112</v>
      </c>
      <c r="J1314" t="s">
        <v>46</v>
      </c>
      <c r="L1314" t="s">
        <v>47</v>
      </c>
      <c r="M1314" t="s">
        <v>603</v>
      </c>
      <c r="N1314" t="s">
        <v>604</v>
      </c>
      <c r="O1314">
        <v>80</v>
      </c>
      <c r="Q1314" t="s">
        <v>3719</v>
      </c>
      <c r="R1314" t="s">
        <v>67</v>
      </c>
      <c r="S1314" t="s">
        <v>52</v>
      </c>
      <c r="U1314">
        <v>892053</v>
      </c>
      <c r="V1314" s="3">
        <v>46076.490277777775</v>
      </c>
      <c r="W1314" t="s">
        <v>605</v>
      </c>
      <c r="X1314" t="s">
        <v>606</v>
      </c>
      <c r="Y1314" t="str">
        <f>"0414330986"</f>
        <v>0414330986</v>
      </c>
      <c r="Z1314" t="s">
        <v>70</v>
      </c>
      <c r="AA1314" s="1">
        <v>46080</v>
      </c>
      <c r="AB1314" t="s">
        <v>920</v>
      </c>
      <c r="AC1314" t="s">
        <v>921</v>
      </c>
      <c r="AD1314" t="s">
        <v>61</v>
      </c>
      <c r="AE1314" t="s">
        <v>922</v>
      </c>
      <c r="AF1314">
        <v>2228</v>
      </c>
      <c r="AG1314" t="s">
        <v>916</v>
      </c>
      <c r="AI1314" t="s">
        <v>59</v>
      </c>
      <c r="AL1314" t="s">
        <v>3720</v>
      </c>
      <c r="AN1314" s="3">
        <v>46080.800000000003</v>
      </c>
      <c r="AO1314" t="s">
        <v>605</v>
      </c>
    </row>
    <row r="1315" spans="1:41" x14ac:dyDescent="0.3">
      <c r="A1315" t="s">
        <v>168</v>
      </c>
      <c r="B1315" t="s">
        <v>336</v>
      </c>
      <c r="D1315" t="s">
        <v>268</v>
      </c>
      <c r="E1315" s="1">
        <v>46080</v>
      </c>
      <c r="F1315" t="s">
        <v>2113</v>
      </c>
      <c r="G1315" t="s">
        <v>128</v>
      </c>
      <c r="H1315" s="2">
        <v>0.54166666666666663</v>
      </c>
      <c r="I1315" s="2">
        <v>0.89583333333333337</v>
      </c>
      <c r="J1315" t="s">
        <v>296</v>
      </c>
      <c r="K1315" t="s">
        <v>338</v>
      </c>
      <c r="L1315" t="s">
        <v>339</v>
      </c>
      <c r="M1315" t="s">
        <v>340</v>
      </c>
      <c r="N1315" t="s">
        <v>341</v>
      </c>
      <c r="O1315">
        <v>5951711</v>
      </c>
      <c r="P1315" t="s">
        <v>338</v>
      </c>
      <c r="Q1315" t="s">
        <v>342</v>
      </c>
      <c r="R1315" t="s">
        <v>176</v>
      </c>
      <c r="S1315" t="s">
        <v>52</v>
      </c>
      <c r="U1315">
        <v>892011</v>
      </c>
      <c r="V1315" s="3">
        <v>46063.561111111114</v>
      </c>
      <c r="W1315" t="s">
        <v>343</v>
      </c>
      <c r="X1315" t="s">
        <v>344</v>
      </c>
      <c r="Y1315" t="str">
        <f>"0422996486"</f>
        <v>0422996486</v>
      </c>
      <c r="Z1315" t="s">
        <v>375</v>
      </c>
      <c r="AA1315" s="1">
        <v>46080</v>
      </c>
      <c r="AB1315" t="s">
        <v>346</v>
      </c>
      <c r="AD1315" t="s">
        <v>168</v>
      </c>
      <c r="AE1315" t="s">
        <v>347</v>
      </c>
      <c r="AF1315">
        <v>5042</v>
      </c>
      <c r="AG1315" t="s">
        <v>342</v>
      </c>
      <c r="AI1315" t="s">
        <v>59</v>
      </c>
      <c r="AL1315" t="s">
        <v>3721</v>
      </c>
      <c r="AM1315" t="s">
        <v>349</v>
      </c>
      <c r="AN1315" s="3">
        <v>46080.563194444447</v>
      </c>
      <c r="AO1315" t="s">
        <v>343</v>
      </c>
    </row>
    <row r="1316" spans="1:41" x14ac:dyDescent="0.3">
      <c r="A1316" t="s">
        <v>61</v>
      </c>
      <c r="B1316" t="s">
        <v>182</v>
      </c>
      <c r="C1316" t="s">
        <v>100</v>
      </c>
      <c r="D1316" t="s">
        <v>184</v>
      </c>
      <c r="E1316" s="1">
        <v>46080</v>
      </c>
      <c r="F1316" t="s">
        <v>2113</v>
      </c>
      <c r="G1316" t="s">
        <v>128</v>
      </c>
      <c r="H1316" s="2">
        <v>0.54166666666666663</v>
      </c>
      <c r="I1316" s="2">
        <v>0.89583333333333337</v>
      </c>
      <c r="J1316" t="s">
        <v>100</v>
      </c>
      <c r="L1316" t="s">
        <v>100</v>
      </c>
      <c r="M1316" t="s">
        <v>2327</v>
      </c>
      <c r="N1316" t="s">
        <v>2328</v>
      </c>
      <c r="O1316">
        <v>21018</v>
      </c>
      <c r="Q1316" t="s">
        <v>3722</v>
      </c>
      <c r="R1316" t="s">
        <v>67</v>
      </c>
      <c r="S1316" t="s">
        <v>52</v>
      </c>
      <c r="U1316">
        <v>892049</v>
      </c>
      <c r="V1316" s="3">
        <v>46044.34097222222</v>
      </c>
      <c r="W1316" t="s">
        <v>2329</v>
      </c>
      <c r="X1316" t="s">
        <v>2330</v>
      </c>
      <c r="Y1316" t="str">
        <f>"0470381674"</f>
        <v>0470381674</v>
      </c>
      <c r="Z1316" t="s">
        <v>3627</v>
      </c>
      <c r="AA1316" s="1">
        <v>46080</v>
      </c>
      <c r="AB1316" t="s">
        <v>193</v>
      </c>
      <c r="AD1316" t="s">
        <v>61</v>
      </c>
      <c r="AE1316" t="s">
        <v>194</v>
      </c>
      <c r="AF1316">
        <v>2229</v>
      </c>
      <c r="AG1316" t="s">
        <v>1045</v>
      </c>
      <c r="AI1316" t="s">
        <v>59</v>
      </c>
      <c r="AL1316" t="s">
        <v>3624</v>
      </c>
      <c r="AN1316" s="3">
        <v>46080.788888888892</v>
      </c>
      <c r="AO1316" t="s">
        <v>2329</v>
      </c>
    </row>
    <row r="1317" spans="1:41" x14ac:dyDescent="0.3">
      <c r="A1317" t="s">
        <v>168</v>
      </c>
      <c r="B1317" t="s">
        <v>282</v>
      </c>
      <c r="C1317" t="s">
        <v>43</v>
      </c>
      <c r="D1317" t="s">
        <v>283</v>
      </c>
      <c r="E1317" s="1">
        <v>46080</v>
      </c>
      <c r="F1317" t="s">
        <v>2113</v>
      </c>
      <c r="G1317" t="s">
        <v>128</v>
      </c>
      <c r="H1317" s="2">
        <v>0.5625</v>
      </c>
      <c r="I1317" s="2">
        <v>0.77083333333333337</v>
      </c>
      <c r="J1317" t="s">
        <v>185</v>
      </c>
      <c r="K1317" t="s">
        <v>284</v>
      </c>
      <c r="L1317" t="s">
        <v>186</v>
      </c>
      <c r="M1317" t="s">
        <v>1214</v>
      </c>
      <c r="N1317" t="s">
        <v>1215</v>
      </c>
      <c r="O1317">
        <v>21599</v>
      </c>
      <c r="Q1317" t="s">
        <v>287</v>
      </c>
      <c r="R1317" t="s">
        <v>231</v>
      </c>
      <c r="S1317" t="s">
        <v>52</v>
      </c>
      <c r="U1317">
        <v>892045</v>
      </c>
      <c r="V1317" s="3">
        <v>46077.540972222225</v>
      </c>
      <c r="W1317" t="s">
        <v>1216</v>
      </c>
      <c r="X1317" t="s">
        <v>1217</v>
      </c>
      <c r="Y1317" t="str">
        <f>"0408807092"</f>
        <v>0408807092</v>
      </c>
      <c r="Z1317" t="s">
        <v>366</v>
      </c>
      <c r="AB1317" t="s">
        <v>291</v>
      </c>
      <c r="AC1317" t="s">
        <v>292</v>
      </c>
      <c r="AD1317" t="s">
        <v>168</v>
      </c>
      <c r="AE1317" t="s">
        <v>293</v>
      </c>
      <c r="AF1317">
        <v>5037</v>
      </c>
      <c r="AG1317" t="s">
        <v>287</v>
      </c>
      <c r="AI1317" t="s">
        <v>59</v>
      </c>
      <c r="AL1317" t="s">
        <v>3723</v>
      </c>
      <c r="AN1317" s="3">
        <v>46080.759722222225</v>
      </c>
      <c r="AO1317" t="s">
        <v>1216</v>
      </c>
    </row>
    <row r="1318" spans="1:41" x14ac:dyDescent="0.3">
      <c r="A1318" t="s">
        <v>168</v>
      </c>
      <c r="B1318" t="s">
        <v>1958</v>
      </c>
      <c r="C1318" t="s">
        <v>43</v>
      </c>
      <c r="D1318" t="s">
        <v>309</v>
      </c>
      <c r="E1318" s="1">
        <v>46080</v>
      </c>
      <c r="F1318" t="s">
        <v>2113</v>
      </c>
      <c r="G1318" t="s">
        <v>128</v>
      </c>
      <c r="H1318" s="2">
        <v>0.5625</v>
      </c>
      <c r="I1318" s="2">
        <v>0.91666666666666663</v>
      </c>
      <c r="J1318" t="s">
        <v>185</v>
      </c>
      <c r="K1318" t="s">
        <v>667</v>
      </c>
      <c r="L1318" t="s">
        <v>186</v>
      </c>
      <c r="M1318" t="s">
        <v>3724</v>
      </c>
      <c r="N1318" t="s">
        <v>3725</v>
      </c>
      <c r="O1318">
        <v>5951740</v>
      </c>
      <c r="Q1318" t="s">
        <v>413</v>
      </c>
      <c r="R1318" t="s">
        <v>231</v>
      </c>
      <c r="S1318" t="s">
        <v>52</v>
      </c>
      <c r="U1318">
        <v>892140</v>
      </c>
      <c r="V1318" s="3">
        <v>46078.513888888891</v>
      </c>
      <c r="W1318" t="s">
        <v>3726</v>
      </c>
      <c r="X1318" t="s">
        <v>3727</v>
      </c>
      <c r="Y1318" t="str">
        <f>"0420480820"</f>
        <v>0420480820</v>
      </c>
      <c r="Z1318" t="s">
        <v>70</v>
      </c>
      <c r="AA1318" s="1">
        <v>46080</v>
      </c>
      <c r="AB1318" t="s">
        <v>1961</v>
      </c>
      <c r="AD1318" t="s">
        <v>168</v>
      </c>
      <c r="AE1318" t="s">
        <v>856</v>
      </c>
      <c r="AF1318">
        <v>5112</v>
      </c>
      <c r="AI1318" t="s">
        <v>59</v>
      </c>
      <c r="AL1318" t="s">
        <v>3728</v>
      </c>
      <c r="AM1318" t="s">
        <v>3729</v>
      </c>
      <c r="AN1318" s="3">
        <v>46081.51458333333</v>
      </c>
      <c r="AO1318" t="s">
        <v>3726</v>
      </c>
    </row>
    <row r="1319" spans="1:41" x14ac:dyDescent="0.3">
      <c r="A1319" t="s">
        <v>41</v>
      </c>
      <c r="B1319" t="s">
        <v>1219</v>
      </c>
      <c r="C1319" t="s">
        <v>43</v>
      </c>
      <c r="D1319" t="s">
        <v>184</v>
      </c>
      <c r="E1319" s="1">
        <v>46080</v>
      </c>
      <c r="F1319" t="s">
        <v>2113</v>
      </c>
      <c r="G1319" t="s">
        <v>128</v>
      </c>
      <c r="H1319" s="2">
        <v>0.5625</v>
      </c>
      <c r="I1319" s="2">
        <v>0.91666666666666663</v>
      </c>
      <c r="J1319" t="s">
        <v>46</v>
      </c>
      <c r="L1319" t="s">
        <v>47</v>
      </c>
      <c r="M1319" t="s">
        <v>1220</v>
      </c>
      <c r="N1319" t="s">
        <v>1221</v>
      </c>
      <c r="O1319">
        <v>5950857</v>
      </c>
      <c r="Q1319" t="s">
        <v>1222</v>
      </c>
      <c r="R1319" t="s">
        <v>723</v>
      </c>
      <c r="S1319" t="s">
        <v>52</v>
      </c>
      <c r="U1319">
        <v>892067</v>
      </c>
      <c r="V1319" s="3">
        <v>46065.433333333334</v>
      </c>
      <c r="W1319" t="s">
        <v>1223</v>
      </c>
      <c r="X1319" t="s">
        <v>1224</v>
      </c>
      <c r="Y1319" t="str">
        <f>"0431426020"</f>
        <v>0431426020</v>
      </c>
      <c r="Z1319" t="s">
        <v>2531</v>
      </c>
      <c r="AB1319" t="s">
        <v>1226</v>
      </c>
      <c r="AD1319" t="s">
        <v>41</v>
      </c>
      <c r="AE1319" t="s">
        <v>1227</v>
      </c>
      <c r="AF1319">
        <v>4217</v>
      </c>
      <c r="AG1319" t="s">
        <v>1222</v>
      </c>
      <c r="AI1319" t="s">
        <v>59</v>
      </c>
      <c r="AN1319" s="3">
        <v>46080.870138888888</v>
      </c>
      <c r="AO1319" t="s">
        <v>1223</v>
      </c>
    </row>
    <row r="1320" spans="1:41" x14ac:dyDescent="0.3">
      <c r="A1320" t="s">
        <v>61</v>
      </c>
      <c r="B1320" t="s">
        <v>1937</v>
      </c>
      <c r="C1320" t="s">
        <v>1627</v>
      </c>
      <c r="D1320" t="s">
        <v>184</v>
      </c>
      <c r="E1320" s="1">
        <v>46080</v>
      </c>
      <c r="F1320" t="s">
        <v>2113</v>
      </c>
      <c r="G1320" t="s">
        <v>128</v>
      </c>
      <c r="H1320" s="2">
        <v>0.58333333333333337</v>
      </c>
      <c r="I1320" s="2">
        <v>0.91666666666666663</v>
      </c>
      <c r="J1320" t="s">
        <v>486</v>
      </c>
      <c r="L1320" t="s">
        <v>487</v>
      </c>
      <c r="M1320" t="s">
        <v>1645</v>
      </c>
      <c r="N1320" t="s">
        <v>1646</v>
      </c>
      <c r="O1320">
        <v>5951065</v>
      </c>
      <c r="Q1320" t="s">
        <v>3730</v>
      </c>
      <c r="R1320" t="s">
        <v>67</v>
      </c>
      <c r="S1320" t="s">
        <v>52</v>
      </c>
      <c r="U1320">
        <v>892083</v>
      </c>
      <c r="V1320" s="3">
        <v>46071.42291666667</v>
      </c>
      <c r="W1320" t="s">
        <v>1647</v>
      </c>
      <c r="X1320" t="s">
        <v>1648</v>
      </c>
      <c r="Y1320" t="str">
        <f>"0408979009"</f>
        <v>0408979009</v>
      </c>
      <c r="Z1320" t="s">
        <v>545</v>
      </c>
      <c r="AB1320" t="s">
        <v>1942</v>
      </c>
      <c r="AD1320" t="s">
        <v>61</v>
      </c>
      <c r="AE1320" t="s">
        <v>1943</v>
      </c>
      <c r="AF1320">
        <v>2065</v>
      </c>
      <c r="AG1320" t="s">
        <v>3731</v>
      </c>
      <c r="AI1320" t="s">
        <v>59</v>
      </c>
      <c r="AL1320" t="s">
        <v>3624</v>
      </c>
      <c r="AN1320" s="3">
        <v>46080.929861111108</v>
      </c>
      <c r="AO1320" t="s">
        <v>1647</v>
      </c>
    </row>
    <row r="1321" spans="1:41" x14ac:dyDescent="0.3">
      <c r="A1321" t="s">
        <v>61</v>
      </c>
      <c r="B1321" t="s">
        <v>3025</v>
      </c>
      <c r="C1321" t="s">
        <v>43</v>
      </c>
      <c r="D1321" t="s">
        <v>184</v>
      </c>
      <c r="E1321" s="1">
        <v>46080</v>
      </c>
      <c r="F1321" t="s">
        <v>2113</v>
      </c>
      <c r="G1321" t="s">
        <v>128</v>
      </c>
      <c r="H1321" s="2">
        <v>0.58333333333333337</v>
      </c>
      <c r="I1321" s="2">
        <v>0.89583333333333337</v>
      </c>
      <c r="J1321" t="s">
        <v>46</v>
      </c>
      <c r="L1321" t="s">
        <v>47</v>
      </c>
      <c r="M1321" t="s">
        <v>1578</v>
      </c>
      <c r="N1321" t="s">
        <v>1803</v>
      </c>
      <c r="O1321">
        <v>5950668</v>
      </c>
      <c r="Q1321" t="s">
        <v>3026</v>
      </c>
      <c r="R1321" t="s">
        <v>500</v>
      </c>
      <c r="S1321" t="s">
        <v>52</v>
      </c>
      <c r="U1321">
        <v>892084</v>
      </c>
      <c r="V1321" s="3">
        <v>46077.768750000003</v>
      </c>
      <c r="W1321" t="s">
        <v>1804</v>
      </c>
      <c r="X1321" t="s">
        <v>1805</v>
      </c>
      <c r="Y1321" t="str">
        <f>"0429048174"</f>
        <v>0429048174</v>
      </c>
      <c r="Z1321" t="s">
        <v>70</v>
      </c>
      <c r="AA1321" s="1">
        <v>46080</v>
      </c>
      <c r="AB1321" t="s">
        <v>3027</v>
      </c>
      <c r="AD1321" t="s">
        <v>61</v>
      </c>
      <c r="AE1321" t="s">
        <v>1848</v>
      </c>
      <c r="AF1321">
        <v>2217</v>
      </c>
      <c r="AG1321" t="s">
        <v>3026</v>
      </c>
      <c r="AI1321" t="s">
        <v>59</v>
      </c>
      <c r="AL1321" t="s">
        <v>3624</v>
      </c>
      <c r="AN1321" s="3">
        <v>46080.935416666667</v>
      </c>
      <c r="AO1321" t="s">
        <v>1804</v>
      </c>
    </row>
    <row r="1322" spans="1:41" x14ac:dyDescent="0.3">
      <c r="A1322" t="s">
        <v>306</v>
      </c>
      <c r="B1322" t="s">
        <v>386</v>
      </c>
      <c r="C1322" t="s">
        <v>387</v>
      </c>
      <c r="D1322" t="s">
        <v>388</v>
      </c>
      <c r="E1322" s="1">
        <v>46080</v>
      </c>
      <c r="F1322" t="s">
        <v>2113</v>
      </c>
      <c r="G1322" t="s">
        <v>128</v>
      </c>
      <c r="H1322" s="2">
        <v>0.58333333333333337</v>
      </c>
      <c r="I1322" s="2">
        <v>0.91666666666666663</v>
      </c>
      <c r="J1322" t="s">
        <v>389</v>
      </c>
      <c r="L1322" t="s">
        <v>298</v>
      </c>
      <c r="M1322" t="s">
        <v>195</v>
      </c>
      <c r="N1322" t="s">
        <v>390</v>
      </c>
      <c r="O1322">
        <v>5951661</v>
      </c>
      <c r="P1322" t="s">
        <v>249</v>
      </c>
      <c r="Q1322" t="s">
        <v>391</v>
      </c>
      <c r="R1322" t="s">
        <v>392</v>
      </c>
      <c r="S1322" t="s">
        <v>52</v>
      </c>
      <c r="T1322" t="s">
        <v>252</v>
      </c>
      <c r="U1322">
        <v>892422</v>
      </c>
      <c r="V1322" s="3">
        <v>46084.618750000001</v>
      </c>
      <c r="W1322" t="s">
        <v>393</v>
      </c>
      <c r="X1322" t="s">
        <v>394</v>
      </c>
      <c r="Y1322" t="str">
        <f>"0427371732"</f>
        <v>0427371732</v>
      </c>
      <c r="Z1322" t="s">
        <v>503</v>
      </c>
      <c r="AA1322" s="1">
        <v>46141</v>
      </c>
      <c r="AB1322" t="s">
        <v>396</v>
      </c>
      <c r="AD1322" t="s">
        <v>397</v>
      </c>
      <c r="AE1322" t="s">
        <v>398</v>
      </c>
      <c r="AF1322">
        <v>7919</v>
      </c>
      <c r="AG1322" t="s">
        <v>399</v>
      </c>
      <c r="AI1322" t="s">
        <v>59</v>
      </c>
      <c r="AJ1322" t="str">
        <f>"0090000067"</f>
        <v>0090000067</v>
      </c>
      <c r="AN1322" s="3">
        <v>46084.618750000001</v>
      </c>
      <c r="AO1322" t="s">
        <v>392</v>
      </c>
    </row>
    <row r="1323" spans="1:41" x14ac:dyDescent="0.3">
      <c r="A1323" t="s">
        <v>41</v>
      </c>
      <c r="B1323" t="s">
        <v>1284</v>
      </c>
      <c r="C1323" t="s">
        <v>296</v>
      </c>
      <c r="D1323" t="s">
        <v>1286</v>
      </c>
      <c r="E1323" s="1">
        <v>46080</v>
      </c>
      <c r="F1323" t="s">
        <v>2113</v>
      </c>
      <c r="G1323" t="s">
        <v>128</v>
      </c>
      <c r="H1323" s="2">
        <v>0.58333333333333337</v>
      </c>
      <c r="I1323" s="2">
        <v>0.9375</v>
      </c>
      <c r="J1323" t="s">
        <v>296</v>
      </c>
      <c r="L1323" t="s">
        <v>1453</v>
      </c>
      <c r="M1323" t="s">
        <v>3226</v>
      </c>
      <c r="N1323" t="s">
        <v>518</v>
      </c>
      <c r="O1323">
        <v>5952424</v>
      </c>
      <c r="Q1323" t="s">
        <v>2098</v>
      </c>
      <c r="R1323" t="s">
        <v>51</v>
      </c>
      <c r="S1323" t="s">
        <v>52</v>
      </c>
      <c r="U1323">
        <v>892095</v>
      </c>
      <c r="V1323" s="3">
        <v>46070.45208333333</v>
      </c>
      <c r="W1323" t="s">
        <v>3227</v>
      </c>
      <c r="X1323" t="s">
        <v>3228</v>
      </c>
      <c r="Y1323" t="str">
        <f>"0426367609"</f>
        <v>0426367609</v>
      </c>
      <c r="Z1323" t="s">
        <v>243</v>
      </c>
      <c r="AB1323" t="s">
        <v>1288</v>
      </c>
      <c r="AD1323" t="s">
        <v>41</v>
      </c>
      <c r="AE1323" t="s">
        <v>150</v>
      </c>
      <c r="AF1323">
        <v>4000</v>
      </c>
      <c r="AG1323" t="s">
        <v>2098</v>
      </c>
      <c r="AI1323" t="s">
        <v>59</v>
      </c>
      <c r="AL1323" t="s">
        <v>1407</v>
      </c>
      <c r="AN1323" s="3">
        <v>46080.980555555558</v>
      </c>
      <c r="AO1323" t="s">
        <v>3227</v>
      </c>
    </row>
    <row r="1324" spans="1:41" x14ac:dyDescent="0.3">
      <c r="A1324" t="s">
        <v>168</v>
      </c>
      <c r="B1324" t="s">
        <v>376</v>
      </c>
      <c r="C1324" t="s">
        <v>100</v>
      </c>
      <c r="D1324" t="s">
        <v>127</v>
      </c>
      <c r="E1324" s="1">
        <v>46080</v>
      </c>
      <c r="F1324" t="s">
        <v>2113</v>
      </c>
      <c r="G1324" t="s">
        <v>128</v>
      </c>
      <c r="H1324" s="2">
        <v>0.58333333333333337</v>
      </c>
      <c r="I1324" s="2">
        <v>0.875</v>
      </c>
      <c r="J1324" t="s">
        <v>100</v>
      </c>
      <c r="L1324" t="s">
        <v>100</v>
      </c>
      <c r="M1324" t="s">
        <v>2288</v>
      </c>
      <c r="N1324" t="s">
        <v>2289</v>
      </c>
      <c r="O1324">
        <v>5951792</v>
      </c>
      <c r="Q1324" t="s">
        <v>379</v>
      </c>
      <c r="R1324" t="s">
        <v>380</v>
      </c>
      <c r="S1324" t="s">
        <v>52</v>
      </c>
      <c r="U1324">
        <v>892056</v>
      </c>
      <c r="V1324" s="3">
        <v>46045.370833333334</v>
      </c>
      <c r="W1324" t="s">
        <v>2290</v>
      </c>
      <c r="X1324" t="s">
        <v>2291</v>
      </c>
      <c r="Y1324" t="str">
        <f>"0402715058"</f>
        <v>0402715058</v>
      </c>
      <c r="Z1324" t="s">
        <v>375</v>
      </c>
      <c r="AA1324" s="1">
        <v>46080</v>
      </c>
      <c r="AB1324" t="s">
        <v>383</v>
      </c>
      <c r="AD1324" t="s">
        <v>168</v>
      </c>
      <c r="AE1324" t="s">
        <v>384</v>
      </c>
      <c r="AF1324">
        <v>5000</v>
      </c>
      <c r="AI1324" t="s">
        <v>59</v>
      </c>
      <c r="AL1324" t="s">
        <v>385</v>
      </c>
      <c r="AN1324" s="3">
        <v>46080.805555555555</v>
      </c>
      <c r="AO1324" t="s">
        <v>2290</v>
      </c>
    </row>
    <row r="1325" spans="1:41" x14ac:dyDescent="0.3">
      <c r="A1325" t="s">
        <v>168</v>
      </c>
      <c r="B1325" t="s">
        <v>282</v>
      </c>
      <c r="C1325" t="s">
        <v>170</v>
      </c>
      <c r="D1325" t="s">
        <v>283</v>
      </c>
      <c r="E1325" s="1">
        <v>46080</v>
      </c>
      <c r="F1325" t="s">
        <v>2113</v>
      </c>
      <c r="G1325" t="s">
        <v>128</v>
      </c>
      <c r="H1325" s="2">
        <v>0.58333333333333337</v>
      </c>
      <c r="I1325" s="2">
        <v>0.79166666666666663</v>
      </c>
      <c r="J1325" t="s">
        <v>170</v>
      </c>
      <c r="K1325" t="s">
        <v>77</v>
      </c>
      <c r="L1325" t="s">
        <v>47</v>
      </c>
      <c r="M1325" t="s">
        <v>1089</v>
      </c>
      <c r="N1325" t="s">
        <v>1024</v>
      </c>
      <c r="O1325">
        <v>20963</v>
      </c>
      <c r="Q1325" t="s">
        <v>287</v>
      </c>
      <c r="R1325" t="s">
        <v>231</v>
      </c>
      <c r="S1325" t="s">
        <v>52</v>
      </c>
      <c r="U1325">
        <v>892066</v>
      </c>
      <c r="V1325" s="3">
        <v>46077.540972222225</v>
      </c>
      <c r="W1325" t="s">
        <v>1091</v>
      </c>
      <c r="X1325" t="s">
        <v>1092</v>
      </c>
      <c r="Y1325" t="str">
        <f>"0430222501"</f>
        <v>0430222501</v>
      </c>
      <c r="Z1325" t="s">
        <v>1635</v>
      </c>
      <c r="AB1325" t="s">
        <v>291</v>
      </c>
      <c r="AC1325" t="s">
        <v>292</v>
      </c>
      <c r="AD1325" t="s">
        <v>168</v>
      </c>
      <c r="AE1325" t="s">
        <v>293</v>
      </c>
      <c r="AF1325">
        <v>5037</v>
      </c>
      <c r="AG1325" t="s">
        <v>287</v>
      </c>
      <c r="AI1325" t="s">
        <v>59</v>
      </c>
      <c r="AL1325" t="s">
        <v>3732</v>
      </c>
      <c r="AN1325" s="3">
        <v>46080.859027777777</v>
      </c>
      <c r="AO1325" t="s">
        <v>1091</v>
      </c>
    </row>
    <row r="1326" spans="1:41" x14ac:dyDescent="0.3">
      <c r="A1326" t="s">
        <v>41</v>
      </c>
      <c r="B1326" t="s">
        <v>589</v>
      </c>
      <c r="C1326" t="s">
        <v>590</v>
      </c>
      <c r="D1326" t="s">
        <v>246</v>
      </c>
      <c r="E1326" s="1">
        <v>46080</v>
      </c>
      <c r="F1326" t="s">
        <v>2113</v>
      </c>
      <c r="G1326" t="s">
        <v>128</v>
      </c>
      <c r="H1326" s="2">
        <v>0.60416666666666663</v>
      </c>
      <c r="I1326" s="2">
        <v>0.95833333333333337</v>
      </c>
      <c r="J1326" t="s">
        <v>591</v>
      </c>
      <c r="L1326" t="s">
        <v>592</v>
      </c>
      <c r="M1326" t="s">
        <v>593</v>
      </c>
      <c r="N1326" t="s">
        <v>594</v>
      </c>
      <c r="O1326">
        <v>5952427</v>
      </c>
      <c r="P1326" t="s">
        <v>249</v>
      </c>
      <c r="Q1326" t="s">
        <v>596</v>
      </c>
      <c r="R1326" t="s">
        <v>392</v>
      </c>
      <c r="S1326" t="s">
        <v>52</v>
      </c>
      <c r="T1326" t="s">
        <v>252</v>
      </c>
      <c r="U1326">
        <v>892269</v>
      </c>
      <c r="V1326" s="3">
        <v>46083.681250000001</v>
      </c>
      <c r="W1326" t="s">
        <v>597</v>
      </c>
      <c r="X1326" t="s">
        <v>598</v>
      </c>
      <c r="Y1326" t="str">
        <f>"0432677728"</f>
        <v>0432677728</v>
      </c>
      <c r="Z1326" t="s">
        <v>345</v>
      </c>
      <c r="AA1326" s="1">
        <v>46082</v>
      </c>
      <c r="AB1326" t="s">
        <v>599</v>
      </c>
      <c r="AC1326" t="s">
        <v>600</v>
      </c>
      <c r="AD1326" t="s">
        <v>41</v>
      </c>
      <c r="AE1326" t="s">
        <v>600</v>
      </c>
      <c r="AF1326">
        <v>4610</v>
      </c>
      <c r="AG1326" t="s">
        <v>601</v>
      </c>
      <c r="AI1326" t="s">
        <v>59</v>
      </c>
      <c r="AJ1326" t="str">
        <f>"0050075752"</f>
        <v>0050075752</v>
      </c>
      <c r="AN1326" s="3">
        <v>46083.681250000001</v>
      </c>
      <c r="AO1326" t="s">
        <v>392</v>
      </c>
    </row>
    <row r="1327" spans="1:41" x14ac:dyDescent="0.3">
      <c r="A1327" t="s">
        <v>61</v>
      </c>
      <c r="B1327" t="s">
        <v>753</v>
      </c>
      <c r="C1327" t="s">
        <v>484</v>
      </c>
      <c r="D1327" t="s">
        <v>754</v>
      </c>
      <c r="E1327" s="1">
        <v>46080</v>
      </c>
      <c r="F1327" t="s">
        <v>2113</v>
      </c>
      <c r="G1327" t="s">
        <v>128</v>
      </c>
      <c r="H1327" s="2">
        <v>0.60416666666666663</v>
      </c>
      <c r="I1327" s="2">
        <v>0.95833333333333337</v>
      </c>
      <c r="J1327" t="s">
        <v>486</v>
      </c>
      <c r="L1327" t="s">
        <v>487</v>
      </c>
      <c r="M1327" t="s">
        <v>3733</v>
      </c>
      <c r="N1327" t="s">
        <v>3734</v>
      </c>
      <c r="O1327">
        <v>5952085</v>
      </c>
      <c r="Q1327" t="s">
        <v>758</v>
      </c>
      <c r="R1327" t="s">
        <v>132</v>
      </c>
      <c r="S1327" t="s">
        <v>52</v>
      </c>
      <c r="U1327">
        <v>892094</v>
      </c>
      <c r="V1327" s="3">
        <v>46069.347222222219</v>
      </c>
      <c r="W1327" t="s">
        <v>3735</v>
      </c>
      <c r="X1327" t="s">
        <v>3736</v>
      </c>
      <c r="Y1327" t="str">
        <f>"0431813647"</f>
        <v>0431813647</v>
      </c>
      <c r="Z1327" t="s">
        <v>545</v>
      </c>
      <c r="AA1327" s="1">
        <v>46080</v>
      </c>
      <c r="AB1327" t="s">
        <v>764</v>
      </c>
      <c r="AD1327" t="s">
        <v>61</v>
      </c>
      <c r="AE1327" t="s">
        <v>765</v>
      </c>
      <c r="AF1327">
        <v>2220</v>
      </c>
      <c r="AG1327" t="s">
        <v>758</v>
      </c>
      <c r="AI1327" t="s">
        <v>59</v>
      </c>
      <c r="AL1327" t="s">
        <v>3624</v>
      </c>
      <c r="AN1327" s="3">
        <v>46080.96597222222</v>
      </c>
      <c r="AO1327" t="s">
        <v>3735</v>
      </c>
    </row>
    <row r="1328" spans="1:41" x14ac:dyDescent="0.3">
      <c r="A1328" t="s">
        <v>168</v>
      </c>
      <c r="B1328" t="s">
        <v>215</v>
      </c>
      <c r="C1328" t="s">
        <v>745</v>
      </c>
      <c r="D1328" t="s">
        <v>127</v>
      </c>
      <c r="E1328" s="1">
        <v>46080</v>
      </c>
      <c r="F1328" t="s">
        <v>2113</v>
      </c>
      <c r="G1328" t="s">
        <v>128</v>
      </c>
      <c r="H1328" s="2">
        <v>0.60416666666666663</v>
      </c>
      <c r="I1328" s="2">
        <v>0.9375</v>
      </c>
      <c r="J1328" t="s">
        <v>296</v>
      </c>
      <c r="L1328" t="s">
        <v>2436</v>
      </c>
      <c r="M1328" t="s">
        <v>3737</v>
      </c>
      <c r="N1328" t="s">
        <v>2370</v>
      </c>
      <c r="O1328">
        <v>5950847</v>
      </c>
      <c r="Q1328" t="s">
        <v>1969</v>
      </c>
      <c r="R1328" t="s">
        <v>1302</v>
      </c>
      <c r="S1328" t="s">
        <v>52</v>
      </c>
      <c r="U1328">
        <v>892081</v>
      </c>
      <c r="V1328" s="3">
        <v>46079.85</v>
      </c>
      <c r="W1328" t="s">
        <v>3738</v>
      </c>
      <c r="X1328" t="s">
        <v>3739</v>
      </c>
      <c r="Y1328" t="str">
        <f>"0494112022"</f>
        <v>0494112022</v>
      </c>
      <c r="Z1328" t="s">
        <v>70</v>
      </c>
      <c r="AA1328" s="1">
        <v>46080</v>
      </c>
      <c r="AB1328" t="s">
        <v>222</v>
      </c>
      <c r="AD1328" t="s">
        <v>168</v>
      </c>
      <c r="AE1328" t="s">
        <v>223</v>
      </c>
      <c r="AF1328">
        <v>5069</v>
      </c>
      <c r="AG1328" t="s">
        <v>3740</v>
      </c>
      <c r="AI1328" t="s">
        <v>59</v>
      </c>
      <c r="AL1328" t="s">
        <v>3689</v>
      </c>
      <c r="AN1328" s="3">
        <v>46080.927777777775</v>
      </c>
      <c r="AO1328" t="s">
        <v>3738</v>
      </c>
    </row>
    <row r="1329" spans="1:41" x14ac:dyDescent="0.3">
      <c r="A1329" t="s">
        <v>41</v>
      </c>
      <c r="B1329" t="s">
        <v>3741</v>
      </c>
      <c r="C1329" t="s">
        <v>296</v>
      </c>
      <c r="D1329" t="s">
        <v>63</v>
      </c>
      <c r="E1329" s="1">
        <v>46080</v>
      </c>
      <c r="F1329" t="s">
        <v>2113</v>
      </c>
      <c r="G1329" t="s">
        <v>128</v>
      </c>
      <c r="H1329" s="2">
        <v>0.60416666666666663</v>
      </c>
      <c r="I1329" s="2">
        <v>0.9375</v>
      </c>
      <c r="J1329" t="s">
        <v>296</v>
      </c>
      <c r="K1329" t="s">
        <v>3742</v>
      </c>
      <c r="L1329" t="s">
        <v>1453</v>
      </c>
      <c r="M1329" t="s">
        <v>3743</v>
      </c>
      <c r="N1329" t="s">
        <v>3744</v>
      </c>
      <c r="O1329">
        <v>5952466</v>
      </c>
      <c r="Q1329" t="s">
        <v>3745</v>
      </c>
      <c r="R1329" t="s">
        <v>1302</v>
      </c>
      <c r="S1329" t="s">
        <v>52</v>
      </c>
      <c r="U1329">
        <v>892114</v>
      </c>
      <c r="V1329" s="3">
        <v>46079.981249999997</v>
      </c>
      <c r="W1329" t="s">
        <v>3746</v>
      </c>
      <c r="X1329" t="s">
        <v>3747</v>
      </c>
      <c r="Y1329" t="str">
        <f>"0494605432"</f>
        <v>0494605432</v>
      </c>
      <c r="Z1329" t="s">
        <v>123</v>
      </c>
      <c r="AA1329" s="1">
        <v>46080</v>
      </c>
      <c r="AB1329" t="s">
        <v>3748</v>
      </c>
      <c r="AD1329" t="s">
        <v>41</v>
      </c>
      <c r="AE1329" t="s">
        <v>3749</v>
      </c>
      <c r="AF1329">
        <v>4021</v>
      </c>
      <c r="AG1329" t="s">
        <v>3750</v>
      </c>
      <c r="AI1329" t="s">
        <v>59</v>
      </c>
      <c r="AL1329" t="s">
        <v>214</v>
      </c>
      <c r="AN1329" s="3">
        <v>46080.99722222222</v>
      </c>
      <c r="AO1329" t="s">
        <v>3746</v>
      </c>
    </row>
    <row r="1330" spans="1:41" x14ac:dyDescent="0.3">
      <c r="A1330" t="s">
        <v>41</v>
      </c>
      <c r="B1330" t="s">
        <v>551</v>
      </c>
      <c r="C1330" t="s">
        <v>296</v>
      </c>
      <c r="D1330" t="s">
        <v>246</v>
      </c>
      <c r="E1330" s="1">
        <v>46080</v>
      </c>
      <c r="F1330" t="s">
        <v>2113</v>
      </c>
      <c r="G1330" t="s">
        <v>128</v>
      </c>
      <c r="H1330" s="2">
        <v>0.625</v>
      </c>
      <c r="I1330" s="2">
        <v>0.95833333333333337</v>
      </c>
      <c r="J1330" t="s">
        <v>296</v>
      </c>
      <c r="K1330" t="s">
        <v>427</v>
      </c>
      <c r="L1330" t="s">
        <v>428</v>
      </c>
      <c r="M1330" t="s">
        <v>429</v>
      </c>
      <c r="N1330" t="s">
        <v>430</v>
      </c>
      <c r="O1330">
        <v>5950727</v>
      </c>
      <c r="Q1330" t="s">
        <v>2261</v>
      </c>
      <c r="R1330" t="s">
        <v>51</v>
      </c>
      <c r="S1330" t="s">
        <v>52</v>
      </c>
      <c r="U1330">
        <v>892119</v>
      </c>
      <c r="V1330" s="3">
        <v>46080.402083333334</v>
      </c>
      <c r="W1330" t="s">
        <v>432</v>
      </c>
      <c r="X1330" t="s">
        <v>433</v>
      </c>
      <c r="Y1330" t="str">
        <f>"0420946792"</f>
        <v>0420946792</v>
      </c>
      <c r="Z1330" t="s">
        <v>70</v>
      </c>
      <c r="AA1330" s="1">
        <v>46080</v>
      </c>
      <c r="AB1330" t="s">
        <v>559</v>
      </c>
      <c r="AD1330" t="s">
        <v>41</v>
      </c>
      <c r="AE1330" t="s">
        <v>560</v>
      </c>
      <c r="AF1330">
        <v>4131</v>
      </c>
      <c r="AG1330" t="s">
        <v>2033</v>
      </c>
      <c r="AI1330" t="s">
        <v>59</v>
      </c>
      <c r="AL1330" t="s">
        <v>3751</v>
      </c>
      <c r="AN1330" s="3">
        <v>46081</v>
      </c>
      <c r="AO1330" t="s">
        <v>432</v>
      </c>
    </row>
    <row r="1331" spans="1:41" x14ac:dyDescent="0.3">
      <c r="A1331" t="s">
        <v>168</v>
      </c>
      <c r="B1331" t="s">
        <v>2398</v>
      </c>
      <c r="C1331" t="s">
        <v>2348</v>
      </c>
      <c r="D1331" t="s">
        <v>127</v>
      </c>
      <c r="E1331" s="1">
        <v>46080</v>
      </c>
      <c r="F1331" t="s">
        <v>2113</v>
      </c>
      <c r="G1331" t="s">
        <v>128</v>
      </c>
      <c r="H1331" s="2">
        <v>0.625</v>
      </c>
      <c r="I1331" s="2">
        <v>0.83333333333333337</v>
      </c>
      <c r="J1331" t="s">
        <v>170</v>
      </c>
      <c r="K1331" t="s">
        <v>171</v>
      </c>
      <c r="L1331" t="s">
        <v>204</v>
      </c>
      <c r="M1331" t="s">
        <v>205</v>
      </c>
      <c r="N1331" t="s">
        <v>206</v>
      </c>
      <c r="O1331">
        <v>21706</v>
      </c>
      <c r="Q1331" t="s">
        <v>2399</v>
      </c>
      <c r="R1331" t="s">
        <v>176</v>
      </c>
      <c r="S1331" t="s">
        <v>52</v>
      </c>
      <c r="U1331">
        <v>892054</v>
      </c>
      <c r="V1331" s="3">
        <v>46069.520833333336</v>
      </c>
      <c r="W1331" t="s">
        <v>209</v>
      </c>
      <c r="X1331" t="s">
        <v>210</v>
      </c>
      <c r="Y1331" t="str">
        <f>"0415862070"</f>
        <v>0415862070</v>
      </c>
      <c r="Z1331" t="s">
        <v>123</v>
      </c>
      <c r="AB1331" t="s">
        <v>2400</v>
      </c>
      <c r="AD1331" t="s">
        <v>168</v>
      </c>
      <c r="AE1331" t="s">
        <v>2401</v>
      </c>
      <c r="AF1331">
        <v>5006</v>
      </c>
      <c r="AG1331" t="s">
        <v>2399</v>
      </c>
      <c r="AI1331" t="s">
        <v>59</v>
      </c>
      <c r="AL1331" t="s">
        <v>3752</v>
      </c>
      <c r="AN1331" s="3">
        <v>46080.801388888889</v>
      </c>
      <c r="AO1331" t="s">
        <v>209</v>
      </c>
    </row>
    <row r="1332" spans="1:41" x14ac:dyDescent="0.3">
      <c r="A1332" t="s">
        <v>306</v>
      </c>
      <c r="B1332" t="s">
        <v>450</v>
      </c>
      <c r="C1332" t="s">
        <v>100</v>
      </c>
      <c r="D1332" t="s">
        <v>63</v>
      </c>
      <c r="E1332" s="1">
        <v>46080</v>
      </c>
      <c r="F1332" t="s">
        <v>2113</v>
      </c>
      <c r="G1332" t="s">
        <v>128</v>
      </c>
      <c r="H1332" s="2">
        <v>0.625</v>
      </c>
      <c r="I1332" s="2">
        <v>0.91666666666666663</v>
      </c>
      <c r="J1332" t="s">
        <v>100</v>
      </c>
      <c r="L1332" t="s">
        <v>473</v>
      </c>
      <c r="M1332" t="s">
        <v>474</v>
      </c>
      <c r="N1332" t="s">
        <v>475</v>
      </c>
      <c r="O1332">
        <v>5950662</v>
      </c>
      <c r="Q1332" t="s">
        <v>455</v>
      </c>
      <c r="R1332" t="s">
        <v>132</v>
      </c>
      <c r="S1332" t="s">
        <v>52</v>
      </c>
      <c r="U1332">
        <v>892121</v>
      </c>
      <c r="V1332" s="3">
        <v>46072.5</v>
      </c>
      <c r="W1332" t="s">
        <v>477</v>
      </c>
      <c r="X1332" t="s">
        <v>478</v>
      </c>
      <c r="Y1332" t="str">
        <f>"0449808311"</f>
        <v>0449808311</v>
      </c>
      <c r="Z1332" t="s">
        <v>782</v>
      </c>
      <c r="AA1332" s="1">
        <v>46080</v>
      </c>
      <c r="AB1332" t="s">
        <v>459</v>
      </c>
      <c r="AD1332" t="s">
        <v>306</v>
      </c>
      <c r="AE1332" t="s">
        <v>460</v>
      </c>
      <c r="AF1332">
        <v>3058</v>
      </c>
      <c r="AG1332" t="s">
        <v>2397</v>
      </c>
      <c r="AI1332" t="s">
        <v>59</v>
      </c>
      <c r="AL1332" t="s">
        <v>87</v>
      </c>
      <c r="AN1332" s="3">
        <v>46081.017361111109</v>
      </c>
      <c r="AO1332" t="s">
        <v>477</v>
      </c>
    </row>
    <row r="1333" spans="1:41" x14ac:dyDescent="0.3">
      <c r="A1333" t="s">
        <v>306</v>
      </c>
      <c r="B1333" t="s">
        <v>1060</v>
      </c>
      <c r="C1333" t="s">
        <v>100</v>
      </c>
      <c r="D1333" t="s">
        <v>184</v>
      </c>
      <c r="E1333" s="1">
        <v>46080</v>
      </c>
      <c r="F1333" t="s">
        <v>2113</v>
      </c>
      <c r="G1333" t="s">
        <v>485</v>
      </c>
      <c r="H1333" s="2">
        <v>0.625</v>
      </c>
      <c r="I1333" s="2">
        <v>4.1666666666666664E-2</v>
      </c>
      <c r="J1333" t="s">
        <v>1061</v>
      </c>
      <c r="L1333" t="s">
        <v>452</v>
      </c>
      <c r="M1333" t="s">
        <v>1980</v>
      </c>
      <c r="N1333" t="s">
        <v>1981</v>
      </c>
      <c r="O1333">
        <v>21297</v>
      </c>
      <c r="Q1333" t="s">
        <v>705</v>
      </c>
      <c r="R1333" t="s">
        <v>1248</v>
      </c>
      <c r="S1333" t="s">
        <v>119</v>
      </c>
      <c r="T1333" t="s">
        <v>414</v>
      </c>
      <c r="U1333">
        <v>892225</v>
      </c>
      <c r="V1333" s="3">
        <v>46079.722222222219</v>
      </c>
      <c r="W1333" t="s">
        <v>1983</v>
      </c>
      <c r="X1333" t="s">
        <v>1984</v>
      </c>
      <c r="Y1333" t="str">
        <f>"0434131195"</f>
        <v>0434131195</v>
      </c>
      <c r="Z1333" t="s">
        <v>70</v>
      </c>
      <c r="AB1333" t="s">
        <v>1066</v>
      </c>
      <c r="AD1333" t="s">
        <v>306</v>
      </c>
      <c r="AE1333" t="s">
        <v>1067</v>
      </c>
      <c r="AF1333">
        <v>3084</v>
      </c>
      <c r="AI1333" t="s">
        <v>59</v>
      </c>
      <c r="AL1333" t="s">
        <v>3753</v>
      </c>
      <c r="AM1333" t="s">
        <v>3754</v>
      </c>
      <c r="AN1333" s="3">
        <v>46079.779166666667</v>
      </c>
      <c r="AO1333" t="s">
        <v>1248</v>
      </c>
    </row>
    <row r="1334" spans="1:41" x14ac:dyDescent="0.3">
      <c r="A1334" t="s">
        <v>168</v>
      </c>
      <c r="B1334" t="s">
        <v>215</v>
      </c>
      <c r="C1334" t="s">
        <v>202</v>
      </c>
      <c r="D1334" t="s">
        <v>127</v>
      </c>
      <c r="E1334" s="1">
        <v>46080</v>
      </c>
      <c r="F1334" t="s">
        <v>2113</v>
      </c>
      <c r="G1334" t="s">
        <v>128</v>
      </c>
      <c r="H1334" s="2">
        <v>0.66666666666666663</v>
      </c>
      <c r="I1334" s="2">
        <v>0.83333333333333337</v>
      </c>
      <c r="J1334" t="s">
        <v>46</v>
      </c>
      <c r="L1334" t="s">
        <v>159</v>
      </c>
      <c r="M1334" t="s">
        <v>3755</v>
      </c>
      <c r="N1334" t="s">
        <v>3756</v>
      </c>
      <c r="O1334">
        <v>5950673</v>
      </c>
      <c r="Q1334" t="s">
        <v>219</v>
      </c>
      <c r="R1334" t="s">
        <v>556</v>
      </c>
      <c r="S1334" t="s">
        <v>52</v>
      </c>
      <c r="U1334">
        <v>892063</v>
      </c>
      <c r="V1334" s="3">
        <v>46057.086805555555</v>
      </c>
      <c r="W1334" t="s">
        <v>3757</v>
      </c>
      <c r="X1334" t="s">
        <v>3758</v>
      </c>
      <c r="Y1334" t="str">
        <f>"0418827201"</f>
        <v>0418827201</v>
      </c>
      <c r="Z1334" t="s">
        <v>70</v>
      </c>
      <c r="AA1334" s="1">
        <v>46080</v>
      </c>
      <c r="AB1334" t="s">
        <v>222</v>
      </c>
      <c r="AD1334" t="s">
        <v>168</v>
      </c>
      <c r="AE1334" t="s">
        <v>223</v>
      </c>
      <c r="AF1334">
        <v>5069</v>
      </c>
      <c r="AG1334" t="s">
        <v>219</v>
      </c>
      <c r="AI1334" t="s">
        <v>59</v>
      </c>
      <c r="AL1334" t="s">
        <v>3689</v>
      </c>
      <c r="AN1334" s="3">
        <v>46080.840277777781</v>
      </c>
      <c r="AO1334" t="s">
        <v>3757</v>
      </c>
    </row>
    <row r="1335" spans="1:41" x14ac:dyDescent="0.3">
      <c r="A1335" t="s">
        <v>306</v>
      </c>
      <c r="B1335" t="s">
        <v>699</v>
      </c>
      <c r="C1335" t="s">
        <v>43</v>
      </c>
      <c r="D1335" t="s">
        <v>700</v>
      </c>
      <c r="E1335" s="1">
        <v>46080</v>
      </c>
      <c r="F1335" t="s">
        <v>2113</v>
      </c>
      <c r="G1335" t="s">
        <v>128</v>
      </c>
      <c r="H1335" s="2">
        <v>0.66666666666666663</v>
      </c>
      <c r="I1335" s="2">
        <v>0.875</v>
      </c>
      <c r="J1335" t="s">
        <v>46</v>
      </c>
      <c r="K1335" t="s">
        <v>3759</v>
      </c>
      <c r="L1335" t="s">
        <v>1327</v>
      </c>
      <c r="M1335" t="s">
        <v>1328</v>
      </c>
      <c r="N1335" t="s">
        <v>1329</v>
      </c>
      <c r="O1335">
        <v>20185</v>
      </c>
      <c r="Q1335" t="s">
        <v>3760</v>
      </c>
      <c r="R1335" t="s">
        <v>476</v>
      </c>
      <c r="S1335" t="s">
        <v>52</v>
      </c>
      <c r="U1335">
        <v>892064</v>
      </c>
      <c r="V1335" s="3">
        <v>46080.450694444444</v>
      </c>
      <c r="W1335" t="s">
        <v>1331</v>
      </c>
      <c r="X1335" t="s">
        <v>1332</v>
      </c>
      <c r="Y1335" t="str">
        <f>"0422616195"</f>
        <v>0422616195</v>
      </c>
      <c r="Z1335" t="s">
        <v>70</v>
      </c>
      <c r="AA1335" s="1">
        <v>46080</v>
      </c>
      <c r="AB1335" t="s">
        <v>708</v>
      </c>
      <c r="AD1335" t="s">
        <v>306</v>
      </c>
      <c r="AE1335" t="s">
        <v>709</v>
      </c>
      <c r="AF1335">
        <v>3806</v>
      </c>
      <c r="AI1335" t="s">
        <v>59</v>
      </c>
      <c r="AL1335" t="s">
        <v>3761</v>
      </c>
      <c r="AM1335" t="s">
        <v>3762</v>
      </c>
      <c r="AN1335" s="3">
        <v>46080.855555555558</v>
      </c>
      <c r="AO1335" t="s">
        <v>1331</v>
      </c>
    </row>
    <row r="1336" spans="1:41" x14ac:dyDescent="0.3">
      <c r="A1336" t="s">
        <v>61</v>
      </c>
      <c r="B1336" t="s">
        <v>1937</v>
      </c>
      <c r="C1336" t="s">
        <v>529</v>
      </c>
      <c r="D1336" t="s">
        <v>184</v>
      </c>
      <c r="E1336" s="1">
        <v>46080</v>
      </c>
      <c r="F1336" t="s">
        <v>2113</v>
      </c>
      <c r="G1336" t="s">
        <v>485</v>
      </c>
      <c r="H1336" s="2">
        <v>0.79166666666666663</v>
      </c>
      <c r="I1336" s="2">
        <v>0.3125</v>
      </c>
      <c r="J1336" t="s">
        <v>529</v>
      </c>
      <c r="L1336" t="s">
        <v>47</v>
      </c>
      <c r="M1336" t="s">
        <v>3763</v>
      </c>
      <c r="N1336" t="s">
        <v>3764</v>
      </c>
      <c r="O1336">
        <v>21177</v>
      </c>
      <c r="Q1336" t="s">
        <v>3765</v>
      </c>
      <c r="R1336" t="s">
        <v>132</v>
      </c>
      <c r="S1336" t="s">
        <v>52</v>
      </c>
      <c r="U1336">
        <v>892123</v>
      </c>
      <c r="V1336" s="3">
        <v>46079.400694444441</v>
      </c>
      <c r="W1336" t="s">
        <v>3766</v>
      </c>
      <c r="X1336" t="s">
        <v>3767</v>
      </c>
      <c r="Y1336" t="str">
        <f>"0400582047"</f>
        <v>0400582047</v>
      </c>
      <c r="Z1336" t="s">
        <v>55</v>
      </c>
      <c r="AA1336" s="1">
        <v>46080</v>
      </c>
      <c r="AB1336" t="s">
        <v>1942</v>
      </c>
      <c r="AD1336" t="s">
        <v>61</v>
      </c>
      <c r="AE1336" t="s">
        <v>1943</v>
      </c>
      <c r="AF1336">
        <v>2065</v>
      </c>
      <c r="AG1336" t="s">
        <v>2986</v>
      </c>
      <c r="AI1336" t="s">
        <v>59</v>
      </c>
      <c r="AL1336" t="s">
        <v>3768</v>
      </c>
      <c r="AN1336" s="3">
        <v>46081.267361111109</v>
      </c>
      <c r="AO1336" t="s">
        <v>3766</v>
      </c>
    </row>
    <row r="1337" spans="1:41" x14ac:dyDescent="0.3">
      <c r="A1337" t="s">
        <v>61</v>
      </c>
      <c r="B1337" t="s">
        <v>507</v>
      </c>
      <c r="D1337" t="s">
        <v>63</v>
      </c>
      <c r="E1337" s="1">
        <v>46080</v>
      </c>
      <c r="F1337" t="s">
        <v>2113</v>
      </c>
      <c r="G1337" t="s">
        <v>485</v>
      </c>
      <c r="H1337" s="2">
        <v>0.79166666666666663</v>
      </c>
      <c r="I1337" s="2">
        <v>0.3125</v>
      </c>
      <c r="J1337" t="s">
        <v>296</v>
      </c>
      <c r="L1337" t="s">
        <v>298</v>
      </c>
      <c r="M1337" t="s">
        <v>508</v>
      </c>
      <c r="N1337" t="s">
        <v>509</v>
      </c>
      <c r="O1337">
        <v>22014</v>
      </c>
      <c r="Q1337" t="s">
        <v>353</v>
      </c>
      <c r="R1337" t="s">
        <v>67</v>
      </c>
      <c r="S1337" t="s">
        <v>52</v>
      </c>
      <c r="U1337">
        <v>892128</v>
      </c>
      <c r="V1337" s="3">
        <v>46070.411111111112</v>
      </c>
      <c r="W1337" t="s">
        <v>511</v>
      </c>
      <c r="X1337" t="s">
        <v>512</v>
      </c>
      <c r="Y1337" t="str">
        <f>"0430326260"</f>
        <v>0430326260</v>
      </c>
      <c r="Z1337" t="s">
        <v>243</v>
      </c>
      <c r="AB1337" t="s">
        <v>514</v>
      </c>
      <c r="AD1337" t="s">
        <v>61</v>
      </c>
      <c r="AE1337" t="s">
        <v>515</v>
      </c>
      <c r="AF1337">
        <v>2086</v>
      </c>
      <c r="AG1337" t="s">
        <v>3769</v>
      </c>
      <c r="AI1337" t="s">
        <v>59</v>
      </c>
      <c r="AL1337" t="s">
        <v>3624</v>
      </c>
      <c r="AN1337" s="3">
        <v>46081.308333333334</v>
      </c>
      <c r="AO1337" t="s">
        <v>511</v>
      </c>
    </row>
    <row r="1338" spans="1:41" x14ac:dyDescent="0.3">
      <c r="A1338" t="s">
        <v>168</v>
      </c>
      <c r="B1338" t="s">
        <v>3770</v>
      </c>
      <c r="C1338" t="s">
        <v>296</v>
      </c>
      <c r="D1338" t="s">
        <v>268</v>
      </c>
      <c r="E1338" s="1">
        <v>46080</v>
      </c>
      <c r="F1338" t="s">
        <v>2113</v>
      </c>
      <c r="G1338" t="s">
        <v>485</v>
      </c>
      <c r="H1338" s="2">
        <v>0.875</v>
      </c>
      <c r="I1338" s="2">
        <v>0.29166666666666669</v>
      </c>
      <c r="J1338" t="s">
        <v>296</v>
      </c>
      <c r="K1338" t="s">
        <v>270</v>
      </c>
      <c r="L1338" t="s">
        <v>3771</v>
      </c>
      <c r="M1338" t="s">
        <v>3772</v>
      </c>
      <c r="N1338" t="s">
        <v>3773</v>
      </c>
      <c r="O1338">
        <v>5951260</v>
      </c>
      <c r="Q1338" t="s">
        <v>3774</v>
      </c>
      <c r="R1338" t="s">
        <v>231</v>
      </c>
      <c r="S1338" t="s">
        <v>52</v>
      </c>
      <c r="U1338">
        <v>892127</v>
      </c>
      <c r="V1338" s="3">
        <v>46080.519444444442</v>
      </c>
      <c r="W1338" t="s">
        <v>3775</v>
      </c>
      <c r="X1338" t="s">
        <v>3776</v>
      </c>
      <c r="Y1338" t="str">
        <f>"0421509910"</f>
        <v>0421509910</v>
      </c>
      <c r="Z1338" t="s">
        <v>70</v>
      </c>
      <c r="AA1338" s="1">
        <v>46080</v>
      </c>
      <c r="AB1338" t="s">
        <v>3770</v>
      </c>
      <c r="AC1338" t="s">
        <v>3777</v>
      </c>
      <c r="AD1338" t="s">
        <v>168</v>
      </c>
      <c r="AE1338" t="s">
        <v>3778</v>
      </c>
      <c r="AF1338">
        <v>5352</v>
      </c>
      <c r="AI1338" t="s">
        <v>59</v>
      </c>
      <c r="AL1338" t="s">
        <v>3779</v>
      </c>
      <c r="AM1338" t="s">
        <v>3780</v>
      </c>
      <c r="AN1338" s="3">
        <v>46081.303472222222</v>
      </c>
      <c r="AO1338" t="s">
        <v>3775</v>
      </c>
    </row>
    <row r="1339" spans="1:41" x14ac:dyDescent="0.3">
      <c r="A1339" t="s">
        <v>168</v>
      </c>
      <c r="B1339" t="s">
        <v>336</v>
      </c>
      <c r="D1339" t="s">
        <v>268</v>
      </c>
      <c r="E1339" s="1">
        <v>46080</v>
      </c>
      <c r="F1339" t="s">
        <v>2113</v>
      </c>
      <c r="G1339" t="s">
        <v>485</v>
      </c>
      <c r="H1339" s="2">
        <v>0.875</v>
      </c>
      <c r="I1339" s="2">
        <v>0.3125</v>
      </c>
      <c r="J1339" t="s">
        <v>296</v>
      </c>
      <c r="K1339" t="s">
        <v>270</v>
      </c>
      <c r="L1339" t="s">
        <v>47</v>
      </c>
      <c r="M1339" t="s">
        <v>517</v>
      </c>
      <c r="N1339" t="s">
        <v>518</v>
      </c>
      <c r="O1339">
        <v>5951368</v>
      </c>
      <c r="Q1339" t="s">
        <v>342</v>
      </c>
      <c r="R1339" t="s">
        <v>176</v>
      </c>
      <c r="S1339" t="s">
        <v>52</v>
      </c>
      <c r="U1339">
        <v>892077</v>
      </c>
      <c r="V1339" s="3">
        <v>46063.545138888891</v>
      </c>
      <c r="W1339" t="s">
        <v>519</v>
      </c>
      <c r="X1339" t="s">
        <v>520</v>
      </c>
      <c r="Y1339" t="str">
        <f>"0420208072"</f>
        <v>0420208072</v>
      </c>
      <c r="Z1339" t="s">
        <v>1540</v>
      </c>
      <c r="AB1339" t="s">
        <v>346</v>
      </c>
      <c r="AD1339" t="s">
        <v>168</v>
      </c>
      <c r="AE1339" t="s">
        <v>347</v>
      </c>
      <c r="AF1339">
        <v>5042</v>
      </c>
      <c r="AG1339" t="s">
        <v>342</v>
      </c>
      <c r="AI1339" t="s">
        <v>59</v>
      </c>
      <c r="AL1339" t="s">
        <v>3718</v>
      </c>
      <c r="AM1339" t="s">
        <v>349</v>
      </c>
      <c r="AN1339" s="3">
        <v>46080.904861111114</v>
      </c>
      <c r="AO1339" t="s">
        <v>519</v>
      </c>
    </row>
    <row r="1340" spans="1:41" x14ac:dyDescent="0.3">
      <c r="A1340" t="s">
        <v>168</v>
      </c>
      <c r="B1340" t="s">
        <v>336</v>
      </c>
      <c r="D1340" t="s">
        <v>268</v>
      </c>
      <c r="E1340" s="1">
        <v>46080</v>
      </c>
      <c r="F1340" t="s">
        <v>2113</v>
      </c>
      <c r="G1340" t="s">
        <v>485</v>
      </c>
      <c r="H1340" s="2">
        <v>0.875</v>
      </c>
      <c r="I1340" s="2">
        <v>0.3125</v>
      </c>
      <c r="J1340" t="s">
        <v>296</v>
      </c>
      <c r="K1340" t="s">
        <v>338</v>
      </c>
      <c r="L1340" t="s">
        <v>522</v>
      </c>
      <c r="M1340" t="s">
        <v>523</v>
      </c>
      <c r="N1340" t="s">
        <v>524</v>
      </c>
      <c r="O1340">
        <v>5951086</v>
      </c>
      <c r="P1340" t="s">
        <v>338</v>
      </c>
      <c r="Q1340" t="s">
        <v>342</v>
      </c>
      <c r="R1340" t="s">
        <v>176</v>
      </c>
      <c r="S1340" t="s">
        <v>52</v>
      </c>
      <c r="U1340">
        <v>892082</v>
      </c>
      <c r="V1340" s="3">
        <v>46063.549305555556</v>
      </c>
      <c r="W1340" t="s">
        <v>525</v>
      </c>
      <c r="X1340" t="s">
        <v>526</v>
      </c>
      <c r="Y1340" t="str">
        <f>"0415251474"</f>
        <v>0415251474</v>
      </c>
      <c r="Z1340" t="s">
        <v>234</v>
      </c>
      <c r="AA1340" s="1">
        <v>46080</v>
      </c>
      <c r="AB1340" t="s">
        <v>346</v>
      </c>
      <c r="AD1340" t="s">
        <v>168</v>
      </c>
      <c r="AE1340" t="s">
        <v>347</v>
      </c>
      <c r="AF1340">
        <v>5042</v>
      </c>
      <c r="AG1340" t="s">
        <v>342</v>
      </c>
      <c r="AI1340" t="s">
        <v>59</v>
      </c>
      <c r="AL1340" t="s">
        <v>3718</v>
      </c>
      <c r="AM1340" t="s">
        <v>349</v>
      </c>
      <c r="AN1340" s="3">
        <v>46080.929861111108</v>
      </c>
      <c r="AO1340" t="s">
        <v>525</v>
      </c>
    </row>
    <row r="1341" spans="1:41" x14ac:dyDescent="0.3">
      <c r="A1341" t="s">
        <v>61</v>
      </c>
      <c r="B1341" t="s">
        <v>1462</v>
      </c>
      <c r="C1341" t="s">
        <v>296</v>
      </c>
      <c r="D1341" t="s">
        <v>90</v>
      </c>
      <c r="E1341" s="1">
        <v>46080</v>
      </c>
      <c r="F1341" t="s">
        <v>2113</v>
      </c>
      <c r="G1341" t="s">
        <v>485</v>
      </c>
      <c r="H1341" s="2">
        <v>0.89583333333333337</v>
      </c>
      <c r="I1341" s="2">
        <v>0.3125</v>
      </c>
      <c r="J1341" t="s">
        <v>296</v>
      </c>
      <c r="L1341" t="s">
        <v>713</v>
      </c>
      <c r="M1341" t="s">
        <v>3781</v>
      </c>
      <c r="N1341" t="s">
        <v>3782</v>
      </c>
      <c r="O1341">
        <v>5952482</v>
      </c>
      <c r="Q1341" t="s">
        <v>3783</v>
      </c>
      <c r="R1341" t="s">
        <v>67</v>
      </c>
      <c r="S1341" t="s">
        <v>52</v>
      </c>
      <c r="U1341">
        <v>892125</v>
      </c>
      <c r="V1341" s="3">
        <v>46078.411111111112</v>
      </c>
      <c r="W1341" t="s">
        <v>3784</v>
      </c>
      <c r="X1341" t="s">
        <v>3785</v>
      </c>
      <c r="Y1341" t="str">
        <f>"0431163009"</f>
        <v>0431163009</v>
      </c>
      <c r="Z1341" t="s">
        <v>3207</v>
      </c>
      <c r="AB1341" t="s">
        <v>1468</v>
      </c>
      <c r="AD1341" t="s">
        <v>61</v>
      </c>
      <c r="AE1341" t="s">
        <v>1469</v>
      </c>
      <c r="AF1341">
        <v>2060</v>
      </c>
      <c r="AG1341" t="s">
        <v>2875</v>
      </c>
      <c r="AI1341" t="s">
        <v>59</v>
      </c>
      <c r="AL1341" t="s">
        <v>370</v>
      </c>
      <c r="AN1341" s="3">
        <v>46081.286805555559</v>
      </c>
      <c r="AO1341" t="s">
        <v>3784</v>
      </c>
    </row>
    <row r="1342" spans="1:41" x14ac:dyDescent="0.3">
      <c r="A1342" t="s">
        <v>61</v>
      </c>
      <c r="B1342" t="s">
        <v>1462</v>
      </c>
      <c r="C1342" t="s">
        <v>484</v>
      </c>
      <c r="D1342" t="s">
        <v>90</v>
      </c>
      <c r="E1342" s="1">
        <v>46080</v>
      </c>
      <c r="F1342" t="s">
        <v>2113</v>
      </c>
      <c r="G1342" t="s">
        <v>485</v>
      </c>
      <c r="H1342" s="2">
        <v>0.89583333333333337</v>
      </c>
      <c r="I1342" s="2">
        <v>0.3125</v>
      </c>
      <c r="J1342" t="s">
        <v>486</v>
      </c>
      <c r="L1342" t="s">
        <v>487</v>
      </c>
      <c r="M1342" t="s">
        <v>1578</v>
      </c>
      <c r="N1342" t="s">
        <v>3786</v>
      </c>
      <c r="O1342">
        <v>5951273</v>
      </c>
      <c r="Q1342" t="s">
        <v>541</v>
      </c>
      <c r="R1342" t="s">
        <v>67</v>
      </c>
      <c r="S1342" t="s">
        <v>52</v>
      </c>
      <c r="U1342">
        <v>892126</v>
      </c>
      <c r="V1342" s="3">
        <v>46079.618055555555</v>
      </c>
      <c r="W1342" t="s">
        <v>3787</v>
      </c>
      <c r="X1342" t="s">
        <v>3788</v>
      </c>
      <c r="Y1342" t="str">
        <f>"0413492261"</f>
        <v>0413492261</v>
      </c>
      <c r="Z1342" t="s">
        <v>503</v>
      </c>
      <c r="AB1342" t="s">
        <v>1468</v>
      </c>
      <c r="AD1342" t="s">
        <v>61</v>
      </c>
      <c r="AE1342" t="s">
        <v>1469</v>
      </c>
      <c r="AF1342">
        <v>2060</v>
      </c>
      <c r="AG1342" t="s">
        <v>1744</v>
      </c>
      <c r="AI1342" t="s">
        <v>59</v>
      </c>
      <c r="AL1342" t="s">
        <v>2152</v>
      </c>
      <c r="AN1342" s="3">
        <v>46081.291666666664</v>
      </c>
      <c r="AO1342" t="s">
        <v>3787</v>
      </c>
    </row>
    <row r="1343" spans="1:41" x14ac:dyDescent="0.3">
      <c r="A1343" t="s">
        <v>61</v>
      </c>
      <c r="B1343" t="s">
        <v>350</v>
      </c>
      <c r="C1343" t="s">
        <v>484</v>
      </c>
      <c r="D1343" t="s">
        <v>63</v>
      </c>
      <c r="E1343" s="1">
        <v>46080</v>
      </c>
      <c r="F1343" t="s">
        <v>2113</v>
      </c>
      <c r="G1343" t="s">
        <v>485</v>
      </c>
      <c r="H1343" s="2">
        <v>0.89583333333333337</v>
      </c>
      <c r="I1343" s="2">
        <v>0.29166666666666669</v>
      </c>
      <c r="J1343" t="s">
        <v>590</v>
      </c>
      <c r="L1343" t="s">
        <v>487</v>
      </c>
      <c r="M1343" t="s">
        <v>3789</v>
      </c>
      <c r="N1343" t="s">
        <v>3790</v>
      </c>
      <c r="O1343">
        <v>5951666</v>
      </c>
      <c r="Q1343" t="s">
        <v>785</v>
      </c>
      <c r="R1343" t="s">
        <v>67</v>
      </c>
      <c r="S1343" t="s">
        <v>52</v>
      </c>
      <c r="U1343">
        <v>892124</v>
      </c>
      <c r="V1343" s="3">
        <v>46051.521527777775</v>
      </c>
      <c r="W1343" t="s">
        <v>3791</v>
      </c>
      <c r="X1343" t="s">
        <v>3792</v>
      </c>
      <c r="Y1343" t="str">
        <f>"0404505571"</f>
        <v>0404505571</v>
      </c>
      <c r="Z1343" t="s">
        <v>458</v>
      </c>
      <c r="AB1343" t="s">
        <v>356</v>
      </c>
      <c r="AD1343" t="s">
        <v>61</v>
      </c>
      <c r="AE1343" t="s">
        <v>357</v>
      </c>
      <c r="AF1343">
        <v>2153</v>
      </c>
      <c r="AG1343" t="s">
        <v>3793</v>
      </c>
      <c r="AI1343" t="s">
        <v>59</v>
      </c>
      <c r="AL1343" t="s">
        <v>3624</v>
      </c>
      <c r="AN1343" s="3">
        <v>46081.285416666666</v>
      </c>
      <c r="AO1343" t="s">
        <v>3791</v>
      </c>
    </row>
    <row r="1344" spans="1:41" x14ac:dyDescent="0.3">
      <c r="A1344" t="s">
        <v>41</v>
      </c>
      <c r="B1344" t="s">
        <v>462</v>
      </c>
      <c r="C1344" t="s">
        <v>296</v>
      </c>
      <c r="D1344" t="s">
        <v>63</v>
      </c>
      <c r="E1344" s="1">
        <v>46080</v>
      </c>
      <c r="F1344" t="s">
        <v>2113</v>
      </c>
      <c r="G1344" t="s">
        <v>485</v>
      </c>
      <c r="H1344" s="2">
        <v>0.9375</v>
      </c>
      <c r="I1344" s="2">
        <v>0.29166666666666669</v>
      </c>
      <c r="J1344" t="s">
        <v>296</v>
      </c>
      <c r="L1344" t="s">
        <v>633</v>
      </c>
      <c r="M1344" t="s">
        <v>2090</v>
      </c>
      <c r="N1344" t="s">
        <v>1396</v>
      </c>
      <c r="O1344">
        <v>402502</v>
      </c>
      <c r="Q1344" t="s">
        <v>3794</v>
      </c>
      <c r="R1344" t="s">
        <v>723</v>
      </c>
      <c r="S1344" t="s">
        <v>52</v>
      </c>
      <c r="U1344">
        <v>892129</v>
      </c>
      <c r="V1344" s="3">
        <v>46080.400694444441</v>
      </c>
      <c r="W1344" t="s">
        <v>2092</v>
      </c>
      <c r="X1344" t="s">
        <v>2093</v>
      </c>
      <c r="Y1344" t="str">
        <f>"0413242523"</f>
        <v>0413242523</v>
      </c>
      <c r="Z1344" t="s">
        <v>55</v>
      </c>
      <c r="AA1344" s="1">
        <v>46080</v>
      </c>
      <c r="AB1344" t="s">
        <v>470</v>
      </c>
      <c r="AD1344" t="s">
        <v>41</v>
      </c>
      <c r="AE1344" t="s">
        <v>471</v>
      </c>
      <c r="AF1344">
        <v>4000</v>
      </c>
      <c r="AG1344" t="s">
        <v>3794</v>
      </c>
      <c r="AI1344" t="s">
        <v>59</v>
      </c>
      <c r="AL1344" t="s">
        <v>370</v>
      </c>
      <c r="AN1344" s="3">
        <v>46081.339583333334</v>
      </c>
      <c r="AO1344" t="s">
        <v>2092</v>
      </c>
    </row>
    <row r="1345" spans="1:41" x14ac:dyDescent="0.3">
      <c r="A1345" t="s">
        <v>41</v>
      </c>
      <c r="B1345" t="s">
        <v>426</v>
      </c>
      <c r="D1345" t="s">
        <v>246</v>
      </c>
      <c r="E1345" s="1">
        <v>46080</v>
      </c>
      <c r="F1345" t="s">
        <v>2113</v>
      </c>
      <c r="G1345" t="s">
        <v>485</v>
      </c>
      <c r="H1345" s="2">
        <v>0.94791666666666663</v>
      </c>
      <c r="I1345" s="2">
        <v>0.30208333333333331</v>
      </c>
      <c r="J1345" t="s">
        <v>464</v>
      </c>
      <c r="L1345" t="s">
        <v>540</v>
      </c>
      <c r="M1345" t="s">
        <v>541</v>
      </c>
      <c r="N1345" t="s">
        <v>542</v>
      </c>
      <c r="O1345">
        <v>402297</v>
      </c>
      <c r="Q1345" t="s">
        <v>3365</v>
      </c>
      <c r="R1345" t="s">
        <v>1302</v>
      </c>
      <c r="S1345" t="s">
        <v>52</v>
      </c>
      <c r="U1345">
        <v>892130</v>
      </c>
      <c r="V1345" s="3">
        <v>46080.856944444444</v>
      </c>
      <c r="W1345" t="s">
        <v>543</v>
      </c>
      <c r="X1345" t="s">
        <v>544</v>
      </c>
      <c r="Y1345" t="str">
        <f>"0434044099"</f>
        <v>0434044099</v>
      </c>
      <c r="Z1345" t="s">
        <v>70</v>
      </c>
      <c r="AA1345" s="1">
        <v>46080</v>
      </c>
      <c r="AB1345" t="s">
        <v>434</v>
      </c>
      <c r="AD1345" t="s">
        <v>41</v>
      </c>
      <c r="AE1345" t="s">
        <v>435</v>
      </c>
      <c r="AF1345">
        <v>4163</v>
      </c>
      <c r="AG1345" t="s">
        <v>3365</v>
      </c>
      <c r="AI1345" t="s">
        <v>59</v>
      </c>
      <c r="AL1345" t="s">
        <v>3795</v>
      </c>
      <c r="AN1345" s="3">
        <v>46081.347916666666</v>
      </c>
      <c r="AO1345" t="s">
        <v>543</v>
      </c>
    </row>
    <row r="1346" spans="1:41" x14ac:dyDescent="0.3">
      <c r="A1346" t="s">
        <v>41</v>
      </c>
      <c r="B1346" t="s">
        <v>589</v>
      </c>
      <c r="C1346" t="s">
        <v>590</v>
      </c>
      <c r="D1346" t="s">
        <v>246</v>
      </c>
      <c r="E1346" s="1">
        <v>46050</v>
      </c>
      <c r="F1346" t="s">
        <v>44</v>
      </c>
      <c r="G1346" t="s">
        <v>45</v>
      </c>
      <c r="H1346" s="2">
        <v>0.29166666666666669</v>
      </c>
      <c r="I1346" s="2">
        <v>0.64583333333333337</v>
      </c>
      <c r="J1346" t="s">
        <v>591</v>
      </c>
      <c r="L1346" t="s">
        <v>592</v>
      </c>
      <c r="M1346" t="s">
        <v>593</v>
      </c>
      <c r="N1346" t="s">
        <v>594</v>
      </c>
      <c r="O1346">
        <v>5952427</v>
      </c>
      <c r="P1346" t="s">
        <v>249</v>
      </c>
      <c r="Q1346" t="s">
        <v>596</v>
      </c>
      <c r="R1346" t="s">
        <v>392</v>
      </c>
      <c r="S1346" t="s">
        <v>52</v>
      </c>
      <c r="T1346" t="s">
        <v>252</v>
      </c>
      <c r="U1346">
        <v>888931</v>
      </c>
      <c r="V1346" s="3">
        <v>46055.37777777778</v>
      </c>
      <c r="W1346" t="s">
        <v>597</v>
      </c>
      <c r="X1346" t="s">
        <v>598</v>
      </c>
      <c r="Y1346" t="str">
        <f>"0432677728"</f>
        <v>0432677728</v>
      </c>
      <c r="Z1346" t="s">
        <v>1862</v>
      </c>
      <c r="AA1346" s="1">
        <v>46054</v>
      </c>
      <c r="AB1346" t="s">
        <v>599</v>
      </c>
      <c r="AC1346" t="s">
        <v>600</v>
      </c>
      <c r="AD1346" t="s">
        <v>41</v>
      </c>
      <c r="AE1346" t="s">
        <v>600</v>
      </c>
      <c r="AF1346">
        <v>4610</v>
      </c>
      <c r="AG1346" t="s">
        <v>601</v>
      </c>
      <c r="AI1346" t="s">
        <v>59</v>
      </c>
      <c r="AJ1346" t="str">
        <f>"0050075752"</f>
        <v>0050075752</v>
      </c>
      <c r="AN1346" s="3">
        <v>46055.37777777778</v>
      </c>
      <c r="AO1346" t="s">
        <v>392</v>
      </c>
    </row>
    <row r="1347" spans="1:41" x14ac:dyDescent="0.3">
      <c r="A1347" t="s">
        <v>41</v>
      </c>
      <c r="B1347" t="s">
        <v>568</v>
      </c>
      <c r="C1347" t="s">
        <v>602</v>
      </c>
      <c r="D1347" t="s">
        <v>246</v>
      </c>
      <c r="E1347" s="1">
        <v>46050</v>
      </c>
      <c r="F1347" t="s">
        <v>44</v>
      </c>
      <c r="G1347" t="s">
        <v>45</v>
      </c>
      <c r="H1347" s="2">
        <v>0.29166666666666669</v>
      </c>
      <c r="I1347" s="2">
        <v>0.64583333333333337</v>
      </c>
      <c r="J1347" t="s">
        <v>269</v>
      </c>
      <c r="L1347" t="s">
        <v>47</v>
      </c>
      <c r="M1347" t="s">
        <v>603</v>
      </c>
      <c r="N1347" t="s">
        <v>604</v>
      </c>
      <c r="O1347">
        <v>80</v>
      </c>
      <c r="P1347" t="s">
        <v>571</v>
      </c>
      <c r="Q1347" t="s">
        <v>572</v>
      </c>
      <c r="R1347" t="s">
        <v>573</v>
      </c>
      <c r="S1347" t="s">
        <v>52</v>
      </c>
      <c r="T1347" t="s">
        <v>252</v>
      </c>
      <c r="U1347">
        <v>889147</v>
      </c>
      <c r="V1347" s="3">
        <v>46056.382638888892</v>
      </c>
      <c r="W1347" t="s">
        <v>605</v>
      </c>
      <c r="X1347" t="s">
        <v>606</v>
      </c>
      <c r="Y1347" t="str">
        <f>"0414330986"</f>
        <v>0414330986</v>
      </c>
      <c r="Z1347" t="s">
        <v>395</v>
      </c>
      <c r="AA1347" s="1">
        <v>46068</v>
      </c>
      <c r="AB1347" t="s">
        <v>576</v>
      </c>
      <c r="AD1347" t="s">
        <v>41</v>
      </c>
      <c r="AE1347" t="s">
        <v>577</v>
      </c>
      <c r="AF1347">
        <v>4700</v>
      </c>
      <c r="AG1347" t="s">
        <v>572</v>
      </c>
      <c r="AI1347" t="s">
        <v>59</v>
      </c>
      <c r="AJ1347" t="str">
        <f>"0050075176"</f>
        <v>0050075176</v>
      </c>
      <c r="AN1347" s="3">
        <v>46056.382638888892</v>
      </c>
      <c r="AO1347" t="s">
        <v>573</v>
      </c>
    </row>
    <row r="1348" spans="1:41" x14ac:dyDescent="0.3">
      <c r="A1348" t="s">
        <v>168</v>
      </c>
      <c r="B1348" t="s">
        <v>607</v>
      </c>
      <c r="C1348" t="s">
        <v>267</v>
      </c>
      <c r="D1348" t="s">
        <v>268</v>
      </c>
      <c r="E1348" s="1">
        <v>46050</v>
      </c>
      <c r="F1348" t="s">
        <v>44</v>
      </c>
      <c r="G1348" t="s">
        <v>45</v>
      </c>
      <c r="H1348" s="2">
        <v>0.33333333333333331</v>
      </c>
      <c r="I1348" s="2">
        <v>0.6875</v>
      </c>
      <c r="J1348" t="s">
        <v>269</v>
      </c>
      <c r="K1348" t="s">
        <v>608</v>
      </c>
      <c r="L1348" t="s">
        <v>609</v>
      </c>
      <c r="M1348" t="s">
        <v>610</v>
      </c>
      <c r="N1348" t="s">
        <v>611</v>
      </c>
      <c r="O1348">
        <v>5952121</v>
      </c>
      <c r="P1348" t="s">
        <v>249</v>
      </c>
      <c r="Q1348" t="s">
        <v>612</v>
      </c>
      <c r="R1348" t="s">
        <v>613</v>
      </c>
      <c r="S1348" t="s">
        <v>52</v>
      </c>
      <c r="T1348" t="s">
        <v>252</v>
      </c>
      <c r="U1348">
        <v>888938</v>
      </c>
      <c r="V1348" s="3">
        <v>46055.4</v>
      </c>
      <c r="W1348" t="s">
        <v>613</v>
      </c>
      <c r="X1348" t="s">
        <v>614</v>
      </c>
      <c r="Y1348" t="str">
        <f>"0412297150"</f>
        <v>0412297150</v>
      </c>
      <c r="Z1348" t="s">
        <v>2417</v>
      </c>
      <c r="AA1348" s="1">
        <v>46077</v>
      </c>
      <c r="AB1348" t="s">
        <v>615</v>
      </c>
      <c r="AC1348" t="s">
        <v>616</v>
      </c>
      <c r="AD1348" t="s">
        <v>168</v>
      </c>
      <c r="AE1348" t="s">
        <v>617</v>
      </c>
      <c r="AF1348">
        <v>5290</v>
      </c>
      <c r="AG1348" t="s">
        <v>618</v>
      </c>
      <c r="AI1348" t="s">
        <v>59</v>
      </c>
      <c r="AJ1348" t="str">
        <f>"0020171780"</f>
        <v>0020171780</v>
      </c>
      <c r="AM1348" t="s">
        <v>1696</v>
      </c>
      <c r="AN1348" s="3">
        <v>46055.4</v>
      </c>
      <c r="AO1348" t="s">
        <v>613</v>
      </c>
    </row>
    <row r="1349" spans="1:41" x14ac:dyDescent="0.3">
      <c r="A1349" t="s">
        <v>168</v>
      </c>
      <c r="B1349" t="s">
        <v>689</v>
      </c>
      <c r="C1349" t="s">
        <v>43</v>
      </c>
      <c r="D1349" t="s">
        <v>268</v>
      </c>
      <c r="E1349" s="1">
        <v>46050</v>
      </c>
      <c r="F1349" t="s">
        <v>44</v>
      </c>
      <c r="G1349" t="s">
        <v>45</v>
      </c>
      <c r="H1349" s="2">
        <v>0.33333333333333331</v>
      </c>
      <c r="I1349" s="2">
        <v>0.6875</v>
      </c>
      <c r="J1349" t="s">
        <v>100</v>
      </c>
      <c r="L1349" t="s">
        <v>100</v>
      </c>
      <c r="M1349" t="s">
        <v>402</v>
      </c>
      <c r="N1349" t="s">
        <v>403</v>
      </c>
      <c r="O1349">
        <v>21398</v>
      </c>
      <c r="P1349" t="s">
        <v>249</v>
      </c>
      <c r="Q1349" t="s">
        <v>2110</v>
      </c>
      <c r="R1349" t="s">
        <v>405</v>
      </c>
      <c r="S1349" t="s">
        <v>52</v>
      </c>
      <c r="T1349" t="s">
        <v>252</v>
      </c>
      <c r="U1349">
        <v>888784</v>
      </c>
      <c r="V1349" s="3">
        <v>46052.71875</v>
      </c>
      <c r="W1349" t="s">
        <v>405</v>
      </c>
      <c r="X1349" t="s">
        <v>406</v>
      </c>
      <c r="Y1349" t="str">
        <f>"0423877972"</f>
        <v>0423877972</v>
      </c>
      <c r="Z1349" t="s">
        <v>395</v>
      </c>
      <c r="AA1349" s="1">
        <v>46075</v>
      </c>
      <c r="AB1349" t="s">
        <v>695</v>
      </c>
      <c r="AD1349" t="s">
        <v>168</v>
      </c>
      <c r="AE1349" t="s">
        <v>696</v>
      </c>
      <c r="AF1349">
        <v>5606</v>
      </c>
      <c r="AG1349" t="s">
        <v>3605</v>
      </c>
      <c r="AI1349" t="s">
        <v>59</v>
      </c>
      <c r="AJ1349" t="str">
        <f>"0020185674"</f>
        <v>0020185674</v>
      </c>
      <c r="AN1349" s="3">
        <v>46052.71875</v>
      </c>
      <c r="AO1349" t="s">
        <v>405</v>
      </c>
    </row>
    <row r="1350" spans="1:41" x14ac:dyDescent="0.3">
      <c r="A1350" t="s">
        <v>61</v>
      </c>
      <c r="B1350" t="s">
        <v>578</v>
      </c>
      <c r="D1350" t="s">
        <v>579</v>
      </c>
      <c r="E1350" s="1">
        <v>46050</v>
      </c>
      <c r="F1350" t="s">
        <v>44</v>
      </c>
      <c r="G1350" t="s">
        <v>485</v>
      </c>
      <c r="H1350" s="2">
        <v>0.875</v>
      </c>
      <c r="I1350" s="2">
        <v>0.3125</v>
      </c>
      <c r="J1350" t="s">
        <v>269</v>
      </c>
      <c r="L1350" t="s">
        <v>172</v>
      </c>
      <c r="M1350" t="s">
        <v>580</v>
      </c>
      <c r="N1350" t="s">
        <v>581</v>
      </c>
      <c r="O1350">
        <v>5951721</v>
      </c>
      <c r="P1350" t="s">
        <v>571</v>
      </c>
      <c r="Q1350" t="s">
        <v>582</v>
      </c>
      <c r="R1350" t="s">
        <v>573</v>
      </c>
      <c r="S1350" t="s">
        <v>52</v>
      </c>
      <c r="T1350" t="s">
        <v>252</v>
      </c>
      <c r="U1350">
        <v>889783</v>
      </c>
      <c r="V1350" s="3">
        <v>46062.513888888891</v>
      </c>
      <c r="W1350" t="s">
        <v>583</v>
      </c>
      <c r="X1350" t="s">
        <v>584</v>
      </c>
      <c r="Y1350" t="str">
        <f>"0456677559"</f>
        <v>0456677559</v>
      </c>
      <c r="Z1350" t="s">
        <v>345</v>
      </c>
      <c r="AA1350" s="1">
        <v>46066</v>
      </c>
      <c r="AB1350" t="s">
        <v>586</v>
      </c>
      <c r="AD1350" t="s">
        <v>61</v>
      </c>
      <c r="AE1350" t="s">
        <v>587</v>
      </c>
      <c r="AF1350">
        <v>2320</v>
      </c>
      <c r="AG1350" t="s">
        <v>588</v>
      </c>
      <c r="AI1350" t="s">
        <v>59</v>
      </c>
      <c r="AJ1350" t="str">
        <f>"0010193654"</f>
        <v>0010193654</v>
      </c>
      <c r="AN1350" s="3">
        <v>46062.513888888891</v>
      </c>
      <c r="AO1350" t="s">
        <v>573</v>
      </c>
    </row>
    <row r="1351" spans="1:41" x14ac:dyDescent="0.3">
      <c r="A1351" t="s">
        <v>41</v>
      </c>
      <c r="B1351" t="s">
        <v>244</v>
      </c>
      <c r="C1351" t="s">
        <v>245</v>
      </c>
      <c r="D1351" t="s">
        <v>246</v>
      </c>
      <c r="E1351" s="1">
        <v>46081</v>
      </c>
      <c r="F1351" t="s">
        <v>1374</v>
      </c>
      <c r="G1351" t="s">
        <v>45</v>
      </c>
      <c r="H1351" s="2">
        <v>0.25</v>
      </c>
      <c r="I1351" s="2">
        <v>0.25347222222222221</v>
      </c>
      <c r="J1351" t="s">
        <v>100</v>
      </c>
      <c r="L1351" t="s">
        <v>452</v>
      </c>
      <c r="M1351" t="s">
        <v>1122</v>
      </c>
      <c r="N1351" t="s">
        <v>1123</v>
      </c>
      <c r="O1351">
        <v>5951585</v>
      </c>
      <c r="P1351" t="s">
        <v>249</v>
      </c>
      <c r="Q1351" t="s">
        <v>250</v>
      </c>
      <c r="R1351" t="s">
        <v>1124</v>
      </c>
      <c r="S1351" t="s">
        <v>52</v>
      </c>
      <c r="T1351" t="s">
        <v>252</v>
      </c>
      <c r="U1351">
        <v>892200</v>
      </c>
      <c r="V1351" s="3">
        <v>46083.347916666666</v>
      </c>
      <c r="W1351" t="s">
        <v>1124</v>
      </c>
      <c r="X1351" t="s">
        <v>1125</v>
      </c>
      <c r="Y1351" t="str">
        <f>"0406622986"</f>
        <v>0406622986</v>
      </c>
      <c r="Z1351" t="s">
        <v>375</v>
      </c>
      <c r="AA1351" s="1">
        <v>46082</v>
      </c>
      <c r="AB1351" t="s">
        <v>255</v>
      </c>
      <c r="AD1351" t="s">
        <v>41</v>
      </c>
      <c r="AE1351" t="s">
        <v>256</v>
      </c>
      <c r="AF1351">
        <v>4655</v>
      </c>
      <c r="AG1351" t="s">
        <v>257</v>
      </c>
      <c r="AI1351" t="s">
        <v>59</v>
      </c>
      <c r="AJ1351" t="str">
        <f>"0050076953"</f>
        <v>0050076953</v>
      </c>
      <c r="AN1351" s="3">
        <v>46083.347916666666</v>
      </c>
      <c r="AO1351" t="s">
        <v>1124</v>
      </c>
    </row>
    <row r="1352" spans="1:41" x14ac:dyDescent="0.3">
      <c r="A1352" t="s">
        <v>61</v>
      </c>
      <c r="B1352" t="s">
        <v>1079</v>
      </c>
      <c r="C1352" t="s">
        <v>43</v>
      </c>
      <c r="D1352" t="s">
        <v>63</v>
      </c>
      <c r="E1352" s="1">
        <v>46081</v>
      </c>
      <c r="F1352" t="s">
        <v>1374</v>
      </c>
      <c r="G1352" t="s">
        <v>45</v>
      </c>
      <c r="H1352" s="2">
        <v>0.27083333333333331</v>
      </c>
      <c r="I1352" s="2">
        <v>0.5</v>
      </c>
      <c r="J1352" t="s">
        <v>101</v>
      </c>
      <c r="L1352" t="s">
        <v>159</v>
      </c>
      <c r="M1352" t="s">
        <v>3435</v>
      </c>
      <c r="N1352" t="s">
        <v>3436</v>
      </c>
      <c r="O1352">
        <v>5951267</v>
      </c>
      <c r="Q1352" t="s">
        <v>3578</v>
      </c>
      <c r="R1352" t="s">
        <v>132</v>
      </c>
      <c r="S1352" t="s">
        <v>52</v>
      </c>
      <c r="U1352">
        <v>892139</v>
      </c>
      <c r="V1352" s="3">
        <v>46079.505555555559</v>
      </c>
      <c r="W1352" t="s">
        <v>3438</v>
      </c>
      <c r="X1352" t="s">
        <v>3439</v>
      </c>
      <c r="Y1352" t="str">
        <f>"0405574066"</f>
        <v>0405574066</v>
      </c>
      <c r="Z1352" t="s">
        <v>585</v>
      </c>
      <c r="AB1352" t="s">
        <v>1085</v>
      </c>
      <c r="AD1352" t="s">
        <v>61</v>
      </c>
      <c r="AE1352" t="s">
        <v>1086</v>
      </c>
      <c r="AF1352">
        <v>2031</v>
      </c>
      <c r="AG1352" t="s">
        <v>3578</v>
      </c>
      <c r="AI1352" t="s">
        <v>59</v>
      </c>
      <c r="AL1352" t="s">
        <v>3796</v>
      </c>
      <c r="AN1352" s="3">
        <v>46081.500694444447</v>
      </c>
      <c r="AO1352" t="s">
        <v>3438</v>
      </c>
    </row>
    <row r="1353" spans="1:41" x14ac:dyDescent="0.3">
      <c r="A1353" t="s">
        <v>41</v>
      </c>
      <c r="B1353" t="s">
        <v>1168</v>
      </c>
      <c r="D1353" t="s">
        <v>246</v>
      </c>
      <c r="E1353" s="1">
        <v>46081</v>
      </c>
      <c r="F1353" t="s">
        <v>1374</v>
      </c>
      <c r="G1353" t="s">
        <v>45</v>
      </c>
      <c r="H1353" s="2">
        <v>0.27083333333333331</v>
      </c>
      <c r="I1353" s="2">
        <v>0.625</v>
      </c>
      <c r="J1353" t="s">
        <v>296</v>
      </c>
      <c r="L1353" t="s">
        <v>1169</v>
      </c>
      <c r="M1353" t="s">
        <v>1170</v>
      </c>
      <c r="N1353" t="s">
        <v>1171</v>
      </c>
      <c r="O1353">
        <v>5952274</v>
      </c>
      <c r="Q1353" t="s">
        <v>1172</v>
      </c>
      <c r="R1353" t="s">
        <v>1173</v>
      </c>
      <c r="S1353" t="s">
        <v>52</v>
      </c>
      <c r="T1353" t="s">
        <v>252</v>
      </c>
      <c r="U1353">
        <v>892214</v>
      </c>
      <c r="V1353" s="3">
        <v>46083.459722222222</v>
      </c>
      <c r="W1353" t="s">
        <v>1173</v>
      </c>
      <c r="X1353" t="s">
        <v>1174</v>
      </c>
      <c r="Y1353" t="str">
        <f>"0432261353"</f>
        <v>0432261353</v>
      </c>
      <c r="Z1353" t="s">
        <v>290</v>
      </c>
      <c r="AA1353" s="1">
        <v>46083</v>
      </c>
      <c r="AB1353" t="s">
        <v>1175</v>
      </c>
      <c r="AD1353" t="s">
        <v>41</v>
      </c>
      <c r="AE1353" t="s">
        <v>1176</v>
      </c>
      <c r="AF1353">
        <v>4680</v>
      </c>
      <c r="AG1353" t="s">
        <v>1177</v>
      </c>
      <c r="AI1353" t="s">
        <v>59</v>
      </c>
      <c r="AJ1353" t="str">
        <f>"0050076336"</f>
        <v>0050076336</v>
      </c>
      <c r="AN1353" s="3">
        <v>46083.459722222222</v>
      </c>
      <c r="AO1353" t="s">
        <v>1173</v>
      </c>
    </row>
    <row r="1354" spans="1:41" x14ac:dyDescent="0.3">
      <c r="A1354" t="s">
        <v>61</v>
      </c>
      <c r="B1354" t="s">
        <v>1079</v>
      </c>
      <c r="C1354" t="s">
        <v>43</v>
      </c>
      <c r="D1354" t="s">
        <v>63</v>
      </c>
      <c r="E1354" s="1">
        <v>46081</v>
      </c>
      <c r="F1354" t="s">
        <v>1374</v>
      </c>
      <c r="G1354" t="s">
        <v>45</v>
      </c>
      <c r="H1354" s="2">
        <v>0.28125</v>
      </c>
      <c r="I1354" s="2">
        <v>0.99861111111111112</v>
      </c>
      <c r="J1354" t="s">
        <v>101</v>
      </c>
      <c r="L1354" t="s">
        <v>159</v>
      </c>
      <c r="M1354" t="s">
        <v>1126</v>
      </c>
      <c r="N1354" t="s">
        <v>1127</v>
      </c>
      <c r="O1354">
        <v>21552</v>
      </c>
      <c r="Q1354" t="s">
        <v>3578</v>
      </c>
      <c r="R1354" t="s">
        <v>132</v>
      </c>
      <c r="S1354" t="s">
        <v>52</v>
      </c>
      <c r="U1354">
        <v>892156</v>
      </c>
      <c r="V1354" s="3">
        <v>46079.505555555559</v>
      </c>
      <c r="W1354" t="s">
        <v>1129</v>
      </c>
      <c r="X1354" t="s">
        <v>1130</v>
      </c>
      <c r="Y1354" t="str">
        <f>"0401723179"</f>
        <v>0401723179</v>
      </c>
      <c r="Z1354" t="s">
        <v>254</v>
      </c>
      <c r="AB1354" t="s">
        <v>1085</v>
      </c>
      <c r="AD1354" t="s">
        <v>61</v>
      </c>
      <c r="AE1354" t="s">
        <v>1086</v>
      </c>
      <c r="AF1354">
        <v>2031</v>
      </c>
      <c r="AG1354" t="s">
        <v>3578</v>
      </c>
      <c r="AI1354" t="s">
        <v>59</v>
      </c>
      <c r="AL1354" t="s">
        <v>3797</v>
      </c>
      <c r="AN1354" s="3">
        <v>46082.280555555553</v>
      </c>
      <c r="AO1354" t="s">
        <v>1129</v>
      </c>
    </row>
    <row r="1355" spans="1:41" x14ac:dyDescent="0.3">
      <c r="A1355" t="s">
        <v>168</v>
      </c>
      <c r="B1355" t="s">
        <v>441</v>
      </c>
      <c r="C1355" t="s">
        <v>170</v>
      </c>
      <c r="E1355" s="1">
        <v>46058</v>
      </c>
      <c r="F1355" t="s">
        <v>621</v>
      </c>
      <c r="G1355" t="s">
        <v>45</v>
      </c>
      <c r="H1355" s="2">
        <v>0.35416666666666669</v>
      </c>
      <c r="I1355" s="2">
        <v>0.5625</v>
      </c>
      <c r="J1355" t="s">
        <v>170</v>
      </c>
      <c r="L1355" t="s">
        <v>47</v>
      </c>
      <c r="M1355" t="s">
        <v>371</v>
      </c>
      <c r="N1355" t="s">
        <v>372</v>
      </c>
      <c r="O1355">
        <v>20698</v>
      </c>
      <c r="Q1355" t="s">
        <v>944</v>
      </c>
      <c r="R1355" t="s">
        <v>3798</v>
      </c>
      <c r="S1355" t="s">
        <v>52</v>
      </c>
      <c r="U1355">
        <v>889435</v>
      </c>
      <c r="V1355" s="3">
        <v>46051.51458333333</v>
      </c>
      <c r="W1355" t="s">
        <v>373</v>
      </c>
      <c r="X1355" t="s">
        <v>374</v>
      </c>
      <c r="Y1355" t="str">
        <f>"0424925273"</f>
        <v>0424925273</v>
      </c>
      <c r="Z1355" t="s">
        <v>70</v>
      </c>
      <c r="AA1355" s="1">
        <v>46058</v>
      </c>
      <c r="AB1355" t="s">
        <v>448</v>
      </c>
      <c r="AD1355" t="s">
        <v>168</v>
      </c>
      <c r="AE1355" t="s">
        <v>180</v>
      </c>
      <c r="AF1355">
        <v>5063</v>
      </c>
      <c r="AI1355" t="s">
        <v>59</v>
      </c>
      <c r="AL1355" t="s">
        <v>3799</v>
      </c>
      <c r="AN1355" s="3">
        <v>46058.563888888886</v>
      </c>
      <c r="AO1355" t="s">
        <v>373</v>
      </c>
    </row>
    <row r="1356" spans="1:41" x14ac:dyDescent="0.3">
      <c r="A1356" t="s">
        <v>168</v>
      </c>
      <c r="B1356" t="s">
        <v>3800</v>
      </c>
      <c r="C1356" t="s">
        <v>43</v>
      </c>
      <c r="D1356" t="s">
        <v>3801</v>
      </c>
      <c r="E1356" s="1">
        <v>46058</v>
      </c>
      <c r="F1356" t="s">
        <v>621</v>
      </c>
      <c r="G1356" t="s">
        <v>45</v>
      </c>
      <c r="H1356" s="2">
        <v>0.35416666666666669</v>
      </c>
      <c r="I1356" s="2">
        <v>0.70833333333333337</v>
      </c>
      <c r="J1356" t="s">
        <v>3802</v>
      </c>
      <c r="L1356" t="s">
        <v>159</v>
      </c>
      <c r="M1356" t="s">
        <v>1156</v>
      </c>
      <c r="N1356" t="s">
        <v>1157</v>
      </c>
      <c r="O1356">
        <v>5952460</v>
      </c>
      <c r="Q1356" t="s">
        <v>3803</v>
      </c>
      <c r="R1356" t="s">
        <v>500</v>
      </c>
      <c r="S1356" t="s">
        <v>52</v>
      </c>
      <c r="U1356">
        <v>889456</v>
      </c>
      <c r="V1356" s="3">
        <v>46057.709027777775</v>
      </c>
      <c r="W1356" t="s">
        <v>1159</v>
      </c>
      <c r="X1356" t="s">
        <v>1160</v>
      </c>
      <c r="Y1356" t="str">
        <f>"0432288420"</f>
        <v>0432288420</v>
      </c>
      <c r="Z1356" t="s">
        <v>70</v>
      </c>
      <c r="AA1356" s="1">
        <v>46058</v>
      </c>
      <c r="AB1356" t="s">
        <v>3804</v>
      </c>
      <c r="AC1356" t="s">
        <v>3805</v>
      </c>
      <c r="AD1356" t="s">
        <v>168</v>
      </c>
      <c r="AE1356" t="s">
        <v>3806</v>
      </c>
      <c r="AF1356">
        <v>5064</v>
      </c>
      <c r="AG1356" t="s">
        <v>3803</v>
      </c>
      <c r="AI1356" t="s">
        <v>59</v>
      </c>
      <c r="AL1356" t="s">
        <v>3807</v>
      </c>
      <c r="AM1356" t="s">
        <v>3808</v>
      </c>
      <c r="AN1356" s="3">
        <v>46058.718055555553</v>
      </c>
      <c r="AO1356" t="s">
        <v>1159</v>
      </c>
    </row>
    <row r="1357" spans="1:41" x14ac:dyDescent="0.3">
      <c r="A1357" t="s">
        <v>168</v>
      </c>
      <c r="B1357" t="s">
        <v>282</v>
      </c>
      <c r="C1357" t="s">
        <v>170</v>
      </c>
      <c r="D1357" t="s">
        <v>283</v>
      </c>
      <c r="E1357" s="1">
        <v>46058</v>
      </c>
      <c r="F1357" t="s">
        <v>621</v>
      </c>
      <c r="G1357" t="s">
        <v>45</v>
      </c>
      <c r="H1357" s="2">
        <v>0.35416666666666669</v>
      </c>
      <c r="I1357" s="2">
        <v>0.52083333333333337</v>
      </c>
      <c r="J1357" t="s">
        <v>170</v>
      </c>
      <c r="K1357" t="s">
        <v>77</v>
      </c>
      <c r="L1357" t="s">
        <v>47</v>
      </c>
      <c r="M1357" t="s">
        <v>1858</v>
      </c>
      <c r="N1357" t="s">
        <v>1859</v>
      </c>
      <c r="O1357">
        <v>22247</v>
      </c>
      <c r="Q1357" t="s">
        <v>3809</v>
      </c>
      <c r="R1357" t="s">
        <v>231</v>
      </c>
      <c r="S1357" t="s">
        <v>52</v>
      </c>
      <c r="U1357">
        <v>889432</v>
      </c>
      <c r="V1357" s="3">
        <v>46056.633333333331</v>
      </c>
      <c r="W1357" t="s">
        <v>1860</v>
      </c>
      <c r="X1357" t="s">
        <v>1861</v>
      </c>
      <c r="Y1357" t="str">
        <f>"0450244995"</f>
        <v>0450244995</v>
      </c>
      <c r="Z1357" t="s">
        <v>673</v>
      </c>
      <c r="AB1357" t="s">
        <v>291</v>
      </c>
      <c r="AC1357" t="s">
        <v>292</v>
      </c>
      <c r="AD1357" t="s">
        <v>168</v>
      </c>
      <c r="AE1357" t="s">
        <v>293</v>
      </c>
      <c r="AF1357">
        <v>5037</v>
      </c>
      <c r="AG1357" t="s">
        <v>294</v>
      </c>
      <c r="AI1357" t="s">
        <v>59</v>
      </c>
      <c r="AL1357" t="s">
        <v>3810</v>
      </c>
      <c r="AN1357" s="3">
        <v>46058.540277777778</v>
      </c>
      <c r="AO1357" t="s">
        <v>1860</v>
      </c>
    </row>
    <row r="1358" spans="1:41" x14ac:dyDescent="0.3">
      <c r="A1358" t="s">
        <v>61</v>
      </c>
      <c r="B1358" t="s">
        <v>655</v>
      </c>
      <c r="C1358" t="s">
        <v>43</v>
      </c>
      <c r="D1358" t="s">
        <v>656</v>
      </c>
      <c r="E1358" s="1">
        <v>46058</v>
      </c>
      <c r="F1358" t="s">
        <v>621</v>
      </c>
      <c r="G1358" t="s">
        <v>45</v>
      </c>
      <c r="H1358" s="2">
        <v>0.35416666666666669</v>
      </c>
      <c r="I1358" s="2">
        <v>0.70833333333333337</v>
      </c>
      <c r="J1358" t="s">
        <v>100</v>
      </c>
      <c r="L1358" t="s">
        <v>100</v>
      </c>
      <c r="M1358" t="s">
        <v>1039</v>
      </c>
      <c r="N1358" t="s">
        <v>1040</v>
      </c>
      <c r="O1358">
        <v>5951110</v>
      </c>
      <c r="Q1358" t="s">
        <v>665</v>
      </c>
      <c r="R1358" t="s">
        <v>145</v>
      </c>
      <c r="S1358" t="s">
        <v>52</v>
      </c>
      <c r="U1358">
        <v>889443</v>
      </c>
      <c r="V1358" s="3">
        <v>46037.762499999997</v>
      </c>
      <c r="W1358" t="s">
        <v>1042</v>
      </c>
      <c r="X1358" t="s">
        <v>1043</v>
      </c>
      <c r="Y1358" t="str">
        <f>"0424952006"</f>
        <v>0424952006</v>
      </c>
      <c r="Z1358" t="s">
        <v>3811</v>
      </c>
      <c r="AB1358" t="s">
        <v>662</v>
      </c>
      <c r="AC1358" t="s">
        <v>663</v>
      </c>
      <c r="AD1358" t="s">
        <v>61</v>
      </c>
      <c r="AE1358" t="s">
        <v>664</v>
      </c>
      <c r="AF1358">
        <v>2067</v>
      </c>
      <c r="AG1358" t="s">
        <v>1571</v>
      </c>
      <c r="AI1358" t="s">
        <v>59</v>
      </c>
      <c r="AL1358" t="s">
        <v>3376</v>
      </c>
      <c r="AN1358" s="3">
        <v>46058.644444444442</v>
      </c>
      <c r="AO1358" t="s">
        <v>1042</v>
      </c>
    </row>
    <row r="1359" spans="1:41" x14ac:dyDescent="0.3">
      <c r="A1359" t="s">
        <v>874</v>
      </c>
      <c r="B1359" t="s">
        <v>875</v>
      </c>
      <c r="D1359" t="s">
        <v>388</v>
      </c>
      <c r="E1359" s="1">
        <v>46058</v>
      </c>
      <c r="F1359" t="s">
        <v>621</v>
      </c>
      <c r="G1359" t="s">
        <v>45</v>
      </c>
      <c r="H1359" s="2">
        <v>0.35416666666666669</v>
      </c>
      <c r="I1359" s="2">
        <v>0.70833333333333337</v>
      </c>
      <c r="J1359" t="s">
        <v>876</v>
      </c>
      <c r="L1359" t="s">
        <v>877</v>
      </c>
      <c r="M1359" t="s">
        <v>878</v>
      </c>
      <c r="N1359" t="s">
        <v>879</v>
      </c>
      <c r="O1359">
        <v>5951689</v>
      </c>
      <c r="P1359" t="s">
        <v>249</v>
      </c>
      <c r="Q1359" t="s">
        <v>880</v>
      </c>
      <c r="R1359" t="s">
        <v>392</v>
      </c>
      <c r="S1359" t="s">
        <v>52</v>
      </c>
      <c r="T1359" t="s">
        <v>252</v>
      </c>
      <c r="U1359">
        <v>889588</v>
      </c>
      <c r="V1359" s="3">
        <v>46059.589583333334</v>
      </c>
      <c r="W1359" t="s">
        <v>881</v>
      </c>
      <c r="X1359" t="s">
        <v>882</v>
      </c>
      <c r="Y1359" t="str">
        <f>"0474765680"</f>
        <v>0474765680</v>
      </c>
      <c r="Z1359" t="s">
        <v>290</v>
      </c>
      <c r="AA1359" s="1">
        <v>46110</v>
      </c>
      <c r="AB1359" t="s">
        <v>883</v>
      </c>
      <c r="AD1359" t="s">
        <v>397</v>
      </c>
      <c r="AE1359" t="s">
        <v>884</v>
      </c>
      <c r="AG1359" t="s">
        <v>880</v>
      </c>
      <c r="AI1359" t="s">
        <v>59</v>
      </c>
      <c r="AJ1359" t="str">
        <f>"0090000061"</f>
        <v>0090000061</v>
      </c>
      <c r="AN1359" s="3">
        <v>46059.589583333334</v>
      </c>
      <c r="AO1359" t="s">
        <v>392</v>
      </c>
    </row>
    <row r="1360" spans="1:41" x14ac:dyDescent="0.3">
      <c r="A1360" t="s">
        <v>168</v>
      </c>
      <c r="B1360" t="s">
        <v>1586</v>
      </c>
      <c r="C1360" t="s">
        <v>1587</v>
      </c>
      <c r="D1360" t="s">
        <v>268</v>
      </c>
      <c r="E1360" s="1">
        <v>46058</v>
      </c>
      <c r="F1360" t="s">
        <v>621</v>
      </c>
      <c r="G1360" t="s">
        <v>45</v>
      </c>
      <c r="H1360" s="2">
        <v>0.36458333333333331</v>
      </c>
      <c r="I1360" s="2">
        <v>0.69791666666666663</v>
      </c>
      <c r="J1360" t="s">
        <v>185</v>
      </c>
      <c r="K1360" t="s">
        <v>849</v>
      </c>
      <c r="L1360" t="s">
        <v>186</v>
      </c>
      <c r="M1360" t="s">
        <v>798</v>
      </c>
      <c r="N1360" t="s">
        <v>799</v>
      </c>
      <c r="O1360">
        <v>20875</v>
      </c>
      <c r="Q1360" t="s">
        <v>1590</v>
      </c>
      <c r="R1360" t="s">
        <v>231</v>
      </c>
      <c r="S1360" t="s">
        <v>52</v>
      </c>
      <c r="U1360">
        <v>889426</v>
      </c>
      <c r="V1360" s="3">
        <v>46029.609027777777</v>
      </c>
      <c r="W1360" t="s">
        <v>800</v>
      </c>
      <c r="X1360" t="s">
        <v>801</v>
      </c>
      <c r="Y1360" t="str">
        <f>"0417001267"</f>
        <v>0417001267</v>
      </c>
      <c r="Z1360" t="s">
        <v>70</v>
      </c>
      <c r="AA1360" s="1">
        <v>46058</v>
      </c>
      <c r="AB1360" t="s">
        <v>1593</v>
      </c>
      <c r="AC1360" t="s">
        <v>1594</v>
      </c>
      <c r="AD1360" t="s">
        <v>168</v>
      </c>
      <c r="AE1360" t="s">
        <v>1595</v>
      </c>
      <c r="AF1360">
        <v>5011</v>
      </c>
      <c r="AG1360" t="s">
        <v>1590</v>
      </c>
      <c r="AI1360" t="s">
        <v>59</v>
      </c>
      <c r="AL1360" t="s">
        <v>3812</v>
      </c>
      <c r="AN1360" s="3">
        <v>46058.500694444447</v>
      </c>
      <c r="AO1360" t="s">
        <v>800</v>
      </c>
    </row>
    <row r="1361" spans="1:41" x14ac:dyDescent="0.3">
      <c r="A1361" t="s">
        <v>75</v>
      </c>
      <c r="B1361" t="s">
        <v>76</v>
      </c>
      <c r="C1361" t="s">
        <v>43</v>
      </c>
      <c r="D1361" t="s">
        <v>63</v>
      </c>
      <c r="E1361" s="1">
        <v>46058</v>
      </c>
      <c r="F1361" t="s">
        <v>621</v>
      </c>
      <c r="G1361" t="s">
        <v>45</v>
      </c>
      <c r="H1361" s="2">
        <v>0.375</v>
      </c>
      <c r="I1361" s="2">
        <v>0.58333333333333337</v>
      </c>
      <c r="J1361" t="s">
        <v>46</v>
      </c>
      <c r="K1361" t="s">
        <v>77</v>
      </c>
      <c r="L1361" t="s">
        <v>47</v>
      </c>
      <c r="M1361" t="s">
        <v>195</v>
      </c>
      <c r="N1361" t="s">
        <v>196</v>
      </c>
      <c r="O1361">
        <v>5952397</v>
      </c>
      <c r="Q1361" t="s">
        <v>80</v>
      </c>
      <c r="R1361" t="s">
        <v>81</v>
      </c>
      <c r="S1361" t="s">
        <v>52</v>
      </c>
      <c r="U1361">
        <v>889457</v>
      </c>
      <c r="V1361" s="3">
        <v>46050.73541666667</v>
      </c>
      <c r="W1361" t="s">
        <v>198</v>
      </c>
      <c r="X1361" t="s">
        <v>199</v>
      </c>
      <c r="Y1361" t="str">
        <f>"0405261641"</f>
        <v>0405261641</v>
      </c>
      <c r="Z1361" t="s">
        <v>55</v>
      </c>
      <c r="AA1361" s="1">
        <v>46058</v>
      </c>
      <c r="AB1361" t="s">
        <v>85</v>
      </c>
      <c r="AD1361" t="s">
        <v>75</v>
      </c>
      <c r="AE1361" t="s">
        <v>86</v>
      </c>
      <c r="AF1361">
        <v>6000</v>
      </c>
      <c r="AG1361" t="s">
        <v>80</v>
      </c>
      <c r="AI1361" t="s">
        <v>59</v>
      </c>
      <c r="AL1361" t="s">
        <v>87</v>
      </c>
      <c r="AN1361" s="3">
        <v>46058.722222222219</v>
      </c>
      <c r="AO1361" t="s">
        <v>198</v>
      </c>
    </row>
    <row r="1362" spans="1:41" x14ac:dyDescent="0.3">
      <c r="A1362" t="s">
        <v>61</v>
      </c>
      <c r="B1362" t="s">
        <v>62</v>
      </c>
      <c r="C1362" t="s">
        <v>43</v>
      </c>
      <c r="D1362" t="s">
        <v>63</v>
      </c>
      <c r="E1362" s="1">
        <v>46058</v>
      </c>
      <c r="F1362" t="s">
        <v>621</v>
      </c>
      <c r="G1362" t="s">
        <v>45</v>
      </c>
      <c r="H1362" s="2">
        <v>0.375</v>
      </c>
      <c r="I1362" s="2">
        <v>0.99861111111111112</v>
      </c>
      <c r="J1362" t="s">
        <v>46</v>
      </c>
      <c r="L1362" t="s">
        <v>47</v>
      </c>
      <c r="M1362" t="s">
        <v>64</v>
      </c>
      <c r="N1362" t="s">
        <v>65</v>
      </c>
      <c r="O1362">
        <v>22580</v>
      </c>
      <c r="Q1362" t="s">
        <v>66</v>
      </c>
      <c r="R1362" t="s">
        <v>67</v>
      </c>
      <c r="S1362" t="s">
        <v>52</v>
      </c>
      <c r="U1362">
        <v>889458</v>
      </c>
      <c r="V1362" s="3">
        <v>46056.393055555556</v>
      </c>
      <c r="W1362" t="s">
        <v>68</v>
      </c>
      <c r="X1362" t="s">
        <v>69</v>
      </c>
      <c r="Y1362" t="str">
        <f>"0414449015"</f>
        <v>0414449015</v>
      </c>
      <c r="Z1362" t="s">
        <v>70</v>
      </c>
      <c r="AB1362" t="s">
        <v>71</v>
      </c>
      <c r="AD1362" t="s">
        <v>61</v>
      </c>
      <c r="AE1362" t="s">
        <v>72</v>
      </c>
      <c r="AF1362">
        <v>2747</v>
      </c>
      <c r="AG1362" t="s">
        <v>73</v>
      </c>
      <c r="AI1362" t="s">
        <v>59</v>
      </c>
      <c r="AL1362" t="s">
        <v>3813</v>
      </c>
      <c r="AN1362" s="3">
        <v>46058.723611111112</v>
      </c>
      <c r="AO1362" t="s">
        <v>68</v>
      </c>
    </row>
    <row r="1363" spans="1:41" x14ac:dyDescent="0.3">
      <c r="A1363" t="s">
        <v>168</v>
      </c>
      <c r="B1363" t="s">
        <v>441</v>
      </c>
      <c r="C1363" t="s">
        <v>101</v>
      </c>
      <c r="E1363" s="1">
        <v>46058</v>
      </c>
      <c r="F1363" t="s">
        <v>621</v>
      </c>
      <c r="G1363" t="s">
        <v>45</v>
      </c>
      <c r="H1363" s="2">
        <v>0.375</v>
      </c>
      <c r="I1363" s="2">
        <v>0.70833333333333337</v>
      </c>
      <c r="J1363" t="s">
        <v>101</v>
      </c>
      <c r="L1363" t="s">
        <v>47</v>
      </c>
      <c r="M1363" t="s">
        <v>1161</v>
      </c>
      <c r="N1363" t="s">
        <v>1162</v>
      </c>
      <c r="O1363">
        <v>22168</v>
      </c>
      <c r="Q1363" t="s">
        <v>944</v>
      </c>
      <c r="R1363" t="s">
        <v>556</v>
      </c>
      <c r="S1363" t="s">
        <v>52</v>
      </c>
      <c r="U1363">
        <v>889461</v>
      </c>
      <c r="V1363" s="3">
        <v>46050.935416666667</v>
      </c>
      <c r="W1363" t="s">
        <v>1163</v>
      </c>
      <c r="X1363" t="s">
        <v>1164</v>
      </c>
      <c r="Y1363" t="str">
        <f>"0421462931"</f>
        <v>0421462931</v>
      </c>
      <c r="Z1363" t="s">
        <v>70</v>
      </c>
      <c r="AB1363" t="s">
        <v>448</v>
      </c>
      <c r="AD1363" t="s">
        <v>168</v>
      </c>
      <c r="AE1363" t="s">
        <v>180</v>
      </c>
      <c r="AF1363">
        <v>5063</v>
      </c>
      <c r="AG1363" t="s">
        <v>944</v>
      </c>
      <c r="AI1363" t="s">
        <v>59</v>
      </c>
      <c r="AL1363" t="s">
        <v>1720</v>
      </c>
      <c r="AN1363" s="3">
        <v>46058.725694444445</v>
      </c>
      <c r="AO1363" t="s">
        <v>1163</v>
      </c>
    </row>
    <row r="1364" spans="1:41" x14ac:dyDescent="0.3">
      <c r="A1364" t="s">
        <v>168</v>
      </c>
      <c r="B1364" t="s">
        <v>215</v>
      </c>
      <c r="C1364" t="s">
        <v>43</v>
      </c>
      <c r="D1364" t="s">
        <v>127</v>
      </c>
      <c r="E1364" s="1">
        <v>46058</v>
      </c>
      <c r="F1364" t="s">
        <v>621</v>
      </c>
      <c r="G1364" t="s">
        <v>128</v>
      </c>
      <c r="H1364" s="2">
        <v>0.375</v>
      </c>
      <c r="I1364" s="2">
        <v>0.85416666666666663</v>
      </c>
      <c r="J1364" t="s">
        <v>258</v>
      </c>
      <c r="K1364" t="s">
        <v>259</v>
      </c>
      <c r="L1364" t="s">
        <v>186</v>
      </c>
      <c r="M1364" t="s">
        <v>1117</v>
      </c>
      <c r="N1364" t="s">
        <v>1118</v>
      </c>
      <c r="O1364">
        <v>5952419</v>
      </c>
      <c r="Q1364" t="s">
        <v>219</v>
      </c>
      <c r="R1364" t="s">
        <v>176</v>
      </c>
      <c r="S1364" t="s">
        <v>52</v>
      </c>
      <c r="U1364">
        <v>889459</v>
      </c>
      <c r="V1364" s="3">
        <v>46043.772222222222</v>
      </c>
      <c r="W1364" t="s">
        <v>1119</v>
      </c>
      <c r="X1364" t="s">
        <v>1120</v>
      </c>
      <c r="Y1364" t="str">
        <f>"0433820679"</f>
        <v>0433820679</v>
      </c>
      <c r="Z1364" t="s">
        <v>3814</v>
      </c>
      <c r="AB1364" t="s">
        <v>222</v>
      </c>
      <c r="AD1364" t="s">
        <v>168</v>
      </c>
      <c r="AE1364" t="s">
        <v>223</v>
      </c>
      <c r="AF1364">
        <v>5069</v>
      </c>
      <c r="AG1364" t="s">
        <v>219</v>
      </c>
      <c r="AI1364" t="s">
        <v>59</v>
      </c>
      <c r="AL1364" t="s">
        <v>3815</v>
      </c>
      <c r="AN1364" s="3">
        <v>46058.723611111112</v>
      </c>
      <c r="AO1364" t="s">
        <v>1119</v>
      </c>
    </row>
    <row r="1365" spans="1:41" x14ac:dyDescent="0.3">
      <c r="A1365" t="s">
        <v>168</v>
      </c>
      <c r="B1365" t="s">
        <v>225</v>
      </c>
      <c r="C1365" t="s">
        <v>202</v>
      </c>
      <c r="D1365" t="s">
        <v>227</v>
      </c>
      <c r="E1365" s="1">
        <v>46058</v>
      </c>
      <c r="F1365" t="s">
        <v>621</v>
      </c>
      <c r="G1365" t="s">
        <v>45</v>
      </c>
      <c r="H1365" s="2">
        <v>0.375</v>
      </c>
      <c r="I1365" s="2">
        <v>0.58333333333333337</v>
      </c>
      <c r="J1365" t="s">
        <v>46</v>
      </c>
      <c r="K1365" t="s">
        <v>77</v>
      </c>
      <c r="L1365" t="s">
        <v>159</v>
      </c>
      <c r="M1365" t="s">
        <v>228</v>
      </c>
      <c r="N1365" t="s">
        <v>229</v>
      </c>
      <c r="O1365">
        <v>21017</v>
      </c>
      <c r="Q1365" t="s">
        <v>1721</v>
      </c>
      <c r="R1365" t="s">
        <v>1722</v>
      </c>
      <c r="S1365" t="s">
        <v>52</v>
      </c>
      <c r="U1365">
        <v>889439</v>
      </c>
      <c r="V1365" s="3">
        <v>46007.73541666667</v>
      </c>
      <c r="W1365" t="s">
        <v>232</v>
      </c>
      <c r="X1365" t="s">
        <v>233</v>
      </c>
      <c r="Y1365" t="str">
        <f>"0409900497"</f>
        <v>0409900497</v>
      </c>
      <c r="Z1365" t="s">
        <v>375</v>
      </c>
      <c r="AA1365" s="1">
        <v>46058</v>
      </c>
      <c r="AB1365" t="s">
        <v>235</v>
      </c>
      <c r="AD1365" t="s">
        <v>168</v>
      </c>
      <c r="AE1365" t="s">
        <v>236</v>
      </c>
      <c r="AF1365">
        <v>5087</v>
      </c>
      <c r="AI1365" t="s">
        <v>59</v>
      </c>
      <c r="AL1365" t="s">
        <v>803</v>
      </c>
      <c r="AM1365" t="s">
        <v>2652</v>
      </c>
      <c r="AN1365" s="3">
        <v>46058.604166666664</v>
      </c>
      <c r="AO1365" t="s">
        <v>232</v>
      </c>
    </row>
    <row r="1366" spans="1:41" x14ac:dyDescent="0.3">
      <c r="A1366" t="s">
        <v>61</v>
      </c>
      <c r="B1366" t="s">
        <v>753</v>
      </c>
      <c r="C1366" t="s">
        <v>2308</v>
      </c>
      <c r="D1366" t="s">
        <v>754</v>
      </c>
      <c r="E1366" s="1">
        <v>46058</v>
      </c>
      <c r="F1366" t="s">
        <v>621</v>
      </c>
      <c r="G1366" t="s">
        <v>45</v>
      </c>
      <c r="H1366" s="2">
        <v>0.41666666666666669</v>
      </c>
      <c r="I1366" s="2">
        <v>0.98958333333333337</v>
      </c>
      <c r="J1366" t="s">
        <v>185</v>
      </c>
      <c r="K1366" t="s">
        <v>678</v>
      </c>
      <c r="L1366" t="s">
        <v>3274</v>
      </c>
      <c r="M1366" t="s">
        <v>3275</v>
      </c>
      <c r="N1366" t="s">
        <v>3276</v>
      </c>
      <c r="O1366">
        <v>5951652</v>
      </c>
      <c r="Q1366" t="s">
        <v>3816</v>
      </c>
      <c r="R1366" t="s">
        <v>67</v>
      </c>
      <c r="S1366" t="s">
        <v>52</v>
      </c>
      <c r="U1366">
        <v>889474</v>
      </c>
      <c r="V1366" s="3">
        <v>46051.604166666664</v>
      </c>
      <c r="W1366" t="s">
        <v>3277</v>
      </c>
      <c r="X1366" t="s">
        <v>3278</v>
      </c>
      <c r="Y1366" t="str">
        <f>"0416650855"</f>
        <v>0416650855</v>
      </c>
      <c r="Z1366" t="s">
        <v>3817</v>
      </c>
      <c r="AA1366" s="1">
        <v>46058</v>
      </c>
      <c r="AB1366" t="s">
        <v>764</v>
      </c>
      <c r="AD1366" t="s">
        <v>61</v>
      </c>
      <c r="AE1366" t="s">
        <v>765</v>
      </c>
      <c r="AF1366">
        <v>2220</v>
      </c>
      <c r="AG1366" t="s">
        <v>3816</v>
      </c>
      <c r="AI1366" t="s">
        <v>59</v>
      </c>
      <c r="AL1366" t="s">
        <v>3818</v>
      </c>
      <c r="AN1366" s="3">
        <v>46058.784722222219</v>
      </c>
      <c r="AO1366" t="s">
        <v>3277</v>
      </c>
    </row>
    <row r="1367" spans="1:41" x14ac:dyDescent="0.3">
      <c r="A1367" t="s">
        <v>41</v>
      </c>
      <c r="B1367" t="s">
        <v>1219</v>
      </c>
      <c r="C1367" t="s">
        <v>43</v>
      </c>
      <c r="D1367" t="s">
        <v>184</v>
      </c>
      <c r="E1367" s="1">
        <v>46058</v>
      </c>
      <c r="F1367" t="s">
        <v>621</v>
      </c>
      <c r="G1367" t="s">
        <v>128</v>
      </c>
      <c r="H1367" s="2">
        <v>0.5</v>
      </c>
      <c r="I1367" s="2">
        <v>0.85416666666666663</v>
      </c>
      <c r="J1367" t="s">
        <v>101</v>
      </c>
      <c r="L1367" t="s">
        <v>159</v>
      </c>
      <c r="M1367" t="s">
        <v>690</v>
      </c>
      <c r="N1367" t="s">
        <v>691</v>
      </c>
      <c r="O1367">
        <v>5950774</v>
      </c>
      <c r="Q1367" t="s">
        <v>3819</v>
      </c>
      <c r="R1367" t="s">
        <v>51</v>
      </c>
      <c r="S1367" t="s">
        <v>52</v>
      </c>
      <c r="U1367">
        <v>889455</v>
      </c>
      <c r="V1367" s="3">
        <v>46028.525694444441</v>
      </c>
      <c r="W1367" t="s">
        <v>693</v>
      </c>
      <c r="X1367" t="s">
        <v>694</v>
      </c>
      <c r="Y1367" t="str">
        <f>"0404019300"</f>
        <v>0404019300</v>
      </c>
      <c r="Z1367" t="s">
        <v>503</v>
      </c>
      <c r="AB1367" t="s">
        <v>1226</v>
      </c>
      <c r="AD1367" t="s">
        <v>41</v>
      </c>
      <c r="AE1367" t="s">
        <v>1227</v>
      </c>
      <c r="AF1367">
        <v>4217</v>
      </c>
      <c r="AG1367" t="s">
        <v>3819</v>
      </c>
      <c r="AI1367" t="s">
        <v>59</v>
      </c>
      <c r="AL1367" t="s">
        <v>87</v>
      </c>
      <c r="AN1367" s="3">
        <v>46058.717361111114</v>
      </c>
      <c r="AO1367" t="s">
        <v>693</v>
      </c>
    </row>
    <row r="1368" spans="1:41" x14ac:dyDescent="0.3">
      <c r="A1368" t="s">
        <v>168</v>
      </c>
      <c r="B1368" t="s">
        <v>441</v>
      </c>
      <c r="C1368" t="s">
        <v>100</v>
      </c>
      <c r="E1368" s="1">
        <v>46058</v>
      </c>
      <c r="F1368" t="s">
        <v>621</v>
      </c>
      <c r="G1368" t="s">
        <v>128</v>
      </c>
      <c r="H1368" s="2">
        <v>0.5</v>
      </c>
      <c r="I1368" s="2">
        <v>0.83333333333333337</v>
      </c>
      <c r="J1368" t="s">
        <v>100</v>
      </c>
      <c r="L1368" t="s">
        <v>100</v>
      </c>
      <c r="M1368" t="s">
        <v>975</v>
      </c>
      <c r="N1368" t="s">
        <v>976</v>
      </c>
      <c r="O1368">
        <v>5950948</v>
      </c>
      <c r="Q1368" t="s">
        <v>977</v>
      </c>
      <c r="R1368" t="s">
        <v>231</v>
      </c>
      <c r="S1368" t="s">
        <v>52</v>
      </c>
      <c r="U1368">
        <v>889486</v>
      </c>
      <c r="V1368" s="3">
        <v>46029.513888888891</v>
      </c>
      <c r="W1368" t="s">
        <v>978</v>
      </c>
      <c r="X1368" t="s">
        <v>979</v>
      </c>
      <c r="Y1368" t="str">
        <f>"0451011613"</f>
        <v>0451011613</v>
      </c>
      <c r="Z1368" t="s">
        <v>919</v>
      </c>
      <c r="AB1368" t="s">
        <v>448</v>
      </c>
      <c r="AD1368" t="s">
        <v>168</v>
      </c>
      <c r="AE1368" t="s">
        <v>180</v>
      </c>
      <c r="AF1368">
        <v>5063</v>
      </c>
      <c r="AG1368" t="s">
        <v>981</v>
      </c>
      <c r="AI1368" t="s">
        <v>59</v>
      </c>
      <c r="AL1368" t="s">
        <v>1720</v>
      </c>
      <c r="AN1368" s="3">
        <v>46058.850694444445</v>
      </c>
      <c r="AO1368" t="s">
        <v>978</v>
      </c>
    </row>
    <row r="1369" spans="1:41" x14ac:dyDescent="0.3">
      <c r="A1369" t="s">
        <v>168</v>
      </c>
      <c r="B1369" t="s">
        <v>982</v>
      </c>
      <c r="C1369" t="s">
        <v>100</v>
      </c>
      <c r="D1369" t="s">
        <v>127</v>
      </c>
      <c r="E1369" s="1">
        <v>46058</v>
      </c>
      <c r="F1369" t="s">
        <v>621</v>
      </c>
      <c r="G1369" t="s">
        <v>128</v>
      </c>
      <c r="H1369" s="2">
        <v>0.5</v>
      </c>
      <c r="I1369" s="2">
        <v>0.83333333333333337</v>
      </c>
      <c r="J1369" t="s">
        <v>100</v>
      </c>
      <c r="L1369" t="s">
        <v>100</v>
      </c>
      <c r="M1369" t="s">
        <v>411</v>
      </c>
      <c r="N1369" t="s">
        <v>412</v>
      </c>
      <c r="O1369">
        <v>228</v>
      </c>
      <c r="Q1369" t="s">
        <v>983</v>
      </c>
      <c r="R1369" t="s">
        <v>231</v>
      </c>
      <c r="S1369" t="s">
        <v>52</v>
      </c>
      <c r="U1369">
        <v>889489</v>
      </c>
      <c r="V1369" s="3">
        <v>46030.459027777775</v>
      </c>
      <c r="W1369" t="s">
        <v>415</v>
      </c>
      <c r="X1369" t="s">
        <v>416</v>
      </c>
      <c r="Y1369" t="str">
        <f>"0414869673"</f>
        <v>0414869673</v>
      </c>
      <c r="Z1369" t="s">
        <v>673</v>
      </c>
      <c r="AB1369" t="s">
        <v>985</v>
      </c>
      <c r="AD1369" t="s">
        <v>168</v>
      </c>
      <c r="AE1369" t="s">
        <v>279</v>
      </c>
      <c r="AF1369">
        <v>5092</v>
      </c>
      <c r="AG1369" t="s">
        <v>986</v>
      </c>
      <c r="AI1369" t="s">
        <v>59</v>
      </c>
      <c r="AL1369" t="s">
        <v>987</v>
      </c>
      <c r="AN1369" s="3">
        <v>46058.859722222223</v>
      </c>
      <c r="AO1369" t="s">
        <v>415</v>
      </c>
    </row>
    <row r="1370" spans="1:41" x14ac:dyDescent="0.3">
      <c r="A1370" t="s">
        <v>61</v>
      </c>
      <c r="B1370" t="s">
        <v>158</v>
      </c>
      <c r="C1370" t="s">
        <v>43</v>
      </c>
      <c r="D1370" t="s">
        <v>127</v>
      </c>
      <c r="E1370" s="1">
        <v>46058</v>
      </c>
      <c r="F1370" t="s">
        <v>621</v>
      </c>
      <c r="G1370" t="s">
        <v>128</v>
      </c>
      <c r="H1370" s="2">
        <v>0.52083333333333337</v>
      </c>
      <c r="I1370" s="2">
        <v>0.99861111111111112</v>
      </c>
      <c r="J1370" t="s">
        <v>185</v>
      </c>
      <c r="K1370" t="s">
        <v>2742</v>
      </c>
      <c r="L1370" t="s">
        <v>186</v>
      </c>
      <c r="M1370" t="s">
        <v>2309</v>
      </c>
      <c r="N1370" t="s">
        <v>2310</v>
      </c>
      <c r="O1370">
        <v>5952011</v>
      </c>
      <c r="Q1370" t="s">
        <v>162</v>
      </c>
      <c r="R1370" t="s">
        <v>67</v>
      </c>
      <c r="S1370" t="s">
        <v>52</v>
      </c>
      <c r="U1370">
        <v>889532</v>
      </c>
      <c r="V1370" s="3">
        <v>46050.631249999999</v>
      </c>
      <c r="W1370" t="s">
        <v>2312</v>
      </c>
      <c r="X1370" t="s">
        <v>2313</v>
      </c>
      <c r="Y1370" t="str">
        <f>"0410412022"</f>
        <v>0410412022</v>
      </c>
      <c r="Z1370" t="s">
        <v>964</v>
      </c>
      <c r="AA1370" s="1">
        <v>46058</v>
      </c>
      <c r="AB1370" t="s">
        <v>166</v>
      </c>
      <c r="AD1370" t="s">
        <v>61</v>
      </c>
      <c r="AE1370" t="s">
        <v>167</v>
      </c>
      <c r="AF1370">
        <v>2011</v>
      </c>
      <c r="AG1370" t="s">
        <v>162</v>
      </c>
      <c r="AI1370" t="s">
        <v>59</v>
      </c>
      <c r="AL1370" t="s">
        <v>3376</v>
      </c>
      <c r="AN1370" s="3">
        <v>46058.921527777777</v>
      </c>
      <c r="AO1370" t="s">
        <v>2312</v>
      </c>
    </row>
    <row r="1371" spans="1:41" x14ac:dyDescent="0.3">
      <c r="A1371" t="s">
        <v>61</v>
      </c>
      <c r="B1371" t="s">
        <v>2766</v>
      </c>
      <c r="C1371" t="s">
        <v>43</v>
      </c>
      <c r="D1371" t="s">
        <v>283</v>
      </c>
      <c r="E1371" s="1">
        <v>46058</v>
      </c>
      <c r="F1371" t="s">
        <v>621</v>
      </c>
      <c r="G1371" t="s">
        <v>128</v>
      </c>
      <c r="H1371" s="2">
        <v>0.52083333333333337</v>
      </c>
      <c r="I1371" s="2">
        <v>0.77083333333333337</v>
      </c>
      <c r="J1371" t="s">
        <v>101</v>
      </c>
      <c r="K1371" t="s">
        <v>2646</v>
      </c>
      <c r="L1371" t="s">
        <v>159</v>
      </c>
      <c r="M1371" t="s">
        <v>160</v>
      </c>
      <c r="N1371" t="s">
        <v>161</v>
      </c>
      <c r="O1371">
        <v>5952008</v>
      </c>
      <c r="P1371">
        <v>496678</v>
      </c>
      <c r="Q1371" t="s">
        <v>823</v>
      </c>
      <c r="R1371" t="s">
        <v>132</v>
      </c>
      <c r="S1371" t="s">
        <v>52</v>
      </c>
      <c r="U1371">
        <v>889466</v>
      </c>
      <c r="V1371" s="3">
        <v>46057.65</v>
      </c>
      <c r="W1371" t="s">
        <v>163</v>
      </c>
      <c r="X1371" t="s">
        <v>164</v>
      </c>
      <c r="Y1371" t="str">
        <f>"0482375205"</f>
        <v>0482375205</v>
      </c>
      <c r="Z1371" t="s">
        <v>70</v>
      </c>
      <c r="AA1371" s="1">
        <v>46058</v>
      </c>
      <c r="AB1371" t="s">
        <v>2767</v>
      </c>
      <c r="AD1371" t="s">
        <v>61</v>
      </c>
      <c r="AE1371" t="s">
        <v>893</v>
      </c>
      <c r="AF1371">
        <v>2022</v>
      </c>
      <c r="AG1371" t="s">
        <v>823</v>
      </c>
      <c r="AI1371" t="s">
        <v>59</v>
      </c>
      <c r="AL1371" t="s">
        <v>87</v>
      </c>
      <c r="AN1371" s="3">
        <v>46058.765277777777</v>
      </c>
      <c r="AO1371" t="s">
        <v>163</v>
      </c>
    </row>
    <row r="1372" spans="1:41" x14ac:dyDescent="0.3">
      <c r="A1372" t="s">
        <v>61</v>
      </c>
      <c r="B1372" t="s">
        <v>655</v>
      </c>
      <c r="C1372" t="s">
        <v>43</v>
      </c>
      <c r="D1372" t="s">
        <v>656</v>
      </c>
      <c r="E1372" s="1">
        <v>46058</v>
      </c>
      <c r="F1372" t="s">
        <v>621</v>
      </c>
      <c r="G1372" t="s">
        <v>128</v>
      </c>
      <c r="H1372" s="2">
        <v>0.52083333333333337</v>
      </c>
      <c r="I1372" s="2">
        <v>0.99861111111111112</v>
      </c>
      <c r="J1372" t="s">
        <v>185</v>
      </c>
      <c r="K1372" t="s">
        <v>327</v>
      </c>
      <c r="L1372" t="s">
        <v>186</v>
      </c>
      <c r="M1372" t="s">
        <v>2588</v>
      </c>
      <c r="N1372" t="s">
        <v>2589</v>
      </c>
      <c r="O1372">
        <v>5951854</v>
      </c>
      <c r="Q1372" t="s">
        <v>665</v>
      </c>
      <c r="R1372" t="s">
        <v>132</v>
      </c>
      <c r="S1372" t="s">
        <v>52</v>
      </c>
      <c r="U1372">
        <v>889454</v>
      </c>
      <c r="V1372" s="3">
        <v>46028.415277777778</v>
      </c>
      <c r="W1372" t="s">
        <v>2591</v>
      </c>
      <c r="X1372" t="s">
        <v>2592</v>
      </c>
      <c r="Y1372" t="str">
        <f>"0452497186"</f>
        <v>0452497186</v>
      </c>
      <c r="Z1372" t="s">
        <v>3820</v>
      </c>
      <c r="AB1372" t="s">
        <v>662</v>
      </c>
      <c r="AC1372" t="s">
        <v>663</v>
      </c>
      <c r="AD1372" t="s">
        <v>61</v>
      </c>
      <c r="AE1372" t="s">
        <v>664</v>
      </c>
      <c r="AF1372">
        <v>2067</v>
      </c>
      <c r="AG1372" t="s">
        <v>665</v>
      </c>
      <c r="AI1372" t="s">
        <v>59</v>
      </c>
      <c r="AL1372" t="s">
        <v>3376</v>
      </c>
      <c r="AN1372" s="3">
        <v>46058.71597222222</v>
      </c>
      <c r="AO1372" t="s">
        <v>2591</v>
      </c>
    </row>
    <row r="1373" spans="1:41" x14ac:dyDescent="0.3">
      <c r="A1373" t="s">
        <v>61</v>
      </c>
      <c r="B1373" t="s">
        <v>753</v>
      </c>
      <c r="C1373" t="s">
        <v>216</v>
      </c>
      <c r="D1373" t="s">
        <v>754</v>
      </c>
      <c r="E1373" s="1">
        <v>46058</v>
      </c>
      <c r="F1373" t="s">
        <v>621</v>
      </c>
      <c r="G1373" t="s">
        <v>128</v>
      </c>
      <c r="H1373" s="2">
        <v>0.52083333333333337</v>
      </c>
      <c r="I1373" s="2">
        <v>0.98958333333333337</v>
      </c>
      <c r="J1373" t="s">
        <v>101</v>
      </c>
      <c r="L1373" t="s">
        <v>159</v>
      </c>
      <c r="M1373" t="s">
        <v>3576</v>
      </c>
      <c r="N1373" t="s">
        <v>3577</v>
      </c>
      <c r="O1373">
        <v>21429</v>
      </c>
      <c r="Q1373" t="s">
        <v>3816</v>
      </c>
      <c r="R1373" t="s">
        <v>67</v>
      </c>
      <c r="S1373" t="s">
        <v>52</v>
      </c>
      <c r="U1373">
        <v>889481</v>
      </c>
      <c r="V1373" s="3">
        <v>46051.604166666664</v>
      </c>
      <c r="W1373" t="s">
        <v>3579</v>
      </c>
      <c r="X1373" t="s">
        <v>3580</v>
      </c>
      <c r="Y1373" t="str">
        <f>"0413381602"</f>
        <v>0413381602</v>
      </c>
      <c r="Z1373" t="s">
        <v>3821</v>
      </c>
      <c r="AB1373" t="s">
        <v>764</v>
      </c>
      <c r="AD1373" t="s">
        <v>61</v>
      </c>
      <c r="AE1373" t="s">
        <v>765</v>
      </c>
      <c r="AF1373">
        <v>2220</v>
      </c>
      <c r="AG1373" t="s">
        <v>2811</v>
      </c>
      <c r="AI1373" t="s">
        <v>59</v>
      </c>
      <c r="AL1373" t="s">
        <v>2901</v>
      </c>
      <c r="AN1373" s="3">
        <v>46058.819444444445</v>
      </c>
      <c r="AO1373" t="s">
        <v>3579</v>
      </c>
    </row>
    <row r="1374" spans="1:41" x14ac:dyDescent="0.3">
      <c r="A1374" t="s">
        <v>168</v>
      </c>
      <c r="B1374" t="s">
        <v>376</v>
      </c>
      <c r="C1374" t="s">
        <v>43</v>
      </c>
      <c r="D1374" t="s">
        <v>127</v>
      </c>
      <c r="E1374" s="1">
        <v>46058</v>
      </c>
      <c r="F1374" t="s">
        <v>621</v>
      </c>
      <c r="G1374" t="s">
        <v>128</v>
      </c>
      <c r="H1374" s="2">
        <v>0.52083333333333337</v>
      </c>
      <c r="I1374" s="2">
        <v>0.85416666666666663</v>
      </c>
      <c r="J1374" t="s">
        <v>185</v>
      </c>
      <c r="L1374" t="s">
        <v>186</v>
      </c>
      <c r="M1374" t="s">
        <v>835</v>
      </c>
      <c r="N1374" t="s">
        <v>836</v>
      </c>
      <c r="O1374">
        <v>22947</v>
      </c>
      <c r="Q1374" t="s">
        <v>1924</v>
      </c>
      <c r="R1374" t="s">
        <v>231</v>
      </c>
      <c r="S1374" t="s">
        <v>52</v>
      </c>
      <c r="U1374">
        <v>889467</v>
      </c>
      <c r="V1374" s="3">
        <v>46008.599305555559</v>
      </c>
      <c r="W1374" t="s">
        <v>837</v>
      </c>
      <c r="X1374" t="s">
        <v>838</v>
      </c>
      <c r="Y1374" t="str">
        <f>"0415626656"</f>
        <v>0415626656</v>
      </c>
      <c r="Z1374" t="s">
        <v>1013</v>
      </c>
      <c r="AB1374" t="s">
        <v>383</v>
      </c>
      <c r="AD1374" t="s">
        <v>168</v>
      </c>
      <c r="AE1374" t="s">
        <v>384</v>
      </c>
      <c r="AF1374">
        <v>5000</v>
      </c>
      <c r="AG1374" t="s">
        <v>674</v>
      </c>
      <c r="AI1374" t="s">
        <v>59</v>
      </c>
      <c r="AL1374" t="s">
        <v>385</v>
      </c>
      <c r="AN1374" s="3">
        <v>46058.76666666667</v>
      </c>
      <c r="AO1374" t="s">
        <v>837</v>
      </c>
    </row>
    <row r="1375" spans="1:41" x14ac:dyDescent="0.3">
      <c r="A1375" t="s">
        <v>168</v>
      </c>
      <c r="B1375" t="s">
        <v>441</v>
      </c>
      <c r="C1375" t="s">
        <v>101</v>
      </c>
      <c r="E1375" s="1">
        <v>46058</v>
      </c>
      <c r="F1375" t="s">
        <v>621</v>
      </c>
      <c r="G1375" t="s">
        <v>128</v>
      </c>
      <c r="H1375" s="2">
        <v>0.52083333333333337</v>
      </c>
      <c r="I1375" s="2">
        <v>0.85416666666666663</v>
      </c>
      <c r="J1375" t="s">
        <v>101</v>
      </c>
      <c r="L1375" t="s">
        <v>159</v>
      </c>
      <c r="M1375" t="s">
        <v>217</v>
      </c>
      <c r="N1375" t="s">
        <v>218</v>
      </c>
      <c r="O1375">
        <v>32</v>
      </c>
      <c r="Q1375" t="s">
        <v>3305</v>
      </c>
      <c r="R1375" t="s">
        <v>132</v>
      </c>
      <c r="S1375" t="s">
        <v>52</v>
      </c>
      <c r="U1375">
        <v>889485</v>
      </c>
      <c r="V1375" s="3">
        <v>46058.302083333336</v>
      </c>
      <c r="W1375" t="s">
        <v>220</v>
      </c>
      <c r="X1375" t="s">
        <v>221</v>
      </c>
      <c r="Y1375" t="str">
        <f>"0426797353"</f>
        <v>0426797353</v>
      </c>
      <c r="Z1375" t="s">
        <v>70</v>
      </c>
      <c r="AA1375" s="1">
        <v>46058</v>
      </c>
      <c r="AB1375" t="s">
        <v>448</v>
      </c>
      <c r="AD1375" t="s">
        <v>168</v>
      </c>
      <c r="AE1375" t="s">
        <v>180</v>
      </c>
      <c r="AF1375">
        <v>5063</v>
      </c>
      <c r="AG1375" t="s">
        <v>624</v>
      </c>
      <c r="AI1375" t="s">
        <v>59</v>
      </c>
      <c r="AL1375" t="s">
        <v>3822</v>
      </c>
      <c r="AN1375" s="3">
        <v>46058.85</v>
      </c>
      <c r="AO1375" t="s">
        <v>220</v>
      </c>
    </row>
    <row r="1376" spans="1:41" x14ac:dyDescent="0.3">
      <c r="A1376" t="s">
        <v>61</v>
      </c>
      <c r="B1376" t="s">
        <v>182</v>
      </c>
      <c r="C1376" t="s">
        <v>183</v>
      </c>
      <c r="D1376" t="s">
        <v>184</v>
      </c>
      <c r="E1376" s="1">
        <v>46058</v>
      </c>
      <c r="F1376" t="s">
        <v>621</v>
      </c>
      <c r="G1376" t="s">
        <v>128</v>
      </c>
      <c r="H1376" s="2">
        <v>0.52083333333333337</v>
      </c>
      <c r="I1376" s="2">
        <v>0.99861111111111112</v>
      </c>
      <c r="J1376" t="s">
        <v>185</v>
      </c>
      <c r="L1376" t="s">
        <v>186</v>
      </c>
      <c r="M1376" t="s">
        <v>436</v>
      </c>
      <c r="N1376" t="s">
        <v>437</v>
      </c>
      <c r="O1376">
        <v>5951773</v>
      </c>
      <c r="Q1376" t="s">
        <v>189</v>
      </c>
      <c r="R1376" t="s">
        <v>132</v>
      </c>
      <c r="S1376" t="s">
        <v>52</v>
      </c>
      <c r="U1376">
        <v>889476</v>
      </c>
      <c r="V1376" s="3">
        <v>46051.450694444444</v>
      </c>
      <c r="W1376" t="s">
        <v>438</v>
      </c>
      <c r="X1376" t="s">
        <v>439</v>
      </c>
      <c r="Y1376" t="str">
        <f>"0405762113"</f>
        <v>0405762113</v>
      </c>
      <c r="Z1376" t="s">
        <v>2927</v>
      </c>
      <c r="AB1376" t="s">
        <v>193</v>
      </c>
      <c r="AD1376" t="s">
        <v>61</v>
      </c>
      <c r="AE1376" t="s">
        <v>194</v>
      </c>
      <c r="AF1376">
        <v>2229</v>
      </c>
      <c r="AG1376" t="s">
        <v>189</v>
      </c>
      <c r="AI1376" t="s">
        <v>59</v>
      </c>
      <c r="AL1376" t="s">
        <v>3376</v>
      </c>
      <c r="AN1376" s="3">
        <v>46058.787499999999</v>
      </c>
      <c r="AO1376" t="s">
        <v>438</v>
      </c>
    </row>
    <row r="1377" spans="1:41" x14ac:dyDescent="0.3">
      <c r="A1377" t="s">
        <v>41</v>
      </c>
      <c r="B1377" t="s">
        <v>244</v>
      </c>
      <c r="C1377" t="s">
        <v>245</v>
      </c>
      <c r="D1377" t="s">
        <v>246</v>
      </c>
      <c r="E1377" s="1">
        <v>46058</v>
      </c>
      <c r="F1377" t="s">
        <v>621</v>
      </c>
      <c r="G1377" t="s">
        <v>45</v>
      </c>
      <c r="H1377" s="2">
        <v>0.52083333333333337</v>
      </c>
      <c r="I1377" s="2">
        <v>0.875</v>
      </c>
      <c r="J1377" t="s">
        <v>100</v>
      </c>
      <c r="L1377" t="s">
        <v>100</v>
      </c>
      <c r="M1377" t="s">
        <v>247</v>
      </c>
      <c r="N1377" t="s">
        <v>248</v>
      </c>
      <c r="O1377">
        <v>20770</v>
      </c>
      <c r="P1377" t="s">
        <v>249</v>
      </c>
      <c r="Q1377" t="s">
        <v>250</v>
      </c>
      <c r="R1377" t="s">
        <v>251</v>
      </c>
      <c r="S1377" t="s">
        <v>52</v>
      </c>
      <c r="T1377" t="s">
        <v>252</v>
      </c>
      <c r="U1377">
        <v>889764</v>
      </c>
      <c r="V1377" s="3">
        <v>46062.351388888892</v>
      </c>
      <c r="W1377" t="s">
        <v>251</v>
      </c>
      <c r="X1377" t="s">
        <v>253</v>
      </c>
      <c r="Y1377" t="str">
        <f>"0429586658"</f>
        <v>0429586658</v>
      </c>
      <c r="Z1377" t="s">
        <v>290</v>
      </c>
      <c r="AA1377" s="1">
        <v>46068</v>
      </c>
      <c r="AB1377" t="s">
        <v>255</v>
      </c>
      <c r="AD1377" t="s">
        <v>41</v>
      </c>
      <c r="AE1377" t="s">
        <v>256</v>
      </c>
      <c r="AF1377">
        <v>4655</v>
      </c>
      <c r="AG1377" t="s">
        <v>1910</v>
      </c>
      <c r="AI1377" t="s">
        <v>59</v>
      </c>
      <c r="AJ1377" t="str">
        <f>"0050076900"</f>
        <v>0050076900</v>
      </c>
      <c r="AN1377" s="3">
        <v>46062.351388888892</v>
      </c>
      <c r="AO1377" t="s">
        <v>251</v>
      </c>
    </row>
    <row r="1378" spans="1:41" x14ac:dyDescent="0.3">
      <c r="A1378" t="s">
        <v>75</v>
      </c>
      <c r="B1378" t="s">
        <v>358</v>
      </c>
      <c r="C1378" t="s">
        <v>43</v>
      </c>
      <c r="D1378" t="s">
        <v>184</v>
      </c>
      <c r="E1378" s="1">
        <v>46058</v>
      </c>
      <c r="F1378" t="s">
        <v>621</v>
      </c>
      <c r="G1378" t="s">
        <v>45</v>
      </c>
      <c r="H1378" s="2">
        <v>0.52083333333333337</v>
      </c>
      <c r="I1378" s="2">
        <v>0.75</v>
      </c>
      <c r="J1378" t="s">
        <v>185</v>
      </c>
      <c r="L1378" t="s">
        <v>186</v>
      </c>
      <c r="M1378" t="s">
        <v>806</v>
      </c>
      <c r="N1378" t="s">
        <v>807</v>
      </c>
      <c r="O1378">
        <v>5951855</v>
      </c>
      <c r="Q1378" t="s">
        <v>2066</v>
      </c>
      <c r="R1378" t="s">
        <v>926</v>
      </c>
      <c r="S1378" t="s">
        <v>52</v>
      </c>
      <c r="U1378">
        <v>889493</v>
      </c>
      <c r="V1378" s="3">
        <v>46058.522222222222</v>
      </c>
      <c r="W1378" t="s">
        <v>809</v>
      </c>
      <c r="X1378" t="s">
        <v>810</v>
      </c>
      <c r="Y1378" t="str">
        <f>"0450257692"</f>
        <v>0450257692</v>
      </c>
      <c r="Z1378" t="s">
        <v>70</v>
      </c>
      <c r="AA1378" s="1">
        <v>46058</v>
      </c>
      <c r="AB1378" t="s">
        <v>367</v>
      </c>
      <c r="AD1378" t="s">
        <v>75</v>
      </c>
      <c r="AE1378" t="s">
        <v>368</v>
      </c>
      <c r="AF1378">
        <v>6027</v>
      </c>
      <c r="AG1378" t="s">
        <v>3823</v>
      </c>
      <c r="AI1378" t="s">
        <v>59</v>
      </c>
      <c r="AL1378" t="s">
        <v>3824</v>
      </c>
      <c r="AN1378" s="3">
        <v>46058.887499999997</v>
      </c>
      <c r="AO1378" t="s">
        <v>809</v>
      </c>
    </row>
    <row r="1379" spans="1:41" x14ac:dyDescent="0.3">
      <c r="A1379" t="s">
        <v>168</v>
      </c>
      <c r="B1379" t="s">
        <v>215</v>
      </c>
      <c r="C1379" t="s">
        <v>43</v>
      </c>
      <c r="D1379" t="s">
        <v>127</v>
      </c>
      <c r="E1379" s="1">
        <v>46058</v>
      </c>
      <c r="F1379" t="s">
        <v>621</v>
      </c>
      <c r="G1379" t="s">
        <v>128</v>
      </c>
      <c r="H1379" s="2">
        <v>0.52083333333333337</v>
      </c>
      <c r="I1379" s="2">
        <v>0.85416666666666663</v>
      </c>
      <c r="J1379" t="s">
        <v>1011</v>
      </c>
      <c r="K1379" t="s">
        <v>1012</v>
      </c>
      <c r="L1379" t="s">
        <v>186</v>
      </c>
      <c r="M1379" t="s">
        <v>651</v>
      </c>
      <c r="N1379" t="s">
        <v>412</v>
      </c>
      <c r="O1379">
        <v>21855</v>
      </c>
      <c r="Q1379" t="s">
        <v>219</v>
      </c>
      <c r="R1379" t="s">
        <v>176</v>
      </c>
      <c r="S1379" t="s">
        <v>52</v>
      </c>
      <c r="U1379">
        <v>889477</v>
      </c>
      <c r="V1379" s="3">
        <v>46043.797222222223</v>
      </c>
      <c r="W1379" t="s">
        <v>652</v>
      </c>
      <c r="X1379" t="s">
        <v>653</v>
      </c>
      <c r="Y1379" t="str">
        <f>"0407317111"</f>
        <v>0407317111</v>
      </c>
      <c r="Z1379" t="s">
        <v>1917</v>
      </c>
      <c r="AB1379" t="s">
        <v>222</v>
      </c>
      <c r="AD1379" t="s">
        <v>168</v>
      </c>
      <c r="AE1379" t="s">
        <v>223</v>
      </c>
      <c r="AF1379">
        <v>5069</v>
      </c>
      <c r="AG1379" t="s">
        <v>219</v>
      </c>
      <c r="AI1379" t="s">
        <v>59</v>
      </c>
      <c r="AL1379" t="s">
        <v>3825</v>
      </c>
      <c r="AN1379" s="3">
        <v>46058.790277777778</v>
      </c>
      <c r="AO1379" t="s">
        <v>652</v>
      </c>
    </row>
    <row r="1380" spans="1:41" x14ac:dyDescent="0.3">
      <c r="A1380" t="s">
        <v>61</v>
      </c>
      <c r="B1380" t="s">
        <v>62</v>
      </c>
      <c r="C1380" t="s">
        <v>100</v>
      </c>
      <c r="D1380" t="s">
        <v>63</v>
      </c>
      <c r="E1380" s="1">
        <v>46058</v>
      </c>
      <c r="F1380" t="s">
        <v>621</v>
      </c>
      <c r="G1380" t="s">
        <v>128</v>
      </c>
      <c r="H1380" s="2">
        <v>0.54166666666666663</v>
      </c>
      <c r="I1380" s="2">
        <v>0.89583333333333337</v>
      </c>
      <c r="J1380" t="s">
        <v>100</v>
      </c>
      <c r="L1380" t="s">
        <v>100</v>
      </c>
      <c r="M1380" t="s">
        <v>101</v>
      </c>
      <c r="N1380" t="s">
        <v>102</v>
      </c>
      <c r="O1380">
        <v>27</v>
      </c>
      <c r="Q1380" t="s">
        <v>103</v>
      </c>
      <c r="R1380" t="s">
        <v>67</v>
      </c>
      <c r="S1380" t="s">
        <v>52</v>
      </c>
      <c r="U1380">
        <v>889492</v>
      </c>
      <c r="V1380" s="3">
        <v>46034.648611111108</v>
      </c>
      <c r="W1380" t="s">
        <v>104</v>
      </c>
      <c r="X1380" t="s">
        <v>105</v>
      </c>
      <c r="Y1380" t="str">
        <f>"0403748369"</f>
        <v>0403748369</v>
      </c>
      <c r="Z1380" t="s">
        <v>3826</v>
      </c>
      <c r="AB1380" t="s">
        <v>71</v>
      </c>
      <c r="AD1380" t="s">
        <v>61</v>
      </c>
      <c r="AE1380" t="s">
        <v>72</v>
      </c>
      <c r="AF1380">
        <v>2747</v>
      </c>
      <c r="AG1380" t="s">
        <v>1051</v>
      </c>
      <c r="AI1380" t="s">
        <v>59</v>
      </c>
      <c r="AL1380" t="s">
        <v>3376</v>
      </c>
      <c r="AN1380" s="3">
        <v>46058.886111111111</v>
      </c>
      <c r="AO1380" t="s">
        <v>104</v>
      </c>
    </row>
    <row r="1381" spans="1:41" x14ac:dyDescent="0.3">
      <c r="A1381" t="s">
        <v>168</v>
      </c>
      <c r="B1381" t="s">
        <v>1178</v>
      </c>
      <c r="C1381" t="s">
        <v>202</v>
      </c>
      <c r="D1381" t="s">
        <v>127</v>
      </c>
      <c r="E1381" s="1">
        <v>46058</v>
      </c>
      <c r="F1381" t="s">
        <v>621</v>
      </c>
      <c r="G1381" t="s">
        <v>128</v>
      </c>
      <c r="H1381" s="2">
        <v>0.54166666666666663</v>
      </c>
      <c r="I1381" s="2">
        <v>0.875</v>
      </c>
      <c r="J1381" t="s">
        <v>46</v>
      </c>
      <c r="L1381" t="s">
        <v>47</v>
      </c>
      <c r="M1381" t="s">
        <v>420</v>
      </c>
      <c r="N1381" t="s">
        <v>421</v>
      </c>
      <c r="O1381">
        <v>21332</v>
      </c>
      <c r="Q1381" t="s">
        <v>2044</v>
      </c>
      <c r="R1381" t="s">
        <v>231</v>
      </c>
      <c r="S1381" t="s">
        <v>52</v>
      </c>
      <c r="U1381">
        <v>889469</v>
      </c>
      <c r="V1381" s="3">
        <v>46057.604166666664</v>
      </c>
      <c r="W1381" t="s">
        <v>422</v>
      </c>
      <c r="X1381" t="s">
        <v>423</v>
      </c>
      <c r="Y1381" t="str">
        <f>"0481793381"</f>
        <v>0481793381</v>
      </c>
      <c r="Z1381" t="s">
        <v>1793</v>
      </c>
      <c r="AB1381" t="s">
        <v>1184</v>
      </c>
      <c r="AD1381" t="s">
        <v>168</v>
      </c>
      <c r="AE1381" t="s">
        <v>1185</v>
      </c>
      <c r="AF1381">
        <v>5066</v>
      </c>
      <c r="AG1381" t="s">
        <v>2047</v>
      </c>
      <c r="AI1381" t="s">
        <v>59</v>
      </c>
      <c r="AL1381" t="s">
        <v>3827</v>
      </c>
      <c r="AN1381" s="3">
        <v>46058.768055555556</v>
      </c>
      <c r="AO1381" t="s">
        <v>422</v>
      </c>
    </row>
    <row r="1382" spans="1:41" x14ac:dyDescent="0.3">
      <c r="A1382" t="s">
        <v>168</v>
      </c>
      <c r="B1382" t="s">
        <v>441</v>
      </c>
      <c r="C1382" t="s">
        <v>202</v>
      </c>
      <c r="E1382" s="1">
        <v>46058</v>
      </c>
      <c r="F1382" t="s">
        <v>621</v>
      </c>
      <c r="G1382" t="s">
        <v>128</v>
      </c>
      <c r="H1382" s="2">
        <v>0.54166666666666663</v>
      </c>
      <c r="I1382" s="2">
        <v>0.875</v>
      </c>
      <c r="J1382" t="s">
        <v>46</v>
      </c>
      <c r="L1382" t="s">
        <v>47</v>
      </c>
      <c r="M1382" t="s">
        <v>1572</v>
      </c>
      <c r="N1382" t="s">
        <v>1573</v>
      </c>
      <c r="O1382">
        <v>5951937</v>
      </c>
      <c r="Q1382" t="s">
        <v>944</v>
      </c>
      <c r="R1382" t="s">
        <v>556</v>
      </c>
      <c r="S1382" t="s">
        <v>52</v>
      </c>
      <c r="U1382">
        <v>889490</v>
      </c>
      <c r="V1382" s="3">
        <v>46050.93472222222</v>
      </c>
      <c r="W1382" t="s">
        <v>1574</v>
      </c>
      <c r="X1382" t="s">
        <v>1575</v>
      </c>
      <c r="Y1382" t="str">
        <f>"0458034418"</f>
        <v>0458034418</v>
      </c>
      <c r="Z1382" t="s">
        <v>70</v>
      </c>
      <c r="AA1382" s="1">
        <v>46058</v>
      </c>
      <c r="AB1382" t="s">
        <v>448</v>
      </c>
      <c r="AD1382" t="s">
        <v>168</v>
      </c>
      <c r="AE1382" t="s">
        <v>180</v>
      </c>
      <c r="AF1382">
        <v>5063</v>
      </c>
      <c r="AG1382" t="s">
        <v>944</v>
      </c>
      <c r="AI1382" t="s">
        <v>59</v>
      </c>
      <c r="AL1382" t="s">
        <v>1720</v>
      </c>
      <c r="AN1382" s="3">
        <v>46058.867361111108</v>
      </c>
      <c r="AO1382" t="s">
        <v>1574</v>
      </c>
    </row>
    <row r="1383" spans="1:41" x14ac:dyDescent="0.3">
      <c r="A1383" t="s">
        <v>168</v>
      </c>
      <c r="B1383" t="s">
        <v>1021</v>
      </c>
      <c r="C1383" t="s">
        <v>216</v>
      </c>
      <c r="D1383" t="s">
        <v>127</v>
      </c>
      <c r="E1383" s="1">
        <v>46058</v>
      </c>
      <c r="F1383" t="s">
        <v>621</v>
      </c>
      <c r="G1383" t="s">
        <v>128</v>
      </c>
      <c r="H1383" s="2">
        <v>0.54166666666666663</v>
      </c>
      <c r="I1383" s="2">
        <v>0.875</v>
      </c>
      <c r="J1383" t="s">
        <v>101</v>
      </c>
      <c r="L1383" t="s">
        <v>159</v>
      </c>
      <c r="M1383" t="s">
        <v>1023</v>
      </c>
      <c r="N1383" t="s">
        <v>1024</v>
      </c>
      <c r="O1383">
        <v>22730</v>
      </c>
      <c r="Q1383" t="s">
        <v>3828</v>
      </c>
      <c r="R1383" t="s">
        <v>1026</v>
      </c>
      <c r="S1383" t="s">
        <v>52</v>
      </c>
      <c r="U1383">
        <v>889482</v>
      </c>
      <c r="V1383" s="3">
        <v>46056.582638888889</v>
      </c>
      <c r="W1383" t="s">
        <v>1027</v>
      </c>
      <c r="X1383" t="s">
        <v>1028</v>
      </c>
      <c r="Y1383" t="str">
        <f>"0402354674"</f>
        <v>0402354674</v>
      </c>
      <c r="Z1383" t="s">
        <v>70</v>
      </c>
      <c r="AA1383" s="1">
        <v>46058</v>
      </c>
      <c r="AB1383" t="s">
        <v>1029</v>
      </c>
      <c r="AD1383" t="s">
        <v>168</v>
      </c>
      <c r="AE1383" t="s">
        <v>1030</v>
      </c>
      <c r="AF1383">
        <v>5022</v>
      </c>
      <c r="AI1383" t="s">
        <v>59</v>
      </c>
      <c r="AL1383" t="s">
        <v>370</v>
      </c>
      <c r="AN1383" s="3">
        <v>46058.825694444444</v>
      </c>
      <c r="AO1383" t="s">
        <v>1027</v>
      </c>
    </row>
    <row r="1384" spans="1:41" x14ac:dyDescent="0.3">
      <c r="A1384" t="s">
        <v>168</v>
      </c>
      <c r="B1384" t="s">
        <v>376</v>
      </c>
      <c r="C1384" t="s">
        <v>216</v>
      </c>
      <c r="D1384" t="s">
        <v>1386</v>
      </c>
      <c r="E1384" s="1">
        <v>46058</v>
      </c>
      <c r="F1384" t="s">
        <v>621</v>
      </c>
      <c r="G1384" t="s">
        <v>128</v>
      </c>
      <c r="H1384" s="2">
        <v>0.54166666666666663</v>
      </c>
      <c r="I1384" s="2">
        <v>0.875</v>
      </c>
      <c r="J1384" t="s">
        <v>101</v>
      </c>
      <c r="L1384" t="s">
        <v>159</v>
      </c>
      <c r="M1384" t="s">
        <v>1033</v>
      </c>
      <c r="N1384" t="s">
        <v>1034</v>
      </c>
      <c r="O1384">
        <v>5952456</v>
      </c>
      <c r="Q1384" t="s">
        <v>2188</v>
      </c>
      <c r="R1384" t="s">
        <v>1390</v>
      </c>
      <c r="S1384" t="s">
        <v>52</v>
      </c>
      <c r="U1384">
        <v>889491</v>
      </c>
      <c r="V1384" s="3">
        <v>46056.726388888892</v>
      </c>
      <c r="W1384" t="s">
        <v>1035</v>
      </c>
      <c r="X1384" t="s">
        <v>1036</v>
      </c>
      <c r="Y1384" t="str">
        <f>"0431375216"</f>
        <v>0431375216</v>
      </c>
      <c r="Z1384" t="s">
        <v>70</v>
      </c>
      <c r="AA1384" s="1">
        <v>46058</v>
      </c>
      <c r="AB1384" t="s">
        <v>383</v>
      </c>
      <c r="AD1384" t="s">
        <v>168</v>
      </c>
      <c r="AE1384" t="s">
        <v>384</v>
      </c>
      <c r="AF1384">
        <v>5000</v>
      </c>
      <c r="AI1384" t="s">
        <v>59</v>
      </c>
      <c r="AL1384" t="s">
        <v>3829</v>
      </c>
      <c r="AN1384" s="3">
        <v>46058.882638888892</v>
      </c>
      <c r="AO1384" t="s">
        <v>1035</v>
      </c>
    </row>
    <row r="1385" spans="1:41" x14ac:dyDescent="0.3">
      <c r="A1385" t="s">
        <v>168</v>
      </c>
      <c r="B1385" t="s">
        <v>441</v>
      </c>
      <c r="C1385" t="s">
        <v>202</v>
      </c>
      <c r="E1385" s="1">
        <v>46058</v>
      </c>
      <c r="F1385" t="s">
        <v>621</v>
      </c>
      <c r="G1385" t="s">
        <v>128</v>
      </c>
      <c r="H1385" s="2">
        <v>0.54166666666666663</v>
      </c>
      <c r="I1385" s="2">
        <v>0.875</v>
      </c>
      <c r="J1385" t="s">
        <v>46</v>
      </c>
      <c r="L1385" t="s">
        <v>47</v>
      </c>
      <c r="M1385" t="s">
        <v>1858</v>
      </c>
      <c r="N1385" t="s">
        <v>1859</v>
      </c>
      <c r="O1385">
        <v>22247</v>
      </c>
      <c r="Q1385" t="s">
        <v>944</v>
      </c>
      <c r="R1385" t="s">
        <v>556</v>
      </c>
      <c r="S1385" t="s">
        <v>52</v>
      </c>
      <c r="U1385">
        <v>889483</v>
      </c>
      <c r="V1385" s="3">
        <v>46050.936805555553</v>
      </c>
      <c r="W1385" t="s">
        <v>1860</v>
      </c>
      <c r="X1385" t="s">
        <v>1861</v>
      </c>
      <c r="Y1385" t="str">
        <f>"0450244995"</f>
        <v>0450244995</v>
      </c>
      <c r="Z1385" t="s">
        <v>70</v>
      </c>
      <c r="AB1385" t="s">
        <v>448</v>
      </c>
      <c r="AD1385" t="s">
        <v>168</v>
      </c>
      <c r="AE1385" t="s">
        <v>180</v>
      </c>
      <c r="AF1385">
        <v>5063</v>
      </c>
      <c r="AG1385" t="s">
        <v>944</v>
      </c>
      <c r="AI1385" t="s">
        <v>59</v>
      </c>
      <c r="AL1385" t="s">
        <v>1720</v>
      </c>
      <c r="AN1385" s="3">
        <v>46058.831250000003</v>
      </c>
      <c r="AO1385" t="s">
        <v>1860</v>
      </c>
    </row>
    <row r="1386" spans="1:41" x14ac:dyDescent="0.3">
      <c r="A1386" t="s">
        <v>168</v>
      </c>
      <c r="B1386" t="s">
        <v>376</v>
      </c>
      <c r="C1386" t="s">
        <v>43</v>
      </c>
      <c r="D1386" t="s">
        <v>127</v>
      </c>
      <c r="E1386" s="1">
        <v>46058</v>
      </c>
      <c r="F1386" t="s">
        <v>621</v>
      </c>
      <c r="G1386" t="s">
        <v>128</v>
      </c>
      <c r="H1386" s="2">
        <v>0.54166666666666663</v>
      </c>
      <c r="I1386" s="2">
        <v>0.875</v>
      </c>
      <c r="J1386" t="s">
        <v>185</v>
      </c>
      <c r="K1386" t="s">
        <v>667</v>
      </c>
      <c r="L1386" t="s">
        <v>186</v>
      </c>
      <c r="M1386" t="s">
        <v>1135</v>
      </c>
      <c r="N1386" t="s">
        <v>1136</v>
      </c>
      <c r="O1386">
        <v>5950894</v>
      </c>
      <c r="Q1386" t="s">
        <v>681</v>
      </c>
      <c r="R1386" t="s">
        <v>231</v>
      </c>
      <c r="S1386" t="s">
        <v>52</v>
      </c>
      <c r="U1386">
        <v>889468</v>
      </c>
      <c r="V1386" s="3">
        <v>46008.606944444444</v>
      </c>
      <c r="W1386" t="s">
        <v>1138</v>
      </c>
      <c r="X1386" t="s">
        <v>1139</v>
      </c>
      <c r="Y1386" t="str">
        <f>"0468819992"</f>
        <v>0468819992</v>
      </c>
      <c r="Z1386" t="s">
        <v>2326</v>
      </c>
      <c r="AB1386" t="s">
        <v>383</v>
      </c>
      <c r="AD1386" t="s">
        <v>168</v>
      </c>
      <c r="AE1386" t="s">
        <v>384</v>
      </c>
      <c r="AF1386">
        <v>5000</v>
      </c>
      <c r="AG1386" t="s">
        <v>674</v>
      </c>
      <c r="AI1386" t="s">
        <v>59</v>
      </c>
      <c r="AL1386" t="s">
        <v>3830</v>
      </c>
      <c r="AN1386" s="3">
        <v>46058.767361111109</v>
      </c>
      <c r="AO1386" t="s">
        <v>1138</v>
      </c>
    </row>
    <row r="1387" spans="1:41" x14ac:dyDescent="0.3">
      <c r="A1387" t="s">
        <v>168</v>
      </c>
      <c r="B1387" t="s">
        <v>336</v>
      </c>
      <c r="C1387" t="s">
        <v>337</v>
      </c>
      <c r="D1387" t="s">
        <v>268</v>
      </c>
      <c r="E1387" s="1">
        <v>46058</v>
      </c>
      <c r="F1387" t="s">
        <v>621</v>
      </c>
      <c r="G1387" t="s">
        <v>128</v>
      </c>
      <c r="H1387" s="2">
        <v>0.54166666666666663</v>
      </c>
      <c r="I1387" s="2">
        <v>0.89583333333333337</v>
      </c>
      <c r="J1387" t="s">
        <v>296</v>
      </c>
      <c r="K1387" t="s">
        <v>338</v>
      </c>
      <c r="L1387" t="s">
        <v>339</v>
      </c>
      <c r="M1387" t="s">
        <v>340</v>
      </c>
      <c r="N1387" t="s">
        <v>341</v>
      </c>
      <c r="O1387">
        <v>5951711</v>
      </c>
      <c r="P1387" t="s">
        <v>338</v>
      </c>
      <c r="Q1387" t="s">
        <v>342</v>
      </c>
      <c r="R1387" t="s">
        <v>176</v>
      </c>
      <c r="S1387" t="s">
        <v>52</v>
      </c>
      <c r="U1387">
        <v>889530</v>
      </c>
      <c r="V1387" s="3">
        <v>46042.581944444442</v>
      </c>
      <c r="W1387" t="s">
        <v>343</v>
      </c>
      <c r="X1387" t="s">
        <v>344</v>
      </c>
      <c r="Y1387" t="str">
        <f>"0422996486"</f>
        <v>0422996486</v>
      </c>
      <c r="Z1387" t="s">
        <v>290</v>
      </c>
      <c r="AB1387" t="s">
        <v>346</v>
      </c>
      <c r="AD1387" t="s">
        <v>168</v>
      </c>
      <c r="AE1387" t="s">
        <v>347</v>
      </c>
      <c r="AF1387">
        <v>5042</v>
      </c>
      <c r="AG1387" t="s">
        <v>342</v>
      </c>
      <c r="AI1387" t="s">
        <v>59</v>
      </c>
      <c r="AL1387" t="s">
        <v>3831</v>
      </c>
      <c r="AM1387" t="s">
        <v>349</v>
      </c>
      <c r="AN1387" s="3">
        <v>46058.913194444445</v>
      </c>
      <c r="AO1387" t="s">
        <v>343</v>
      </c>
    </row>
    <row r="1388" spans="1:41" x14ac:dyDescent="0.3">
      <c r="A1388" t="s">
        <v>61</v>
      </c>
      <c r="B1388" t="s">
        <v>1937</v>
      </c>
      <c r="C1388" t="s">
        <v>100</v>
      </c>
      <c r="D1388" t="s">
        <v>184</v>
      </c>
      <c r="E1388" s="1">
        <v>46058</v>
      </c>
      <c r="F1388" t="s">
        <v>621</v>
      </c>
      <c r="G1388" t="s">
        <v>128</v>
      </c>
      <c r="H1388" s="2">
        <v>0.5625</v>
      </c>
      <c r="I1388" s="2">
        <v>0.91666666666666663</v>
      </c>
      <c r="J1388" t="s">
        <v>100</v>
      </c>
      <c r="L1388" t="s">
        <v>100</v>
      </c>
      <c r="M1388" t="s">
        <v>1938</v>
      </c>
      <c r="N1388" t="s">
        <v>1939</v>
      </c>
      <c r="O1388">
        <v>5951653</v>
      </c>
      <c r="Q1388" t="s">
        <v>1087</v>
      </c>
      <c r="R1388" t="s">
        <v>67</v>
      </c>
      <c r="S1388" t="s">
        <v>52</v>
      </c>
      <c r="U1388">
        <v>889534</v>
      </c>
      <c r="V1388" s="3">
        <v>46051.433333333334</v>
      </c>
      <c r="W1388" t="s">
        <v>1940</v>
      </c>
      <c r="X1388" t="s">
        <v>1941</v>
      </c>
      <c r="Y1388" t="str">
        <f>"0422928911"</f>
        <v>0422928911</v>
      </c>
      <c r="Z1388" t="s">
        <v>1399</v>
      </c>
      <c r="AB1388" t="s">
        <v>1942</v>
      </c>
      <c r="AD1388" t="s">
        <v>61</v>
      </c>
      <c r="AE1388" t="s">
        <v>1943</v>
      </c>
      <c r="AF1388">
        <v>2065</v>
      </c>
      <c r="AG1388" t="s">
        <v>1087</v>
      </c>
      <c r="AI1388" t="s">
        <v>59</v>
      </c>
      <c r="AL1388" t="s">
        <v>3376</v>
      </c>
      <c r="AN1388" s="3">
        <v>46058.938888888886</v>
      </c>
      <c r="AO1388" t="s">
        <v>1940</v>
      </c>
    </row>
    <row r="1389" spans="1:41" x14ac:dyDescent="0.3">
      <c r="A1389" t="s">
        <v>168</v>
      </c>
      <c r="B1389" t="s">
        <v>282</v>
      </c>
      <c r="C1389" t="s">
        <v>43</v>
      </c>
      <c r="D1389" t="s">
        <v>283</v>
      </c>
      <c r="E1389" s="1">
        <v>46058</v>
      </c>
      <c r="F1389" t="s">
        <v>621</v>
      </c>
      <c r="G1389" t="s">
        <v>128</v>
      </c>
      <c r="H1389" s="2">
        <v>0.5625</v>
      </c>
      <c r="I1389" s="2">
        <v>0.83333333333333337</v>
      </c>
      <c r="J1389" t="s">
        <v>185</v>
      </c>
      <c r="K1389" t="s">
        <v>284</v>
      </c>
      <c r="L1389" t="s">
        <v>186</v>
      </c>
      <c r="M1389" t="s">
        <v>3724</v>
      </c>
      <c r="N1389" t="s">
        <v>3725</v>
      </c>
      <c r="O1389">
        <v>5951740</v>
      </c>
      <c r="Q1389" t="s">
        <v>287</v>
      </c>
      <c r="R1389" t="s">
        <v>231</v>
      </c>
      <c r="S1389" t="s">
        <v>52</v>
      </c>
      <c r="U1389">
        <v>889451</v>
      </c>
      <c r="V1389" s="3">
        <v>46056.633333333331</v>
      </c>
      <c r="W1389" t="s">
        <v>3726</v>
      </c>
      <c r="X1389" t="s">
        <v>3727</v>
      </c>
      <c r="Y1389" t="str">
        <f>"0420480820"</f>
        <v>0420480820</v>
      </c>
      <c r="Z1389" t="s">
        <v>2036</v>
      </c>
      <c r="AB1389" t="s">
        <v>291</v>
      </c>
      <c r="AC1389" t="s">
        <v>292</v>
      </c>
      <c r="AD1389" t="s">
        <v>168</v>
      </c>
      <c r="AE1389" t="s">
        <v>293</v>
      </c>
      <c r="AF1389">
        <v>5037</v>
      </c>
      <c r="AG1389" t="s">
        <v>294</v>
      </c>
      <c r="AI1389" t="s">
        <v>59</v>
      </c>
      <c r="AL1389" t="s">
        <v>3342</v>
      </c>
      <c r="AN1389" s="3">
        <v>46058.706944444442</v>
      </c>
      <c r="AO1389" t="s">
        <v>3726</v>
      </c>
    </row>
    <row r="1390" spans="1:41" x14ac:dyDescent="0.3">
      <c r="A1390" t="s">
        <v>306</v>
      </c>
      <c r="B1390" t="s">
        <v>2411</v>
      </c>
      <c r="C1390" t="s">
        <v>913</v>
      </c>
      <c r="D1390" t="s">
        <v>184</v>
      </c>
      <c r="E1390" s="1">
        <v>46058</v>
      </c>
      <c r="F1390" t="s">
        <v>621</v>
      </c>
      <c r="G1390" t="s">
        <v>128</v>
      </c>
      <c r="H1390" s="2">
        <v>0.5625</v>
      </c>
      <c r="I1390" s="2">
        <v>0.89583333333333337</v>
      </c>
      <c r="J1390" t="s">
        <v>1061</v>
      </c>
      <c r="L1390" t="s">
        <v>473</v>
      </c>
      <c r="M1390" t="s">
        <v>3832</v>
      </c>
      <c r="N1390" t="s">
        <v>3833</v>
      </c>
      <c r="O1390">
        <v>5951354</v>
      </c>
      <c r="Q1390" t="s">
        <v>1063</v>
      </c>
      <c r="R1390" t="s">
        <v>314</v>
      </c>
      <c r="S1390" t="s">
        <v>119</v>
      </c>
      <c r="T1390" t="s">
        <v>1932</v>
      </c>
      <c r="U1390">
        <v>889966</v>
      </c>
      <c r="V1390" s="3">
        <v>46057.350694444445</v>
      </c>
      <c r="W1390" t="s">
        <v>3834</v>
      </c>
      <c r="X1390" t="s">
        <v>3835</v>
      </c>
      <c r="Y1390" t="str">
        <f>"0430544559"</f>
        <v>0430544559</v>
      </c>
      <c r="Z1390" t="s">
        <v>70</v>
      </c>
      <c r="AB1390" t="s">
        <v>2412</v>
      </c>
      <c r="AD1390" t="s">
        <v>306</v>
      </c>
      <c r="AE1390" t="s">
        <v>827</v>
      </c>
      <c r="AF1390">
        <v>3181</v>
      </c>
      <c r="AI1390" t="s">
        <v>59</v>
      </c>
      <c r="AL1390" t="s">
        <v>1068</v>
      </c>
      <c r="AM1390" t="s">
        <v>3836</v>
      </c>
      <c r="AN1390" s="3">
        <v>46057.453472222223</v>
      </c>
      <c r="AO1390" t="s">
        <v>314</v>
      </c>
    </row>
    <row r="1391" spans="1:41" x14ac:dyDescent="0.3">
      <c r="A1391" t="s">
        <v>75</v>
      </c>
      <c r="B1391" t="s">
        <v>895</v>
      </c>
      <c r="C1391" t="s">
        <v>1621</v>
      </c>
      <c r="D1391" t="s">
        <v>184</v>
      </c>
      <c r="E1391" s="1">
        <v>46058</v>
      </c>
      <c r="F1391" t="s">
        <v>621</v>
      </c>
      <c r="G1391" t="s">
        <v>128</v>
      </c>
      <c r="H1391" s="2">
        <v>0.58333333333333337</v>
      </c>
      <c r="I1391" s="2">
        <v>0.91666666666666663</v>
      </c>
      <c r="J1391" t="s">
        <v>296</v>
      </c>
      <c r="L1391" t="s">
        <v>1453</v>
      </c>
      <c r="M1391" t="s">
        <v>1622</v>
      </c>
      <c r="N1391" t="s">
        <v>1623</v>
      </c>
      <c r="O1391">
        <v>5952211</v>
      </c>
      <c r="Q1391" t="s">
        <v>1179</v>
      </c>
      <c r="R1391" t="s">
        <v>500</v>
      </c>
      <c r="S1391" t="s">
        <v>52</v>
      </c>
      <c r="U1391">
        <v>889542</v>
      </c>
      <c r="V1391" s="3">
        <v>46042.807638888888</v>
      </c>
      <c r="W1391" t="s">
        <v>1624</v>
      </c>
      <c r="X1391" t="s">
        <v>1625</v>
      </c>
      <c r="Y1391" t="str">
        <f>"0494406921"</f>
        <v>0494406921</v>
      </c>
      <c r="Z1391" t="s">
        <v>3543</v>
      </c>
      <c r="AB1391" t="s">
        <v>902</v>
      </c>
      <c r="AD1391" t="s">
        <v>75</v>
      </c>
      <c r="AE1391" t="s">
        <v>903</v>
      </c>
      <c r="AF1391">
        <v>6009</v>
      </c>
      <c r="AG1391" t="s">
        <v>1179</v>
      </c>
      <c r="AI1391" t="s">
        <v>59</v>
      </c>
      <c r="AL1391" t="s">
        <v>1626</v>
      </c>
      <c r="AN1391" s="3">
        <v>46059.043055555558</v>
      </c>
      <c r="AO1391" t="s">
        <v>1624</v>
      </c>
    </row>
    <row r="1392" spans="1:41" x14ac:dyDescent="0.3">
      <c r="A1392" t="s">
        <v>306</v>
      </c>
      <c r="B1392" t="s">
        <v>386</v>
      </c>
      <c r="C1392" t="s">
        <v>387</v>
      </c>
      <c r="D1392" t="s">
        <v>388</v>
      </c>
      <c r="E1392" s="1">
        <v>46058</v>
      </c>
      <c r="F1392" t="s">
        <v>621</v>
      </c>
      <c r="G1392" t="s">
        <v>128</v>
      </c>
      <c r="H1392" s="2">
        <v>0.58333333333333337</v>
      </c>
      <c r="I1392" s="2">
        <v>0.91666666666666663</v>
      </c>
      <c r="J1392" t="s">
        <v>389</v>
      </c>
      <c r="L1392" t="s">
        <v>298</v>
      </c>
      <c r="M1392" t="s">
        <v>195</v>
      </c>
      <c r="N1392" t="s">
        <v>390</v>
      </c>
      <c r="O1392">
        <v>5951661</v>
      </c>
      <c r="P1392" t="s">
        <v>249</v>
      </c>
      <c r="Q1392" t="s">
        <v>391</v>
      </c>
      <c r="R1392" t="s">
        <v>392</v>
      </c>
      <c r="S1392" t="s">
        <v>52</v>
      </c>
      <c r="T1392" t="s">
        <v>252</v>
      </c>
      <c r="U1392">
        <v>889998</v>
      </c>
      <c r="V1392" s="3">
        <v>46063.614583333336</v>
      </c>
      <c r="W1392" t="s">
        <v>393</v>
      </c>
      <c r="X1392" t="s">
        <v>394</v>
      </c>
      <c r="Y1392" t="str">
        <f>"0427371732"</f>
        <v>0427371732</v>
      </c>
      <c r="Z1392" t="s">
        <v>290</v>
      </c>
      <c r="AA1392" s="1">
        <v>46141</v>
      </c>
      <c r="AB1392" t="s">
        <v>396</v>
      </c>
      <c r="AD1392" t="s">
        <v>397</v>
      </c>
      <c r="AE1392" t="s">
        <v>398</v>
      </c>
      <c r="AF1392">
        <v>7919</v>
      </c>
      <c r="AG1392" t="s">
        <v>399</v>
      </c>
      <c r="AI1392" t="s">
        <v>59</v>
      </c>
      <c r="AJ1392" t="str">
        <f>"0090000067"</f>
        <v>0090000067</v>
      </c>
      <c r="AN1392" s="3">
        <v>46063.614583333336</v>
      </c>
      <c r="AO1392" t="s">
        <v>392</v>
      </c>
    </row>
    <row r="1393" spans="1:41" x14ac:dyDescent="0.3">
      <c r="A1393" t="s">
        <v>75</v>
      </c>
      <c r="B1393" t="s">
        <v>895</v>
      </c>
      <c r="C1393" t="s">
        <v>3837</v>
      </c>
      <c r="D1393" t="s">
        <v>184</v>
      </c>
      <c r="E1393" s="1">
        <v>46058</v>
      </c>
      <c r="F1393" t="s">
        <v>621</v>
      </c>
      <c r="G1393" t="s">
        <v>128</v>
      </c>
      <c r="H1393" s="2">
        <v>0.58333333333333337</v>
      </c>
      <c r="I1393" s="2">
        <v>0.91666666666666663</v>
      </c>
      <c r="J1393" t="s">
        <v>296</v>
      </c>
      <c r="L1393" t="s">
        <v>1453</v>
      </c>
      <c r="M1393" t="s">
        <v>3334</v>
      </c>
      <c r="N1393" t="s">
        <v>3335</v>
      </c>
      <c r="O1393">
        <v>5951764</v>
      </c>
      <c r="Q1393" t="s">
        <v>2159</v>
      </c>
      <c r="R1393" t="s">
        <v>926</v>
      </c>
      <c r="S1393" t="s">
        <v>52</v>
      </c>
      <c r="U1393">
        <v>889541</v>
      </c>
      <c r="V1393" s="3">
        <v>46050.517361111109</v>
      </c>
      <c r="W1393" t="s">
        <v>3336</v>
      </c>
      <c r="X1393" t="s">
        <v>3337</v>
      </c>
      <c r="Y1393" t="str">
        <f>"0466977945"</f>
        <v>0466977945</v>
      </c>
      <c r="Z1393" t="s">
        <v>70</v>
      </c>
      <c r="AA1393" s="1">
        <v>46058</v>
      </c>
      <c r="AB1393" t="s">
        <v>902</v>
      </c>
      <c r="AD1393" t="s">
        <v>75</v>
      </c>
      <c r="AE1393" t="s">
        <v>903</v>
      </c>
      <c r="AF1393">
        <v>6009</v>
      </c>
      <c r="AG1393" t="s">
        <v>2159</v>
      </c>
      <c r="AI1393" t="s">
        <v>59</v>
      </c>
      <c r="AL1393" t="s">
        <v>3838</v>
      </c>
      <c r="AN1393" s="3">
        <v>46059.040972222225</v>
      </c>
      <c r="AO1393" t="s">
        <v>3336</v>
      </c>
    </row>
    <row r="1394" spans="1:41" x14ac:dyDescent="0.3">
      <c r="A1394" t="s">
        <v>61</v>
      </c>
      <c r="B1394" t="s">
        <v>182</v>
      </c>
      <c r="C1394" t="s">
        <v>183</v>
      </c>
      <c r="D1394" t="s">
        <v>184</v>
      </c>
      <c r="E1394" s="1">
        <v>46058</v>
      </c>
      <c r="F1394" t="s">
        <v>621</v>
      </c>
      <c r="G1394" t="s">
        <v>128</v>
      </c>
      <c r="H1394" s="2">
        <v>0.58333333333333337</v>
      </c>
      <c r="I1394" s="2">
        <v>0.99861111111111112</v>
      </c>
      <c r="J1394" t="s">
        <v>185</v>
      </c>
      <c r="L1394" t="s">
        <v>790</v>
      </c>
      <c r="M1394" t="s">
        <v>791</v>
      </c>
      <c r="N1394" t="s">
        <v>792</v>
      </c>
      <c r="O1394">
        <v>5952334</v>
      </c>
      <c r="Q1394" t="s">
        <v>189</v>
      </c>
      <c r="R1394" t="s">
        <v>132</v>
      </c>
      <c r="S1394" t="s">
        <v>52</v>
      </c>
      <c r="U1394">
        <v>889478</v>
      </c>
      <c r="V1394" s="3">
        <v>46051.450694444444</v>
      </c>
      <c r="W1394" t="s">
        <v>793</v>
      </c>
      <c r="X1394" t="s">
        <v>794</v>
      </c>
      <c r="Y1394" t="str">
        <f>"0422273393"</f>
        <v>0422273393</v>
      </c>
      <c r="Z1394" t="s">
        <v>649</v>
      </c>
      <c r="AB1394" t="s">
        <v>193</v>
      </c>
      <c r="AD1394" t="s">
        <v>61</v>
      </c>
      <c r="AE1394" t="s">
        <v>194</v>
      </c>
      <c r="AF1394">
        <v>2229</v>
      </c>
      <c r="AG1394" t="s">
        <v>189</v>
      </c>
      <c r="AI1394" t="s">
        <v>59</v>
      </c>
      <c r="AL1394" t="s">
        <v>3839</v>
      </c>
      <c r="AN1394" s="3">
        <v>46058.791666666664</v>
      </c>
      <c r="AO1394" t="s">
        <v>793</v>
      </c>
    </row>
    <row r="1395" spans="1:41" x14ac:dyDescent="0.3">
      <c r="A1395" t="s">
        <v>168</v>
      </c>
      <c r="B1395" t="s">
        <v>282</v>
      </c>
      <c r="C1395" t="s">
        <v>170</v>
      </c>
      <c r="D1395" t="s">
        <v>283</v>
      </c>
      <c r="E1395" s="1">
        <v>46058</v>
      </c>
      <c r="F1395" t="s">
        <v>621</v>
      </c>
      <c r="G1395" t="s">
        <v>128</v>
      </c>
      <c r="H1395" s="2">
        <v>0.58333333333333337</v>
      </c>
      <c r="I1395" s="2">
        <v>0.83333333333333337</v>
      </c>
      <c r="J1395" t="s">
        <v>170</v>
      </c>
      <c r="K1395" t="s">
        <v>77</v>
      </c>
      <c r="L1395" t="s">
        <v>790</v>
      </c>
      <c r="M1395" t="s">
        <v>2937</v>
      </c>
      <c r="N1395" t="s">
        <v>3344</v>
      </c>
      <c r="O1395">
        <v>95</v>
      </c>
      <c r="Q1395" t="s">
        <v>287</v>
      </c>
      <c r="R1395" t="s">
        <v>231</v>
      </c>
      <c r="S1395" t="s">
        <v>52</v>
      </c>
      <c r="U1395">
        <v>889470</v>
      </c>
      <c r="V1395" s="3">
        <v>46056.633333333331</v>
      </c>
      <c r="W1395" t="s">
        <v>3345</v>
      </c>
      <c r="X1395" t="s">
        <v>3346</v>
      </c>
      <c r="Y1395" t="str">
        <f>"0431966383"</f>
        <v>0431966383</v>
      </c>
      <c r="Z1395" t="s">
        <v>984</v>
      </c>
      <c r="AB1395" t="s">
        <v>291</v>
      </c>
      <c r="AC1395" t="s">
        <v>292</v>
      </c>
      <c r="AD1395" t="s">
        <v>168</v>
      </c>
      <c r="AE1395" t="s">
        <v>293</v>
      </c>
      <c r="AF1395">
        <v>5037</v>
      </c>
      <c r="AG1395" t="s">
        <v>294</v>
      </c>
      <c r="AI1395" t="s">
        <v>59</v>
      </c>
      <c r="AL1395" t="s">
        <v>3342</v>
      </c>
      <c r="AN1395" s="3">
        <v>46058.769444444442</v>
      </c>
      <c r="AO1395" t="s">
        <v>3345</v>
      </c>
    </row>
    <row r="1396" spans="1:41" x14ac:dyDescent="0.3">
      <c r="A1396" t="s">
        <v>168</v>
      </c>
      <c r="B1396" t="s">
        <v>376</v>
      </c>
      <c r="C1396" t="s">
        <v>100</v>
      </c>
      <c r="D1396" t="s">
        <v>127</v>
      </c>
      <c r="E1396" s="1">
        <v>46058</v>
      </c>
      <c r="F1396" t="s">
        <v>621</v>
      </c>
      <c r="G1396" t="s">
        <v>128</v>
      </c>
      <c r="H1396" s="2">
        <v>0.58333333333333337</v>
      </c>
      <c r="I1396" s="2">
        <v>0.875</v>
      </c>
      <c r="J1396" t="s">
        <v>100</v>
      </c>
      <c r="M1396" t="s">
        <v>3840</v>
      </c>
      <c r="N1396" t="s">
        <v>3841</v>
      </c>
      <c r="O1396">
        <v>22503</v>
      </c>
      <c r="Q1396" t="s">
        <v>670</v>
      </c>
      <c r="R1396" t="s">
        <v>380</v>
      </c>
      <c r="S1396" t="s">
        <v>52</v>
      </c>
      <c r="U1396">
        <v>889494</v>
      </c>
      <c r="V1396" s="3">
        <v>46045.364583333336</v>
      </c>
      <c r="W1396" t="s">
        <v>3842</v>
      </c>
      <c r="X1396" t="s">
        <v>3843</v>
      </c>
      <c r="Y1396" t="str">
        <f>"0449100018"</f>
        <v>0449100018</v>
      </c>
      <c r="Z1396" t="s">
        <v>503</v>
      </c>
      <c r="AA1396" s="1">
        <v>46058</v>
      </c>
      <c r="AB1396" t="s">
        <v>383</v>
      </c>
      <c r="AD1396" t="s">
        <v>168</v>
      </c>
      <c r="AE1396" t="s">
        <v>384</v>
      </c>
      <c r="AF1396">
        <v>5000</v>
      </c>
      <c r="AI1396" t="s">
        <v>59</v>
      </c>
      <c r="AL1396" t="s">
        <v>385</v>
      </c>
      <c r="AN1396" s="3">
        <v>46058.893750000003</v>
      </c>
      <c r="AO1396" t="s">
        <v>3842</v>
      </c>
    </row>
    <row r="1397" spans="1:41" x14ac:dyDescent="0.3">
      <c r="A1397" t="s">
        <v>168</v>
      </c>
      <c r="B1397" t="s">
        <v>400</v>
      </c>
      <c r="C1397" t="s">
        <v>100</v>
      </c>
      <c r="D1397" t="s">
        <v>401</v>
      </c>
      <c r="E1397" s="1">
        <v>46058</v>
      </c>
      <c r="F1397" t="s">
        <v>621</v>
      </c>
      <c r="G1397" t="s">
        <v>128</v>
      </c>
      <c r="H1397" s="2">
        <v>0.58333333333333337</v>
      </c>
      <c r="I1397" s="2">
        <v>0.91666666666666663</v>
      </c>
      <c r="J1397" t="s">
        <v>100</v>
      </c>
      <c r="L1397" t="s">
        <v>100</v>
      </c>
      <c r="M1397" t="s">
        <v>402</v>
      </c>
      <c r="N1397" t="s">
        <v>403</v>
      </c>
      <c r="O1397">
        <v>21398</v>
      </c>
      <c r="Q1397" t="s">
        <v>2281</v>
      </c>
      <c r="R1397" t="s">
        <v>231</v>
      </c>
      <c r="S1397" t="s">
        <v>52</v>
      </c>
      <c r="U1397">
        <v>889533</v>
      </c>
      <c r="V1397" s="3">
        <v>46050.664583333331</v>
      </c>
      <c r="W1397" t="s">
        <v>405</v>
      </c>
      <c r="X1397" t="s">
        <v>406</v>
      </c>
      <c r="Y1397" t="str">
        <f>"0423877972"</f>
        <v>0423877972</v>
      </c>
      <c r="Z1397" t="s">
        <v>483</v>
      </c>
      <c r="AB1397" t="s">
        <v>407</v>
      </c>
      <c r="AD1397" t="s">
        <v>168</v>
      </c>
      <c r="AE1397" t="s">
        <v>347</v>
      </c>
      <c r="AF1397">
        <v>5042</v>
      </c>
      <c r="AG1397" t="s">
        <v>1662</v>
      </c>
      <c r="AI1397" t="s">
        <v>59</v>
      </c>
      <c r="AL1397" t="s">
        <v>3844</v>
      </c>
      <c r="AM1397" t="s">
        <v>2752</v>
      </c>
      <c r="AN1397" s="3">
        <v>46058.932638888888</v>
      </c>
      <c r="AO1397" t="s">
        <v>405</v>
      </c>
    </row>
    <row r="1398" spans="1:41" x14ac:dyDescent="0.3">
      <c r="A1398" t="s">
        <v>168</v>
      </c>
      <c r="B1398" t="s">
        <v>441</v>
      </c>
      <c r="C1398" t="s">
        <v>101</v>
      </c>
      <c r="E1398" s="1">
        <v>46058</v>
      </c>
      <c r="F1398" t="s">
        <v>621</v>
      </c>
      <c r="G1398" t="s">
        <v>128</v>
      </c>
      <c r="H1398" s="2">
        <v>0.60416666666666663</v>
      </c>
      <c r="I1398" s="2">
        <v>0.83333333333333337</v>
      </c>
      <c r="J1398" t="s">
        <v>101</v>
      </c>
      <c r="L1398" t="s">
        <v>159</v>
      </c>
      <c r="M1398" t="s">
        <v>1377</v>
      </c>
      <c r="N1398" t="s">
        <v>1378</v>
      </c>
      <c r="O1398">
        <v>22414</v>
      </c>
      <c r="Q1398" t="s">
        <v>944</v>
      </c>
      <c r="R1398" t="s">
        <v>231</v>
      </c>
      <c r="S1398" t="s">
        <v>52</v>
      </c>
      <c r="U1398">
        <v>889464</v>
      </c>
      <c r="V1398" s="3">
        <v>46056.500694444447</v>
      </c>
      <c r="W1398" t="s">
        <v>1379</v>
      </c>
      <c r="X1398" t="s">
        <v>1380</v>
      </c>
      <c r="Y1398" t="str">
        <f>"0425653004"</f>
        <v>0425653004</v>
      </c>
      <c r="Z1398" t="s">
        <v>123</v>
      </c>
      <c r="AB1398" t="s">
        <v>448</v>
      </c>
      <c r="AD1398" t="s">
        <v>168</v>
      </c>
      <c r="AE1398" t="s">
        <v>180</v>
      </c>
      <c r="AF1398">
        <v>5063</v>
      </c>
      <c r="AG1398" t="s">
        <v>944</v>
      </c>
      <c r="AI1398" t="s">
        <v>59</v>
      </c>
      <c r="AL1398" t="s">
        <v>3845</v>
      </c>
      <c r="AN1398" s="3">
        <v>46058.754166666666</v>
      </c>
      <c r="AO1398" t="s">
        <v>1379</v>
      </c>
    </row>
    <row r="1399" spans="1:41" x14ac:dyDescent="0.3">
      <c r="A1399" t="s">
        <v>168</v>
      </c>
      <c r="B1399" t="s">
        <v>1963</v>
      </c>
      <c r="C1399" t="s">
        <v>602</v>
      </c>
      <c r="D1399" t="s">
        <v>401</v>
      </c>
      <c r="E1399" s="1">
        <v>46058</v>
      </c>
      <c r="F1399" t="s">
        <v>621</v>
      </c>
      <c r="G1399" t="s">
        <v>128</v>
      </c>
      <c r="H1399" s="2">
        <v>0.60416666666666663</v>
      </c>
      <c r="I1399" s="2">
        <v>0.9375</v>
      </c>
      <c r="J1399" t="s">
        <v>269</v>
      </c>
      <c r="L1399" t="s">
        <v>172</v>
      </c>
      <c r="M1399" t="s">
        <v>3010</v>
      </c>
      <c r="N1399" t="s">
        <v>3846</v>
      </c>
      <c r="O1399">
        <v>5951993</v>
      </c>
      <c r="Q1399" t="s">
        <v>1401</v>
      </c>
      <c r="R1399" t="s">
        <v>231</v>
      </c>
      <c r="S1399" t="s">
        <v>52</v>
      </c>
      <c r="U1399">
        <v>889488</v>
      </c>
      <c r="V1399" s="3">
        <v>46057.445138888892</v>
      </c>
      <c r="W1399" t="s">
        <v>3847</v>
      </c>
      <c r="X1399" t="s">
        <v>3848</v>
      </c>
      <c r="Y1399" t="str">
        <f>"0478004552"</f>
        <v>0478004552</v>
      </c>
      <c r="Z1399" t="s">
        <v>70</v>
      </c>
      <c r="AA1399" s="1">
        <v>46058</v>
      </c>
      <c r="AB1399" t="s">
        <v>1967</v>
      </c>
      <c r="AD1399" t="s">
        <v>168</v>
      </c>
      <c r="AE1399" t="s">
        <v>1968</v>
      </c>
      <c r="AF1399">
        <v>5000</v>
      </c>
      <c r="AG1399" t="s">
        <v>1401</v>
      </c>
      <c r="AI1399" t="s">
        <v>59</v>
      </c>
      <c r="AL1399" t="s">
        <v>3849</v>
      </c>
      <c r="AN1399" s="3">
        <v>46058.851388888892</v>
      </c>
      <c r="AO1399" t="s">
        <v>3847</v>
      </c>
    </row>
    <row r="1400" spans="1:41" x14ac:dyDescent="0.3">
      <c r="A1400" t="s">
        <v>41</v>
      </c>
      <c r="B1400" t="s">
        <v>589</v>
      </c>
      <c r="C1400" t="s">
        <v>590</v>
      </c>
      <c r="D1400" t="s">
        <v>246</v>
      </c>
      <c r="E1400" s="1">
        <v>46058</v>
      </c>
      <c r="F1400" t="s">
        <v>621</v>
      </c>
      <c r="G1400" t="s">
        <v>128</v>
      </c>
      <c r="H1400" s="2">
        <v>0.60416666666666663</v>
      </c>
      <c r="I1400" s="2">
        <v>0.95833333333333337</v>
      </c>
      <c r="J1400" t="s">
        <v>591</v>
      </c>
      <c r="L1400" t="s">
        <v>592</v>
      </c>
      <c r="M1400" t="s">
        <v>593</v>
      </c>
      <c r="N1400" t="s">
        <v>594</v>
      </c>
      <c r="O1400">
        <v>5952427</v>
      </c>
      <c r="P1400" t="s">
        <v>249</v>
      </c>
      <c r="Q1400" t="s">
        <v>596</v>
      </c>
      <c r="R1400" t="s">
        <v>392</v>
      </c>
      <c r="S1400" t="s">
        <v>52</v>
      </c>
      <c r="T1400" t="s">
        <v>252</v>
      </c>
      <c r="U1400">
        <v>889907</v>
      </c>
      <c r="V1400" s="3">
        <v>46062.880555555559</v>
      </c>
      <c r="W1400" t="s">
        <v>597</v>
      </c>
      <c r="X1400" t="s">
        <v>598</v>
      </c>
      <c r="Y1400" t="str">
        <f>"0432677728"</f>
        <v>0432677728</v>
      </c>
      <c r="Z1400" t="s">
        <v>254</v>
      </c>
      <c r="AA1400" s="1">
        <v>46082</v>
      </c>
      <c r="AB1400" t="s">
        <v>599</v>
      </c>
      <c r="AC1400" t="s">
        <v>600</v>
      </c>
      <c r="AD1400" t="s">
        <v>41</v>
      </c>
      <c r="AE1400" t="s">
        <v>600</v>
      </c>
      <c r="AF1400">
        <v>4610</v>
      </c>
      <c r="AG1400" t="s">
        <v>601</v>
      </c>
      <c r="AI1400" t="s">
        <v>59</v>
      </c>
      <c r="AJ1400" t="str">
        <f>"0050075752"</f>
        <v>0050075752</v>
      </c>
      <c r="AN1400" s="3">
        <v>46062.880555555559</v>
      </c>
      <c r="AO1400" t="s">
        <v>392</v>
      </c>
    </row>
    <row r="1401" spans="1:41" x14ac:dyDescent="0.3">
      <c r="A1401" t="s">
        <v>41</v>
      </c>
      <c r="B1401" t="s">
        <v>551</v>
      </c>
      <c r="C1401" t="s">
        <v>296</v>
      </c>
      <c r="D1401" t="s">
        <v>246</v>
      </c>
      <c r="E1401" s="1">
        <v>46058</v>
      </c>
      <c r="F1401" t="s">
        <v>621</v>
      </c>
      <c r="G1401" t="s">
        <v>128</v>
      </c>
      <c r="H1401" s="2">
        <v>0.60416666666666663</v>
      </c>
      <c r="I1401" s="2">
        <v>0.95833333333333337</v>
      </c>
      <c r="J1401" t="s">
        <v>552</v>
      </c>
      <c r="K1401" t="s">
        <v>553</v>
      </c>
      <c r="L1401" t="s">
        <v>428</v>
      </c>
      <c r="M1401" t="s">
        <v>429</v>
      </c>
      <c r="N1401" t="s">
        <v>430</v>
      </c>
      <c r="O1401">
        <v>5950727</v>
      </c>
      <c r="Q1401" t="s">
        <v>3850</v>
      </c>
      <c r="R1401" t="s">
        <v>51</v>
      </c>
      <c r="S1401" t="s">
        <v>52</v>
      </c>
      <c r="U1401">
        <v>889536</v>
      </c>
      <c r="V1401" s="3">
        <v>46058.555555555555</v>
      </c>
      <c r="W1401" t="s">
        <v>432</v>
      </c>
      <c r="X1401" t="s">
        <v>433</v>
      </c>
      <c r="Y1401" t="str">
        <f>"0420946792"</f>
        <v>0420946792</v>
      </c>
      <c r="Z1401" t="s">
        <v>70</v>
      </c>
      <c r="AA1401" s="1">
        <v>46058</v>
      </c>
      <c r="AB1401" t="s">
        <v>559</v>
      </c>
      <c r="AD1401" t="s">
        <v>41</v>
      </c>
      <c r="AE1401" t="s">
        <v>560</v>
      </c>
      <c r="AF1401">
        <v>4131</v>
      </c>
      <c r="AG1401" t="s">
        <v>3850</v>
      </c>
      <c r="AI1401" t="s">
        <v>59</v>
      </c>
      <c r="AN1401" s="3">
        <v>46058.967361111114</v>
      </c>
      <c r="AO1401" t="s">
        <v>432</v>
      </c>
    </row>
    <row r="1402" spans="1:41" x14ac:dyDescent="0.3">
      <c r="A1402" t="s">
        <v>41</v>
      </c>
      <c r="B1402" t="s">
        <v>2102</v>
      </c>
      <c r="C1402" t="s">
        <v>3233</v>
      </c>
      <c r="D1402" t="s">
        <v>1286</v>
      </c>
      <c r="E1402" s="1">
        <v>46058</v>
      </c>
      <c r="F1402" t="s">
        <v>621</v>
      </c>
      <c r="G1402" t="s">
        <v>128</v>
      </c>
      <c r="H1402" s="2">
        <v>0.60416666666666663</v>
      </c>
      <c r="I1402" s="2">
        <v>0.95833333333333337</v>
      </c>
      <c r="J1402" t="s">
        <v>464</v>
      </c>
      <c r="L1402" t="s">
        <v>464</v>
      </c>
      <c r="M1402" t="s">
        <v>465</v>
      </c>
      <c r="N1402" t="s">
        <v>466</v>
      </c>
      <c r="O1402">
        <v>401722</v>
      </c>
      <c r="Q1402" t="s">
        <v>1245</v>
      </c>
      <c r="R1402" t="s">
        <v>723</v>
      </c>
      <c r="S1402" t="s">
        <v>52</v>
      </c>
      <c r="U1402">
        <v>889538</v>
      </c>
      <c r="V1402" s="3">
        <v>46058.527777777781</v>
      </c>
      <c r="W1402" t="s">
        <v>468</v>
      </c>
      <c r="X1402" t="s">
        <v>469</v>
      </c>
      <c r="Y1402" t="str">
        <f>"0423030872"</f>
        <v>0423030872</v>
      </c>
      <c r="Z1402" t="s">
        <v>70</v>
      </c>
      <c r="AA1402" s="1">
        <v>46058</v>
      </c>
      <c r="AB1402" t="s">
        <v>2107</v>
      </c>
      <c r="AD1402" t="s">
        <v>41</v>
      </c>
      <c r="AE1402" t="s">
        <v>2108</v>
      </c>
      <c r="AF1402">
        <v>4066</v>
      </c>
      <c r="AG1402" t="s">
        <v>98</v>
      </c>
      <c r="AI1402" t="s">
        <v>59</v>
      </c>
      <c r="AL1402" t="s">
        <v>3851</v>
      </c>
      <c r="AN1402" s="3">
        <v>46059.003472222219</v>
      </c>
      <c r="AO1402" t="s">
        <v>468</v>
      </c>
    </row>
    <row r="1403" spans="1:41" x14ac:dyDescent="0.3">
      <c r="A1403" t="s">
        <v>168</v>
      </c>
      <c r="B1403" t="s">
        <v>2606</v>
      </c>
      <c r="C1403" t="s">
        <v>602</v>
      </c>
      <c r="D1403" t="s">
        <v>268</v>
      </c>
      <c r="E1403" s="1">
        <v>46058</v>
      </c>
      <c r="F1403" t="s">
        <v>621</v>
      </c>
      <c r="G1403" t="s">
        <v>128</v>
      </c>
      <c r="H1403" s="2">
        <v>0.625</v>
      </c>
      <c r="I1403" s="2">
        <v>0.89583333333333337</v>
      </c>
      <c r="J1403" t="s">
        <v>269</v>
      </c>
      <c r="K1403" t="s">
        <v>849</v>
      </c>
      <c r="L1403" t="s">
        <v>609</v>
      </c>
      <c r="M1403" t="s">
        <v>3468</v>
      </c>
      <c r="N1403" t="s">
        <v>3469</v>
      </c>
      <c r="O1403">
        <v>5950897</v>
      </c>
      <c r="Q1403" t="s">
        <v>413</v>
      </c>
      <c r="R1403" t="s">
        <v>231</v>
      </c>
      <c r="S1403" t="s">
        <v>52</v>
      </c>
      <c r="U1403">
        <v>889537</v>
      </c>
      <c r="V1403" s="3">
        <v>46057.37777777778</v>
      </c>
      <c r="W1403" t="s">
        <v>3470</v>
      </c>
      <c r="X1403" t="s">
        <v>3471</v>
      </c>
      <c r="Y1403" t="str">
        <f>"0424135472"</f>
        <v>0424135472</v>
      </c>
      <c r="Z1403" t="s">
        <v>70</v>
      </c>
      <c r="AA1403" s="1">
        <v>46058</v>
      </c>
      <c r="AB1403" t="s">
        <v>2608</v>
      </c>
      <c r="AC1403" t="s">
        <v>2609</v>
      </c>
      <c r="AD1403" t="s">
        <v>168</v>
      </c>
      <c r="AE1403" t="s">
        <v>2610</v>
      </c>
      <c r="AF1403">
        <v>5211</v>
      </c>
      <c r="AI1403" t="s">
        <v>59</v>
      </c>
      <c r="AL1403" t="s">
        <v>3852</v>
      </c>
      <c r="AM1403" t="s">
        <v>3853</v>
      </c>
      <c r="AN1403" s="3">
        <v>46058.97152777778</v>
      </c>
      <c r="AO1403" t="s">
        <v>3470</v>
      </c>
    </row>
    <row r="1404" spans="1:41" x14ac:dyDescent="0.3">
      <c r="A1404" t="s">
        <v>41</v>
      </c>
      <c r="B1404" t="s">
        <v>2758</v>
      </c>
      <c r="C1404" t="s">
        <v>296</v>
      </c>
      <c r="D1404" t="s">
        <v>63</v>
      </c>
      <c r="E1404" s="1">
        <v>46058</v>
      </c>
      <c r="F1404" t="s">
        <v>621</v>
      </c>
      <c r="G1404" t="s">
        <v>128</v>
      </c>
      <c r="H1404" s="2">
        <v>0.625</v>
      </c>
      <c r="I1404" s="2">
        <v>0.95833333333333337</v>
      </c>
      <c r="J1404" t="s">
        <v>296</v>
      </c>
      <c r="L1404" t="s">
        <v>1229</v>
      </c>
      <c r="M1404" t="s">
        <v>1230</v>
      </c>
      <c r="N1404" t="s">
        <v>1231</v>
      </c>
      <c r="O1404">
        <v>5952329</v>
      </c>
      <c r="Q1404" t="s">
        <v>3078</v>
      </c>
      <c r="R1404" t="s">
        <v>1472</v>
      </c>
      <c r="S1404" t="s">
        <v>52</v>
      </c>
      <c r="U1404">
        <v>889539</v>
      </c>
      <c r="V1404" s="3">
        <v>46058.448611111111</v>
      </c>
      <c r="W1404" t="s">
        <v>1233</v>
      </c>
      <c r="X1404" t="s">
        <v>1234</v>
      </c>
      <c r="Y1404" t="str">
        <f>"0485533840"</f>
        <v>0485533840</v>
      </c>
      <c r="Z1404" t="s">
        <v>70</v>
      </c>
      <c r="AA1404" s="1">
        <v>46058</v>
      </c>
      <c r="AB1404" t="s">
        <v>2760</v>
      </c>
      <c r="AD1404" t="s">
        <v>41</v>
      </c>
      <c r="AE1404" t="s">
        <v>1236</v>
      </c>
      <c r="AF1404">
        <v>4215</v>
      </c>
      <c r="AG1404" t="s">
        <v>3854</v>
      </c>
      <c r="AI1404" t="s">
        <v>59</v>
      </c>
      <c r="AL1404" t="s">
        <v>3855</v>
      </c>
      <c r="AN1404" s="3">
        <v>46059.004861111112</v>
      </c>
      <c r="AO1404" t="s">
        <v>1233</v>
      </c>
    </row>
    <row r="1405" spans="1:41" x14ac:dyDescent="0.3">
      <c r="A1405" t="s">
        <v>306</v>
      </c>
      <c r="B1405" t="s">
        <v>1060</v>
      </c>
      <c r="C1405" t="s">
        <v>913</v>
      </c>
      <c r="D1405" t="s">
        <v>184</v>
      </c>
      <c r="E1405" s="1">
        <v>46058</v>
      </c>
      <c r="F1405" t="s">
        <v>621</v>
      </c>
      <c r="G1405" t="s">
        <v>128</v>
      </c>
      <c r="H1405" s="2">
        <v>0.625</v>
      </c>
      <c r="I1405" s="2">
        <v>4.1666666666666664E-2</v>
      </c>
      <c r="J1405" t="s">
        <v>451</v>
      </c>
      <c r="L1405" t="s">
        <v>473</v>
      </c>
      <c r="M1405" t="s">
        <v>474</v>
      </c>
      <c r="N1405" t="s">
        <v>475</v>
      </c>
      <c r="O1405">
        <v>5950662</v>
      </c>
      <c r="Q1405" t="s">
        <v>1063</v>
      </c>
      <c r="R1405" t="s">
        <v>476</v>
      </c>
      <c r="S1405" t="s">
        <v>52</v>
      </c>
      <c r="U1405">
        <v>889688</v>
      </c>
      <c r="V1405" s="3">
        <v>46057.636805555558</v>
      </c>
      <c r="W1405" t="s">
        <v>477</v>
      </c>
      <c r="X1405" t="s">
        <v>478</v>
      </c>
      <c r="Y1405" t="str">
        <f>"0449808311"</f>
        <v>0449808311</v>
      </c>
      <c r="Z1405" t="s">
        <v>70</v>
      </c>
      <c r="AA1405" s="1">
        <v>46058</v>
      </c>
      <c r="AB1405" t="s">
        <v>1066</v>
      </c>
      <c r="AD1405" t="s">
        <v>306</v>
      </c>
      <c r="AE1405" t="s">
        <v>1067</v>
      </c>
      <c r="AF1405">
        <v>3084</v>
      </c>
      <c r="AG1405" t="s">
        <v>413</v>
      </c>
      <c r="AI1405" t="s">
        <v>59</v>
      </c>
      <c r="AL1405" t="s">
        <v>87</v>
      </c>
      <c r="AN1405" s="3">
        <v>46060.82916666667</v>
      </c>
      <c r="AO1405" t="s">
        <v>477</v>
      </c>
    </row>
    <row r="1406" spans="1:41" x14ac:dyDescent="0.3">
      <c r="A1406" t="s">
        <v>306</v>
      </c>
      <c r="B1406" t="s">
        <v>450</v>
      </c>
      <c r="C1406" t="s">
        <v>100</v>
      </c>
      <c r="D1406" t="s">
        <v>63</v>
      </c>
      <c r="E1406" s="1">
        <v>46058</v>
      </c>
      <c r="F1406" t="s">
        <v>621</v>
      </c>
      <c r="G1406" t="s">
        <v>128</v>
      </c>
      <c r="H1406" s="2">
        <v>0.625</v>
      </c>
      <c r="I1406" s="2">
        <v>0.91666666666666663</v>
      </c>
      <c r="J1406" t="s">
        <v>451</v>
      </c>
      <c r="L1406" t="s">
        <v>452</v>
      </c>
      <c r="M1406" t="s">
        <v>1980</v>
      </c>
      <c r="N1406" t="s">
        <v>1981</v>
      </c>
      <c r="O1406">
        <v>21297</v>
      </c>
      <c r="Q1406" t="s">
        <v>3669</v>
      </c>
      <c r="R1406" t="s">
        <v>314</v>
      </c>
      <c r="S1406" t="s">
        <v>52</v>
      </c>
      <c r="U1406">
        <v>889529</v>
      </c>
      <c r="V1406" s="3">
        <v>46055.402777777781</v>
      </c>
      <c r="W1406" t="s">
        <v>1983</v>
      </c>
      <c r="X1406" t="s">
        <v>1984</v>
      </c>
      <c r="Y1406" t="str">
        <f>"0434131195"</f>
        <v>0434131195</v>
      </c>
      <c r="Z1406" t="s">
        <v>545</v>
      </c>
      <c r="AA1406" s="1">
        <v>46058</v>
      </c>
      <c r="AB1406" t="s">
        <v>459</v>
      </c>
      <c r="AD1406" t="s">
        <v>306</v>
      </c>
      <c r="AE1406" t="s">
        <v>460</v>
      </c>
      <c r="AF1406">
        <v>3058</v>
      </c>
      <c r="AG1406" t="s">
        <v>455</v>
      </c>
      <c r="AI1406" t="s">
        <v>59</v>
      </c>
      <c r="AL1406" t="s">
        <v>3856</v>
      </c>
      <c r="AN1406" s="3">
        <v>46058.912499999999</v>
      </c>
      <c r="AO1406" t="s">
        <v>1983</v>
      </c>
    </row>
    <row r="1407" spans="1:41" x14ac:dyDescent="0.3">
      <c r="A1407" t="s">
        <v>75</v>
      </c>
      <c r="B1407" t="s">
        <v>1891</v>
      </c>
      <c r="C1407" t="s">
        <v>43</v>
      </c>
      <c r="D1407" t="s">
        <v>719</v>
      </c>
      <c r="E1407" s="1">
        <v>46058</v>
      </c>
      <c r="F1407" t="s">
        <v>621</v>
      </c>
      <c r="G1407" t="s">
        <v>128</v>
      </c>
      <c r="H1407" s="2">
        <v>0.64583333333333337</v>
      </c>
      <c r="I1407" s="2">
        <v>0.89583333333333337</v>
      </c>
      <c r="J1407" t="s">
        <v>46</v>
      </c>
      <c r="K1407" t="s">
        <v>77</v>
      </c>
      <c r="L1407" t="s">
        <v>47</v>
      </c>
      <c r="M1407" t="s">
        <v>954</v>
      </c>
      <c r="N1407" t="s">
        <v>955</v>
      </c>
      <c r="O1407">
        <v>5952037</v>
      </c>
      <c r="Q1407" t="s">
        <v>3349</v>
      </c>
      <c r="R1407" t="s">
        <v>926</v>
      </c>
      <c r="S1407" t="s">
        <v>52</v>
      </c>
      <c r="U1407">
        <v>889540</v>
      </c>
      <c r="V1407" s="3">
        <v>46052.570833333331</v>
      </c>
      <c r="W1407" t="s">
        <v>957</v>
      </c>
      <c r="X1407" t="s">
        <v>958</v>
      </c>
      <c r="Y1407" t="str">
        <f>"0452457162"</f>
        <v>0452457162</v>
      </c>
      <c r="Z1407" t="s">
        <v>70</v>
      </c>
      <c r="AA1407" s="1">
        <v>46058</v>
      </c>
      <c r="AB1407" t="s">
        <v>1893</v>
      </c>
      <c r="AD1407" t="s">
        <v>75</v>
      </c>
      <c r="AE1407" t="s">
        <v>1894</v>
      </c>
      <c r="AF1407">
        <v>6007</v>
      </c>
      <c r="AG1407" t="s">
        <v>3349</v>
      </c>
      <c r="AI1407" t="s">
        <v>59</v>
      </c>
      <c r="AL1407" t="s">
        <v>3857</v>
      </c>
      <c r="AN1407" s="3">
        <v>46059.012499999997</v>
      </c>
      <c r="AO1407" t="s">
        <v>957</v>
      </c>
    </row>
    <row r="1408" spans="1:41" x14ac:dyDescent="0.3">
      <c r="A1408" t="s">
        <v>168</v>
      </c>
      <c r="B1408" t="s">
        <v>1178</v>
      </c>
      <c r="C1408" t="s">
        <v>202</v>
      </c>
      <c r="D1408" t="s">
        <v>127</v>
      </c>
      <c r="E1408" s="1">
        <v>46058</v>
      </c>
      <c r="F1408" t="s">
        <v>621</v>
      </c>
      <c r="G1408" t="s">
        <v>128</v>
      </c>
      <c r="H1408" s="2">
        <v>0.66666666666666663</v>
      </c>
      <c r="I1408" s="2">
        <v>0.83333333333333337</v>
      </c>
      <c r="J1408" t="s">
        <v>46</v>
      </c>
      <c r="L1408" t="s">
        <v>159</v>
      </c>
      <c r="M1408" t="s">
        <v>228</v>
      </c>
      <c r="N1408" t="s">
        <v>229</v>
      </c>
      <c r="O1408">
        <v>21017</v>
      </c>
      <c r="Q1408" t="s">
        <v>2044</v>
      </c>
      <c r="R1408" t="s">
        <v>500</v>
      </c>
      <c r="S1408" t="s">
        <v>52</v>
      </c>
      <c r="U1408">
        <v>889484</v>
      </c>
      <c r="V1408" s="3">
        <v>46057.834722222222</v>
      </c>
      <c r="W1408" t="s">
        <v>232</v>
      </c>
      <c r="X1408" t="s">
        <v>233</v>
      </c>
      <c r="Y1408" t="str">
        <f>"0409900497"</f>
        <v>0409900497</v>
      </c>
      <c r="Z1408" t="s">
        <v>70</v>
      </c>
      <c r="AA1408" s="1">
        <v>46058</v>
      </c>
      <c r="AB1408" t="s">
        <v>1184</v>
      </c>
      <c r="AD1408" t="s">
        <v>168</v>
      </c>
      <c r="AE1408" t="s">
        <v>1185</v>
      </c>
      <c r="AF1408">
        <v>5066</v>
      </c>
      <c r="AG1408" t="s">
        <v>2044</v>
      </c>
      <c r="AI1408" t="s">
        <v>59</v>
      </c>
      <c r="AL1408" t="s">
        <v>3827</v>
      </c>
      <c r="AN1408" s="3">
        <v>46058.845833333333</v>
      </c>
      <c r="AO1408" t="s">
        <v>232</v>
      </c>
    </row>
    <row r="1409" spans="1:41" x14ac:dyDescent="0.3">
      <c r="A1409" t="s">
        <v>61</v>
      </c>
      <c r="B1409" t="s">
        <v>507</v>
      </c>
      <c r="C1409" t="s">
        <v>2182</v>
      </c>
      <c r="D1409" t="s">
        <v>63</v>
      </c>
      <c r="E1409" s="1">
        <v>46058</v>
      </c>
      <c r="F1409" t="s">
        <v>621</v>
      </c>
      <c r="G1409" t="s">
        <v>485</v>
      </c>
      <c r="H1409" s="2">
        <v>0.79166666666666663</v>
      </c>
      <c r="I1409" s="2">
        <v>0.3125</v>
      </c>
      <c r="J1409" t="s">
        <v>590</v>
      </c>
      <c r="L1409" t="s">
        <v>487</v>
      </c>
      <c r="M1409" t="s">
        <v>1645</v>
      </c>
      <c r="N1409" t="s">
        <v>1646</v>
      </c>
      <c r="O1409">
        <v>5951065</v>
      </c>
      <c r="Q1409" t="s">
        <v>516</v>
      </c>
      <c r="R1409" t="s">
        <v>67</v>
      </c>
      <c r="S1409" t="s">
        <v>52</v>
      </c>
      <c r="U1409">
        <v>889557</v>
      </c>
      <c r="V1409" s="3">
        <v>46052.37777777778</v>
      </c>
      <c r="W1409" t="s">
        <v>1647</v>
      </c>
      <c r="X1409" t="s">
        <v>1648</v>
      </c>
      <c r="Y1409" t="str">
        <f>"0408979009"</f>
        <v>0408979009</v>
      </c>
      <c r="Z1409" t="s">
        <v>70</v>
      </c>
      <c r="AA1409" s="1">
        <v>46058</v>
      </c>
      <c r="AB1409" t="s">
        <v>514</v>
      </c>
      <c r="AD1409" t="s">
        <v>61</v>
      </c>
      <c r="AE1409" t="s">
        <v>515</v>
      </c>
      <c r="AF1409">
        <v>2086</v>
      </c>
      <c r="AG1409" t="s">
        <v>516</v>
      </c>
      <c r="AI1409" t="s">
        <v>59</v>
      </c>
      <c r="AL1409" t="s">
        <v>3376</v>
      </c>
      <c r="AN1409" s="3">
        <v>46059.323611111111</v>
      </c>
      <c r="AO1409" t="s">
        <v>1647</v>
      </c>
    </row>
    <row r="1410" spans="1:41" x14ac:dyDescent="0.3">
      <c r="A1410" t="s">
        <v>75</v>
      </c>
      <c r="B1410" t="s">
        <v>1972</v>
      </c>
      <c r="C1410" t="s">
        <v>529</v>
      </c>
      <c r="D1410" t="s">
        <v>700</v>
      </c>
      <c r="E1410" s="1">
        <v>46058</v>
      </c>
      <c r="F1410" t="s">
        <v>621</v>
      </c>
      <c r="G1410" t="s">
        <v>485</v>
      </c>
      <c r="H1410" s="2">
        <v>0.79166666666666663</v>
      </c>
      <c r="I1410" s="2">
        <v>0.3125</v>
      </c>
      <c r="J1410" t="s">
        <v>529</v>
      </c>
      <c r="L1410" t="s">
        <v>735</v>
      </c>
      <c r="M1410" t="s">
        <v>3858</v>
      </c>
      <c r="N1410" t="s">
        <v>3859</v>
      </c>
      <c r="O1410">
        <v>20391</v>
      </c>
      <c r="Q1410" t="s">
        <v>1989</v>
      </c>
      <c r="R1410" t="s">
        <v>81</v>
      </c>
      <c r="S1410" t="s">
        <v>52</v>
      </c>
      <c r="U1410">
        <v>889565</v>
      </c>
      <c r="V1410" s="3">
        <v>46058.615277777775</v>
      </c>
      <c r="W1410" t="s">
        <v>3860</v>
      </c>
      <c r="X1410" t="s">
        <v>3861</v>
      </c>
      <c r="Y1410" t="str">
        <f>"0410642718"</f>
        <v>0410642718</v>
      </c>
      <c r="Z1410" t="s">
        <v>70</v>
      </c>
      <c r="AA1410" s="1">
        <v>46058</v>
      </c>
      <c r="AB1410" t="s">
        <v>811</v>
      </c>
      <c r="AC1410" t="s">
        <v>1992</v>
      </c>
      <c r="AD1410" t="s">
        <v>75</v>
      </c>
      <c r="AE1410" t="s">
        <v>1993</v>
      </c>
      <c r="AF1410">
        <v>6008</v>
      </c>
      <c r="AG1410" t="s">
        <v>1989</v>
      </c>
      <c r="AI1410" t="s">
        <v>59</v>
      </c>
      <c r="AL1410" t="s">
        <v>87</v>
      </c>
      <c r="AN1410" s="3">
        <v>46059.447222222225</v>
      </c>
      <c r="AO1410" t="s">
        <v>3860</v>
      </c>
    </row>
    <row r="1411" spans="1:41" x14ac:dyDescent="0.3">
      <c r="A1411" t="s">
        <v>75</v>
      </c>
      <c r="B1411" t="s">
        <v>358</v>
      </c>
      <c r="C1411" t="s">
        <v>43</v>
      </c>
      <c r="D1411" t="s">
        <v>184</v>
      </c>
      <c r="E1411" s="1">
        <v>46058</v>
      </c>
      <c r="F1411" t="s">
        <v>621</v>
      </c>
      <c r="G1411" t="s">
        <v>485</v>
      </c>
      <c r="H1411" s="2">
        <v>0.89583333333333337</v>
      </c>
      <c r="I1411" s="2">
        <v>0.3125</v>
      </c>
      <c r="J1411" t="s">
        <v>185</v>
      </c>
      <c r="L1411" t="s">
        <v>186</v>
      </c>
      <c r="M1411" t="s">
        <v>3649</v>
      </c>
      <c r="N1411" t="s">
        <v>3650</v>
      </c>
      <c r="O1411">
        <v>5952374</v>
      </c>
      <c r="Q1411" t="s">
        <v>3862</v>
      </c>
      <c r="R1411" t="s">
        <v>926</v>
      </c>
      <c r="S1411" t="s">
        <v>52</v>
      </c>
      <c r="U1411">
        <v>889564</v>
      </c>
      <c r="V1411" s="3">
        <v>46058.522916666669</v>
      </c>
      <c r="W1411" t="s">
        <v>3652</v>
      </c>
      <c r="X1411" t="s">
        <v>3653</v>
      </c>
      <c r="Y1411" t="str">
        <f>"0404505109"</f>
        <v>0404505109</v>
      </c>
      <c r="Z1411" t="s">
        <v>70</v>
      </c>
      <c r="AA1411" s="1">
        <v>46058</v>
      </c>
      <c r="AB1411" t="s">
        <v>367</v>
      </c>
      <c r="AD1411" t="s">
        <v>75</v>
      </c>
      <c r="AE1411" t="s">
        <v>368</v>
      </c>
      <c r="AF1411">
        <v>6027</v>
      </c>
      <c r="AG1411" t="s">
        <v>3823</v>
      </c>
      <c r="AI1411" t="s">
        <v>59</v>
      </c>
      <c r="AL1411" t="s">
        <v>87</v>
      </c>
      <c r="AN1411" s="3">
        <v>46059.438194444447</v>
      </c>
      <c r="AO1411" t="s">
        <v>3652</v>
      </c>
    </row>
    <row r="1412" spans="1:41" x14ac:dyDescent="0.3">
      <c r="A1412" t="s">
        <v>306</v>
      </c>
      <c r="B1412" t="s">
        <v>528</v>
      </c>
      <c r="C1412" t="s">
        <v>529</v>
      </c>
      <c r="D1412" t="s">
        <v>63</v>
      </c>
      <c r="E1412" s="1">
        <v>46058</v>
      </c>
      <c r="F1412" t="s">
        <v>621</v>
      </c>
      <c r="G1412" t="s">
        <v>485</v>
      </c>
      <c r="H1412" s="2">
        <v>0.89583333333333337</v>
      </c>
      <c r="I1412" s="2">
        <v>0.3125</v>
      </c>
      <c r="J1412" t="s">
        <v>529</v>
      </c>
      <c r="L1412" t="s">
        <v>531</v>
      </c>
      <c r="M1412" t="s">
        <v>3863</v>
      </c>
      <c r="N1412" t="s">
        <v>3864</v>
      </c>
      <c r="O1412">
        <v>20445</v>
      </c>
      <c r="Q1412" t="s">
        <v>3865</v>
      </c>
      <c r="R1412" t="s">
        <v>500</v>
      </c>
      <c r="S1412" t="s">
        <v>52</v>
      </c>
      <c r="U1412">
        <v>889546</v>
      </c>
      <c r="V1412" s="3">
        <v>46056.890277777777</v>
      </c>
      <c r="W1412" t="s">
        <v>3866</v>
      </c>
      <c r="X1412" t="s">
        <v>3867</v>
      </c>
      <c r="Y1412" t="str">
        <f>"0403574680"</f>
        <v>0403574680</v>
      </c>
      <c r="Z1412" t="s">
        <v>70</v>
      </c>
      <c r="AA1412" s="1">
        <v>46058</v>
      </c>
      <c r="AB1412" t="s">
        <v>537</v>
      </c>
      <c r="AD1412" t="s">
        <v>306</v>
      </c>
      <c r="AE1412" t="s">
        <v>538</v>
      </c>
      <c r="AF1412">
        <v>3152</v>
      </c>
      <c r="AG1412" t="s">
        <v>2187</v>
      </c>
      <c r="AI1412" t="s">
        <v>59</v>
      </c>
      <c r="AL1412" t="s">
        <v>3868</v>
      </c>
      <c r="AN1412" s="3">
        <v>46059.276388888888</v>
      </c>
      <c r="AO1412" t="s">
        <v>3866</v>
      </c>
    </row>
    <row r="1413" spans="1:41" x14ac:dyDescent="0.3">
      <c r="A1413" t="s">
        <v>168</v>
      </c>
      <c r="B1413" t="s">
        <v>3612</v>
      </c>
      <c r="C1413" t="s">
        <v>3613</v>
      </c>
      <c r="D1413" t="s">
        <v>309</v>
      </c>
      <c r="E1413" s="1">
        <v>46058</v>
      </c>
      <c r="F1413" t="s">
        <v>621</v>
      </c>
      <c r="G1413" t="s">
        <v>485</v>
      </c>
      <c r="H1413" s="2">
        <v>0.90625</v>
      </c>
      <c r="I1413" s="2">
        <v>0.30208333333333331</v>
      </c>
      <c r="J1413" t="s">
        <v>3869</v>
      </c>
      <c r="K1413" t="s">
        <v>750</v>
      </c>
      <c r="L1413" t="s">
        <v>47</v>
      </c>
      <c r="M1413" t="s">
        <v>2028</v>
      </c>
      <c r="N1413" t="s">
        <v>2029</v>
      </c>
      <c r="O1413">
        <v>22243</v>
      </c>
      <c r="Q1413" t="s">
        <v>705</v>
      </c>
      <c r="R1413" t="s">
        <v>231</v>
      </c>
      <c r="S1413" t="s">
        <v>119</v>
      </c>
      <c r="T1413" t="s">
        <v>414</v>
      </c>
      <c r="U1413">
        <v>889871</v>
      </c>
      <c r="V1413" s="3">
        <v>46058.57708333333</v>
      </c>
      <c r="W1413" t="s">
        <v>2030</v>
      </c>
      <c r="X1413" t="s">
        <v>2031</v>
      </c>
      <c r="Y1413" t="str">
        <f>"0425554764"</f>
        <v>0425554764</v>
      </c>
      <c r="Z1413" t="s">
        <v>70</v>
      </c>
      <c r="AB1413" t="s">
        <v>3617</v>
      </c>
      <c r="AD1413" t="s">
        <v>168</v>
      </c>
      <c r="AE1413" t="s">
        <v>2401</v>
      </c>
      <c r="AF1413">
        <v>5006</v>
      </c>
      <c r="AI1413" t="s">
        <v>59</v>
      </c>
      <c r="AL1413" t="s">
        <v>3870</v>
      </c>
      <c r="AM1413" t="s">
        <v>3871</v>
      </c>
      <c r="AN1413" s="3">
        <v>46058.584722222222</v>
      </c>
      <c r="AO1413" t="s">
        <v>231</v>
      </c>
    </row>
    <row r="1414" spans="1:41" x14ac:dyDescent="0.3">
      <c r="A1414" t="s">
        <v>306</v>
      </c>
      <c r="B1414" t="s">
        <v>1060</v>
      </c>
      <c r="C1414" t="s">
        <v>2196</v>
      </c>
      <c r="D1414" t="s">
        <v>184</v>
      </c>
      <c r="E1414" s="1">
        <v>46058</v>
      </c>
      <c r="F1414" t="s">
        <v>621</v>
      </c>
      <c r="G1414" t="s">
        <v>485</v>
      </c>
      <c r="H1414" s="2">
        <v>0.91666666666666663</v>
      </c>
      <c r="I1414" s="2">
        <v>0.3125</v>
      </c>
      <c r="J1414" t="s">
        <v>1314</v>
      </c>
      <c r="L1414" t="s">
        <v>310</v>
      </c>
      <c r="M1414" t="s">
        <v>311</v>
      </c>
      <c r="N1414" t="s">
        <v>312</v>
      </c>
      <c r="O1414">
        <v>5952174</v>
      </c>
      <c r="Q1414" t="s">
        <v>413</v>
      </c>
      <c r="R1414" t="s">
        <v>1248</v>
      </c>
      <c r="S1414" t="s">
        <v>119</v>
      </c>
      <c r="T1414" t="s">
        <v>1932</v>
      </c>
      <c r="U1414">
        <v>889964</v>
      </c>
      <c r="V1414" s="3">
        <v>46058.779166666667</v>
      </c>
      <c r="W1414" t="s">
        <v>315</v>
      </c>
      <c r="X1414" t="s">
        <v>316</v>
      </c>
      <c r="Y1414" t="str">
        <f>"0452621529"</f>
        <v>0452621529</v>
      </c>
      <c r="Z1414" t="s">
        <v>70</v>
      </c>
      <c r="AA1414" s="1">
        <v>46058</v>
      </c>
      <c r="AB1414" t="s">
        <v>1066</v>
      </c>
      <c r="AD1414" t="s">
        <v>306</v>
      </c>
      <c r="AE1414" t="s">
        <v>1067</v>
      </c>
      <c r="AF1414">
        <v>3084</v>
      </c>
      <c r="AI1414" t="s">
        <v>59</v>
      </c>
      <c r="AL1414" t="s">
        <v>87</v>
      </c>
      <c r="AN1414" s="3">
        <v>46058.779861111114</v>
      </c>
      <c r="AO1414" t="s">
        <v>1248</v>
      </c>
    </row>
    <row r="1415" spans="1:41" x14ac:dyDescent="0.3">
      <c r="A1415" t="s">
        <v>41</v>
      </c>
      <c r="B1415" t="s">
        <v>1557</v>
      </c>
      <c r="C1415" t="s">
        <v>3390</v>
      </c>
      <c r="D1415" t="s">
        <v>63</v>
      </c>
      <c r="E1415" s="1">
        <v>46058</v>
      </c>
      <c r="F1415" t="s">
        <v>621</v>
      </c>
      <c r="G1415" t="s">
        <v>485</v>
      </c>
      <c r="H1415" s="2">
        <v>0.91666666666666663</v>
      </c>
      <c r="I1415" s="2">
        <v>0.3125</v>
      </c>
      <c r="J1415" t="s">
        <v>3872</v>
      </c>
      <c r="L1415" t="s">
        <v>540</v>
      </c>
      <c r="M1415" t="s">
        <v>3599</v>
      </c>
      <c r="N1415" t="s">
        <v>3600</v>
      </c>
      <c r="O1415">
        <v>5952151</v>
      </c>
      <c r="Q1415" t="s">
        <v>3873</v>
      </c>
      <c r="R1415" t="s">
        <v>556</v>
      </c>
      <c r="S1415" t="s">
        <v>52</v>
      </c>
      <c r="U1415">
        <v>889561</v>
      </c>
      <c r="V1415" s="3">
        <v>46058.887499999997</v>
      </c>
      <c r="W1415" t="s">
        <v>3601</v>
      </c>
      <c r="X1415" t="s">
        <v>3602</v>
      </c>
      <c r="Y1415" t="str">
        <f>"0499779020"</f>
        <v>0499779020</v>
      </c>
      <c r="Z1415" t="s">
        <v>70</v>
      </c>
      <c r="AB1415" t="s">
        <v>1562</v>
      </c>
      <c r="AD1415" t="s">
        <v>41</v>
      </c>
      <c r="AE1415" t="s">
        <v>1563</v>
      </c>
      <c r="AF1415">
        <v>4109</v>
      </c>
      <c r="AG1415" t="s">
        <v>3874</v>
      </c>
      <c r="AI1415" t="s">
        <v>59</v>
      </c>
      <c r="AL1415" t="s">
        <v>3875</v>
      </c>
      <c r="AN1415" s="3">
        <v>46059.348611111112</v>
      </c>
      <c r="AO1415" t="s">
        <v>3601</v>
      </c>
    </row>
    <row r="1416" spans="1:41" x14ac:dyDescent="0.3">
      <c r="A1416" t="s">
        <v>306</v>
      </c>
      <c r="B1416" t="s">
        <v>1751</v>
      </c>
      <c r="C1416" t="s">
        <v>2947</v>
      </c>
      <c r="D1416" t="s">
        <v>184</v>
      </c>
      <c r="E1416" s="1">
        <v>46058</v>
      </c>
      <c r="F1416" t="s">
        <v>621</v>
      </c>
      <c r="G1416" t="s">
        <v>485</v>
      </c>
      <c r="H1416" s="2">
        <v>0.91666666666666663</v>
      </c>
      <c r="I1416" s="2">
        <v>0.3125</v>
      </c>
      <c r="J1416" t="s">
        <v>496</v>
      </c>
      <c r="K1416" t="s">
        <v>530</v>
      </c>
      <c r="L1416" t="s">
        <v>531</v>
      </c>
      <c r="M1416" t="s">
        <v>532</v>
      </c>
      <c r="N1416" t="s">
        <v>533</v>
      </c>
      <c r="O1416">
        <v>20495</v>
      </c>
      <c r="P1416" t="s">
        <v>3876</v>
      </c>
      <c r="Q1416" t="s">
        <v>705</v>
      </c>
      <c r="R1416" t="s">
        <v>1248</v>
      </c>
      <c r="S1416" t="s">
        <v>52</v>
      </c>
      <c r="U1416">
        <v>889544</v>
      </c>
      <c r="V1416" s="3">
        <v>46053.402777777781</v>
      </c>
      <c r="W1416" t="s">
        <v>535</v>
      </c>
      <c r="X1416" t="s">
        <v>536</v>
      </c>
      <c r="Y1416" t="str">
        <f>"0447625522"</f>
        <v>0447625522</v>
      </c>
      <c r="Z1416" t="s">
        <v>70</v>
      </c>
      <c r="AA1416" s="1">
        <v>46058</v>
      </c>
      <c r="AB1416" t="s">
        <v>1759</v>
      </c>
      <c r="AD1416" t="s">
        <v>306</v>
      </c>
      <c r="AE1416" t="s">
        <v>1760</v>
      </c>
      <c r="AF1416">
        <v>3199</v>
      </c>
      <c r="AG1416" t="s">
        <v>413</v>
      </c>
      <c r="AI1416" t="s">
        <v>59</v>
      </c>
      <c r="AL1416" t="s">
        <v>3877</v>
      </c>
      <c r="AM1416" t="s">
        <v>3876</v>
      </c>
      <c r="AN1416" s="3">
        <v>46059.168055555558</v>
      </c>
      <c r="AO1416" t="s">
        <v>535</v>
      </c>
    </row>
    <row r="1417" spans="1:41" x14ac:dyDescent="0.3">
      <c r="A1417" t="s">
        <v>41</v>
      </c>
      <c r="B1417" t="s">
        <v>632</v>
      </c>
      <c r="C1417" t="s">
        <v>296</v>
      </c>
      <c r="D1417" t="s">
        <v>246</v>
      </c>
      <c r="E1417" s="1">
        <v>46058</v>
      </c>
      <c r="F1417" t="s">
        <v>621</v>
      </c>
      <c r="G1417" t="s">
        <v>485</v>
      </c>
      <c r="H1417" s="2">
        <v>0.9375</v>
      </c>
      <c r="I1417" s="2">
        <v>0.29166666666666669</v>
      </c>
      <c r="J1417" t="s">
        <v>296</v>
      </c>
      <c r="K1417" t="s">
        <v>2096</v>
      </c>
      <c r="L1417" t="s">
        <v>428</v>
      </c>
      <c r="M1417" t="s">
        <v>554</v>
      </c>
      <c r="N1417" t="s">
        <v>555</v>
      </c>
      <c r="O1417">
        <v>5950685</v>
      </c>
      <c r="Q1417" t="s">
        <v>2800</v>
      </c>
      <c r="R1417" t="s">
        <v>51</v>
      </c>
      <c r="S1417" t="s">
        <v>52</v>
      </c>
      <c r="U1417">
        <v>889560</v>
      </c>
      <c r="V1417" s="3">
        <v>46049.637499999997</v>
      </c>
      <c r="W1417" t="s">
        <v>557</v>
      </c>
      <c r="X1417" t="s">
        <v>558</v>
      </c>
      <c r="Y1417" t="str">
        <f>"0431966228"</f>
        <v>0431966228</v>
      </c>
      <c r="Z1417" t="s">
        <v>1806</v>
      </c>
      <c r="AB1417" t="s">
        <v>640</v>
      </c>
      <c r="AD1417" t="s">
        <v>41</v>
      </c>
      <c r="AE1417" t="s">
        <v>641</v>
      </c>
      <c r="AF1417">
        <v>4305</v>
      </c>
      <c r="AG1417" t="s">
        <v>2098</v>
      </c>
      <c r="AI1417" t="s">
        <v>59</v>
      </c>
      <c r="AL1417" t="s">
        <v>2802</v>
      </c>
      <c r="AN1417" s="3">
        <v>46059.32916666667</v>
      </c>
      <c r="AO1417" t="s">
        <v>557</v>
      </c>
    </row>
    <row r="1418" spans="1:41" x14ac:dyDescent="0.3">
      <c r="A1418" t="s">
        <v>41</v>
      </c>
      <c r="B1418" t="s">
        <v>568</v>
      </c>
      <c r="C1418" t="s">
        <v>602</v>
      </c>
      <c r="D1418" t="s">
        <v>246</v>
      </c>
      <c r="E1418" s="1">
        <v>46058</v>
      </c>
      <c r="F1418" t="s">
        <v>621</v>
      </c>
      <c r="G1418" t="s">
        <v>485</v>
      </c>
      <c r="H1418" s="2">
        <v>0.94791666666666663</v>
      </c>
      <c r="I1418" s="2">
        <v>0.30208333333333331</v>
      </c>
      <c r="J1418" t="s">
        <v>269</v>
      </c>
      <c r="L1418" t="s">
        <v>47</v>
      </c>
      <c r="M1418" t="s">
        <v>603</v>
      </c>
      <c r="N1418" t="s">
        <v>604</v>
      </c>
      <c r="O1418">
        <v>80</v>
      </c>
      <c r="P1418" t="s">
        <v>571</v>
      </c>
      <c r="Q1418" t="s">
        <v>572</v>
      </c>
      <c r="R1418" t="s">
        <v>573</v>
      </c>
      <c r="S1418" t="s">
        <v>52</v>
      </c>
      <c r="T1418" t="s">
        <v>252</v>
      </c>
      <c r="U1418">
        <v>889798</v>
      </c>
      <c r="V1418" s="3">
        <v>46062.525694444441</v>
      </c>
      <c r="W1418" t="s">
        <v>605</v>
      </c>
      <c r="X1418" t="s">
        <v>606</v>
      </c>
      <c r="Y1418" t="str">
        <f>"0414330986"</f>
        <v>0414330986</v>
      </c>
      <c r="Z1418" t="s">
        <v>1635</v>
      </c>
      <c r="AA1418" s="1">
        <v>46068</v>
      </c>
      <c r="AB1418" t="s">
        <v>576</v>
      </c>
      <c r="AD1418" t="s">
        <v>41</v>
      </c>
      <c r="AE1418" t="s">
        <v>577</v>
      </c>
      <c r="AF1418">
        <v>4700</v>
      </c>
      <c r="AG1418" t="s">
        <v>572</v>
      </c>
      <c r="AI1418" t="s">
        <v>59</v>
      </c>
      <c r="AJ1418" t="str">
        <f>"0050075176"</f>
        <v>0050075176</v>
      </c>
      <c r="AN1418" s="3">
        <v>46062.525694444441</v>
      </c>
      <c r="AO1418" t="s">
        <v>573</v>
      </c>
    </row>
    <row r="1419" spans="1:41" x14ac:dyDescent="0.3">
      <c r="A1419" t="s">
        <v>61</v>
      </c>
      <c r="B1419" t="s">
        <v>1271</v>
      </c>
      <c r="C1419" t="s">
        <v>1272</v>
      </c>
      <c r="D1419" t="s">
        <v>184</v>
      </c>
      <c r="E1419" s="1">
        <v>46058</v>
      </c>
      <c r="F1419" t="s">
        <v>621</v>
      </c>
      <c r="G1419" t="s">
        <v>485</v>
      </c>
      <c r="H1419" s="2">
        <v>0.95833333333333337</v>
      </c>
      <c r="I1419" s="2">
        <v>0.3125</v>
      </c>
      <c r="J1419" t="s">
        <v>3878</v>
      </c>
      <c r="L1419" t="s">
        <v>487</v>
      </c>
      <c r="M1419" t="s">
        <v>2064</v>
      </c>
      <c r="N1419" t="s">
        <v>2065</v>
      </c>
      <c r="O1419">
        <v>5952410</v>
      </c>
      <c r="Q1419" t="s">
        <v>1190</v>
      </c>
      <c r="R1419" t="s">
        <v>67</v>
      </c>
      <c r="S1419" t="s">
        <v>52</v>
      </c>
      <c r="U1419">
        <v>889607</v>
      </c>
      <c r="V1419" s="3">
        <v>46057.382638888892</v>
      </c>
      <c r="W1419" t="s">
        <v>2067</v>
      </c>
      <c r="X1419" t="s">
        <v>2068</v>
      </c>
      <c r="Y1419" t="str">
        <f>"0410100247"</f>
        <v>0410100247</v>
      </c>
      <c r="Z1419" t="s">
        <v>70</v>
      </c>
      <c r="AB1419" t="s">
        <v>1278</v>
      </c>
      <c r="AD1419" t="s">
        <v>61</v>
      </c>
      <c r="AE1419" t="s">
        <v>1279</v>
      </c>
      <c r="AF1419">
        <v>2145</v>
      </c>
      <c r="AG1419" t="s">
        <v>1190</v>
      </c>
      <c r="AI1419" t="s">
        <v>59</v>
      </c>
      <c r="AL1419" t="s">
        <v>3879</v>
      </c>
      <c r="AN1419" s="3">
        <v>46059.68472222222</v>
      </c>
      <c r="AO1419" t="s">
        <v>2067</v>
      </c>
    </row>
    <row r="1420" spans="1:41" x14ac:dyDescent="0.3">
      <c r="A1420" t="s">
        <v>168</v>
      </c>
      <c r="B1420" t="s">
        <v>689</v>
      </c>
      <c r="C1420" t="s">
        <v>43</v>
      </c>
      <c r="D1420" t="s">
        <v>268</v>
      </c>
      <c r="E1420" s="1">
        <v>46028</v>
      </c>
      <c r="F1420" t="s">
        <v>1376</v>
      </c>
      <c r="G1420" t="s">
        <v>45</v>
      </c>
      <c r="H1420" s="2">
        <v>0.33333333333333331</v>
      </c>
      <c r="I1420" s="2">
        <v>0.6875</v>
      </c>
      <c r="J1420" t="s">
        <v>100</v>
      </c>
      <c r="L1420" t="s">
        <v>100</v>
      </c>
      <c r="M1420" t="s">
        <v>3368</v>
      </c>
      <c r="N1420" t="s">
        <v>3369</v>
      </c>
      <c r="O1420">
        <v>5952315</v>
      </c>
      <c r="P1420" t="s">
        <v>571</v>
      </c>
      <c r="Q1420" t="s">
        <v>3370</v>
      </c>
      <c r="R1420" t="s">
        <v>3371</v>
      </c>
      <c r="S1420" t="s">
        <v>52</v>
      </c>
      <c r="T1420" t="s">
        <v>252</v>
      </c>
      <c r="U1420">
        <v>887495</v>
      </c>
      <c r="V1420" s="3">
        <v>46041.397916666669</v>
      </c>
      <c r="W1420" t="s">
        <v>3371</v>
      </c>
      <c r="X1420" t="s">
        <v>3372</v>
      </c>
      <c r="Y1420" t="str">
        <f>"0481236768"</f>
        <v>0481236768</v>
      </c>
      <c r="Z1420" t="s">
        <v>395</v>
      </c>
      <c r="AA1420" s="1">
        <v>46072</v>
      </c>
      <c r="AB1420" t="s">
        <v>695</v>
      </c>
      <c r="AD1420" t="s">
        <v>168</v>
      </c>
      <c r="AE1420" t="s">
        <v>696</v>
      </c>
      <c r="AF1420">
        <v>5606</v>
      </c>
      <c r="AG1420" t="s">
        <v>3373</v>
      </c>
      <c r="AI1420" t="s">
        <v>59</v>
      </c>
      <c r="AJ1420" t="str">
        <f>"0020184971"</f>
        <v>0020184971</v>
      </c>
      <c r="AN1420" s="3">
        <v>46041.397916666669</v>
      </c>
      <c r="AO1420" t="s">
        <v>3371</v>
      </c>
    </row>
    <row r="1421" spans="1:41" x14ac:dyDescent="0.3">
      <c r="A1421" t="s">
        <v>41</v>
      </c>
      <c r="B1421" t="s">
        <v>589</v>
      </c>
      <c r="C1421" t="s">
        <v>590</v>
      </c>
      <c r="D1421" t="s">
        <v>246</v>
      </c>
      <c r="E1421" s="1">
        <v>46028</v>
      </c>
      <c r="F1421" t="s">
        <v>1376</v>
      </c>
      <c r="G1421" t="s">
        <v>128</v>
      </c>
      <c r="H1421" s="2">
        <v>0.60416666666666663</v>
      </c>
      <c r="I1421" s="2">
        <v>0.30208333333333331</v>
      </c>
      <c r="J1421" t="s">
        <v>591</v>
      </c>
      <c r="L1421" t="s">
        <v>592</v>
      </c>
      <c r="M1421" t="s">
        <v>593</v>
      </c>
      <c r="N1421" t="s">
        <v>594</v>
      </c>
      <c r="O1421">
        <v>5952427</v>
      </c>
      <c r="P1421" t="s">
        <v>595</v>
      </c>
      <c r="Q1421" t="s">
        <v>596</v>
      </c>
      <c r="R1421" t="s">
        <v>392</v>
      </c>
      <c r="S1421" t="s">
        <v>52</v>
      </c>
      <c r="T1421" t="s">
        <v>252</v>
      </c>
      <c r="U1421">
        <v>886900</v>
      </c>
      <c r="V1421" s="3">
        <v>46035.52847222222</v>
      </c>
      <c r="W1421" t="s">
        <v>597</v>
      </c>
      <c r="X1421" t="s">
        <v>598</v>
      </c>
      <c r="Y1421" t="str">
        <f>"0432677728"</f>
        <v>0432677728</v>
      </c>
      <c r="Z1421" t="s">
        <v>254</v>
      </c>
      <c r="AA1421" s="1">
        <v>46054</v>
      </c>
      <c r="AB1421" t="s">
        <v>599</v>
      </c>
      <c r="AC1421" t="s">
        <v>600</v>
      </c>
      <c r="AD1421" t="s">
        <v>41</v>
      </c>
      <c r="AE1421" t="s">
        <v>600</v>
      </c>
      <c r="AF1421">
        <v>4610</v>
      </c>
      <c r="AG1421" t="s">
        <v>601</v>
      </c>
      <c r="AI1421" t="s">
        <v>59</v>
      </c>
      <c r="AJ1421" t="str">
        <f>"0050075752"</f>
        <v>0050075752</v>
      </c>
      <c r="AN1421" s="3">
        <v>46035.52847222222</v>
      </c>
      <c r="AO1421" t="s">
        <v>392</v>
      </c>
    </row>
    <row r="1422" spans="1:41" x14ac:dyDescent="0.3">
      <c r="A1422" t="s">
        <v>41</v>
      </c>
      <c r="B1422" t="s">
        <v>568</v>
      </c>
      <c r="C1422" t="s">
        <v>602</v>
      </c>
      <c r="D1422" t="s">
        <v>246</v>
      </c>
      <c r="E1422" s="1">
        <v>46028</v>
      </c>
      <c r="F1422" t="s">
        <v>1376</v>
      </c>
      <c r="G1422" t="s">
        <v>485</v>
      </c>
      <c r="H1422" s="2">
        <v>0.94791666666666663</v>
      </c>
      <c r="I1422" s="2">
        <v>0.30208333333333331</v>
      </c>
      <c r="J1422" t="s">
        <v>269</v>
      </c>
      <c r="L1422" t="s">
        <v>47</v>
      </c>
      <c r="M1422" t="s">
        <v>603</v>
      </c>
      <c r="N1422" t="s">
        <v>604</v>
      </c>
      <c r="O1422">
        <v>80</v>
      </c>
      <c r="P1422" t="s">
        <v>571</v>
      </c>
      <c r="Q1422" t="s">
        <v>572</v>
      </c>
      <c r="R1422" t="s">
        <v>573</v>
      </c>
      <c r="S1422" t="s">
        <v>52</v>
      </c>
      <c r="T1422" t="s">
        <v>252</v>
      </c>
      <c r="U1422">
        <v>886830</v>
      </c>
      <c r="V1422" s="3">
        <v>46034.605555555558</v>
      </c>
      <c r="W1422" t="s">
        <v>605</v>
      </c>
      <c r="X1422" t="s">
        <v>606</v>
      </c>
      <c r="Y1422" t="str">
        <f>"0414330986"</f>
        <v>0414330986</v>
      </c>
      <c r="Z1422" t="s">
        <v>254</v>
      </c>
      <c r="AA1422" s="1">
        <v>46068</v>
      </c>
      <c r="AB1422" t="s">
        <v>576</v>
      </c>
      <c r="AD1422" t="s">
        <v>41</v>
      </c>
      <c r="AE1422" t="s">
        <v>577</v>
      </c>
      <c r="AF1422">
        <v>4700</v>
      </c>
      <c r="AG1422" t="s">
        <v>572</v>
      </c>
      <c r="AI1422" t="s">
        <v>59</v>
      </c>
      <c r="AJ1422" t="str">
        <f>"0050075176"</f>
        <v>0050075176</v>
      </c>
      <c r="AN1422" s="3">
        <v>46034.605555555558</v>
      </c>
      <c r="AO1422" t="s">
        <v>573</v>
      </c>
    </row>
    <row r="1423" spans="1:41" x14ac:dyDescent="0.3">
      <c r="A1423" t="s">
        <v>61</v>
      </c>
      <c r="B1423" t="s">
        <v>2112</v>
      </c>
      <c r="D1423" t="s">
        <v>2112</v>
      </c>
      <c r="E1423" s="1">
        <v>46059</v>
      </c>
      <c r="F1423" t="s">
        <v>2113</v>
      </c>
      <c r="G1423" t="s">
        <v>45</v>
      </c>
      <c r="H1423" s="2">
        <v>0.25</v>
      </c>
      <c r="I1423" s="2">
        <v>0.25069444444444444</v>
      </c>
      <c r="J1423" t="s">
        <v>296</v>
      </c>
      <c r="L1423" t="s">
        <v>2114</v>
      </c>
      <c r="M1423" t="s">
        <v>2115</v>
      </c>
      <c r="N1423" t="s">
        <v>2116</v>
      </c>
      <c r="O1423">
        <v>21150</v>
      </c>
      <c r="R1423" t="s">
        <v>2117</v>
      </c>
      <c r="S1423" t="s">
        <v>119</v>
      </c>
      <c r="T1423" t="s">
        <v>760</v>
      </c>
      <c r="U1423">
        <v>890102</v>
      </c>
      <c r="V1423" s="3">
        <v>46064.364583333336</v>
      </c>
      <c r="W1423" t="s">
        <v>2118</v>
      </c>
      <c r="X1423" t="s">
        <v>2119</v>
      </c>
      <c r="Y1423" t="str">
        <f>"0401195873"</f>
        <v>0401195873</v>
      </c>
      <c r="Z1423" t="s">
        <v>70</v>
      </c>
      <c r="AB1423" t="s">
        <v>2120</v>
      </c>
      <c r="AD1423" t="s">
        <v>61</v>
      </c>
      <c r="AE1423" t="s">
        <v>1699</v>
      </c>
      <c r="AF1423">
        <v>2232</v>
      </c>
      <c r="AI1423" t="s">
        <v>59</v>
      </c>
      <c r="AM1423" t="s">
        <v>1237</v>
      </c>
      <c r="AN1423" s="3">
        <v>46064.364583333336</v>
      </c>
      <c r="AO1423" t="s">
        <v>2117</v>
      </c>
    </row>
    <row r="1424" spans="1:41" x14ac:dyDescent="0.3">
      <c r="A1424" t="s">
        <v>61</v>
      </c>
      <c r="B1424" t="s">
        <v>182</v>
      </c>
      <c r="C1424" t="s">
        <v>183</v>
      </c>
      <c r="D1424" t="s">
        <v>184</v>
      </c>
      <c r="E1424" s="1">
        <v>46059</v>
      </c>
      <c r="F1424" t="s">
        <v>2113</v>
      </c>
      <c r="G1424" t="s">
        <v>45</v>
      </c>
      <c r="H1424" s="2">
        <v>0.25</v>
      </c>
      <c r="I1424" s="2">
        <v>0.99861111111111112</v>
      </c>
      <c r="J1424" t="s">
        <v>185</v>
      </c>
      <c r="L1424" t="s">
        <v>3274</v>
      </c>
      <c r="M1424" t="s">
        <v>3275</v>
      </c>
      <c r="N1424" t="s">
        <v>3276</v>
      </c>
      <c r="O1424">
        <v>5951652</v>
      </c>
      <c r="Q1424" t="s">
        <v>189</v>
      </c>
      <c r="R1424" t="s">
        <v>67</v>
      </c>
      <c r="S1424" t="s">
        <v>52</v>
      </c>
      <c r="U1424">
        <v>889573</v>
      </c>
      <c r="V1424" s="3">
        <v>46051.484027777777</v>
      </c>
      <c r="W1424" t="s">
        <v>3277</v>
      </c>
      <c r="X1424" t="s">
        <v>3278</v>
      </c>
      <c r="Y1424" t="str">
        <f>"0416650855"</f>
        <v>0416650855</v>
      </c>
      <c r="Z1424" t="s">
        <v>70</v>
      </c>
      <c r="AB1424" t="s">
        <v>193</v>
      </c>
      <c r="AD1424" t="s">
        <v>61</v>
      </c>
      <c r="AE1424" t="s">
        <v>194</v>
      </c>
      <c r="AF1424">
        <v>2229</v>
      </c>
      <c r="AG1424" t="s">
        <v>189</v>
      </c>
      <c r="AI1424" t="s">
        <v>59</v>
      </c>
      <c r="AL1424" t="s">
        <v>3880</v>
      </c>
      <c r="AN1424" s="3">
        <v>46059.524305555555</v>
      </c>
      <c r="AO1424" t="s">
        <v>3277</v>
      </c>
    </row>
    <row r="1425" spans="1:41" x14ac:dyDescent="0.3">
      <c r="A1425" t="s">
        <v>306</v>
      </c>
      <c r="B1425" t="s">
        <v>386</v>
      </c>
      <c r="C1425" t="s">
        <v>387</v>
      </c>
      <c r="D1425" t="s">
        <v>388</v>
      </c>
      <c r="E1425" s="1">
        <v>46059</v>
      </c>
      <c r="F1425" t="s">
        <v>2113</v>
      </c>
      <c r="G1425" t="s">
        <v>45</v>
      </c>
      <c r="H1425" s="2">
        <v>0.25</v>
      </c>
      <c r="I1425" s="2">
        <v>0.25069444444444444</v>
      </c>
      <c r="J1425" t="s">
        <v>389</v>
      </c>
      <c r="L1425" t="s">
        <v>298</v>
      </c>
      <c r="M1425" t="s">
        <v>195</v>
      </c>
      <c r="N1425" t="s">
        <v>390</v>
      </c>
      <c r="O1425">
        <v>5951661</v>
      </c>
      <c r="P1425" t="s">
        <v>249</v>
      </c>
      <c r="Q1425" t="s">
        <v>391</v>
      </c>
      <c r="R1425" t="s">
        <v>392</v>
      </c>
      <c r="S1425" t="s">
        <v>52</v>
      </c>
      <c r="T1425" t="s">
        <v>252</v>
      </c>
      <c r="U1425">
        <v>889775</v>
      </c>
      <c r="V1425" s="3">
        <v>46062.476388888892</v>
      </c>
      <c r="W1425" t="s">
        <v>393</v>
      </c>
      <c r="X1425" t="s">
        <v>394</v>
      </c>
      <c r="Y1425" t="str">
        <f>"0427371732"</f>
        <v>0427371732</v>
      </c>
      <c r="Z1425" t="s">
        <v>70</v>
      </c>
      <c r="AA1425" s="1">
        <v>46141</v>
      </c>
      <c r="AB1425" t="s">
        <v>396</v>
      </c>
      <c r="AD1425" t="s">
        <v>397</v>
      </c>
      <c r="AE1425" t="s">
        <v>398</v>
      </c>
      <c r="AF1425">
        <v>7919</v>
      </c>
      <c r="AG1425" t="s">
        <v>399</v>
      </c>
      <c r="AI1425" t="s">
        <v>59</v>
      </c>
      <c r="AJ1425" t="str">
        <f>"0090000067"</f>
        <v>0090000067</v>
      </c>
      <c r="AN1425" s="3">
        <v>46062.476388888892</v>
      </c>
      <c r="AO1425" t="s">
        <v>392</v>
      </c>
    </row>
    <row r="1426" spans="1:41" x14ac:dyDescent="0.3">
      <c r="A1426" t="s">
        <v>61</v>
      </c>
      <c r="B1426" t="s">
        <v>182</v>
      </c>
      <c r="C1426" t="s">
        <v>183</v>
      </c>
      <c r="D1426" t="s">
        <v>184</v>
      </c>
      <c r="E1426" s="1">
        <v>46059</v>
      </c>
      <c r="F1426" t="s">
        <v>2113</v>
      </c>
      <c r="G1426" t="s">
        <v>45</v>
      </c>
      <c r="H1426" s="2">
        <v>0.25</v>
      </c>
      <c r="I1426" s="2">
        <v>0.99861111111111112</v>
      </c>
      <c r="J1426" t="s">
        <v>185</v>
      </c>
      <c r="L1426" t="s">
        <v>47</v>
      </c>
      <c r="M1426" t="s">
        <v>1295</v>
      </c>
      <c r="N1426" t="s">
        <v>1296</v>
      </c>
      <c r="O1426">
        <v>21188</v>
      </c>
      <c r="Q1426" t="s">
        <v>189</v>
      </c>
      <c r="R1426" t="s">
        <v>132</v>
      </c>
      <c r="S1426" t="s">
        <v>52</v>
      </c>
      <c r="U1426">
        <v>889609</v>
      </c>
      <c r="V1426" s="3">
        <v>46051.450694444444</v>
      </c>
      <c r="W1426" t="s">
        <v>1297</v>
      </c>
      <c r="X1426" t="s">
        <v>1298</v>
      </c>
      <c r="Y1426" t="str">
        <f>"0412228277"</f>
        <v>0412228277</v>
      </c>
      <c r="Z1426" t="s">
        <v>3881</v>
      </c>
      <c r="AB1426" t="s">
        <v>193</v>
      </c>
      <c r="AD1426" t="s">
        <v>61</v>
      </c>
      <c r="AE1426" t="s">
        <v>194</v>
      </c>
      <c r="AF1426">
        <v>2229</v>
      </c>
      <c r="AG1426" t="s">
        <v>189</v>
      </c>
      <c r="AI1426" t="s">
        <v>59</v>
      </c>
      <c r="AL1426" t="s">
        <v>3882</v>
      </c>
      <c r="AN1426" s="3">
        <v>46059.696527777778</v>
      </c>
      <c r="AO1426" t="s">
        <v>1297</v>
      </c>
    </row>
    <row r="1427" spans="1:41" x14ac:dyDescent="0.3">
      <c r="A1427" t="s">
        <v>61</v>
      </c>
      <c r="B1427" t="s">
        <v>2112</v>
      </c>
      <c r="D1427" t="s">
        <v>2112</v>
      </c>
      <c r="E1427" s="1">
        <v>46059</v>
      </c>
      <c r="F1427" t="s">
        <v>2113</v>
      </c>
      <c r="G1427" t="s">
        <v>45</v>
      </c>
      <c r="H1427" s="2">
        <v>0.25</v>
      </c>
      <c r="I1427" s="2">
        <v>0.25069444444444444</v>
      </c>
      <c r="J1427" t="s">
        <v>296</v>
      </c>
      <c r="L1427" t="s">
        <v>2121</v>
      </c>
      <c r="M1427" t="s">
        <v>2122</v>
      </c>
      <c r="N1427" t="s">
        <v>2123</v>
      </c>
      <c r="O1427">
        <v>21021</v>
      </c>
      <c r="R1427" t="s">
        <v>2117</v>
      </c>
      <c r="S1427" t="s">
        <v>119</v>
      </c>
      <c r="T1427" t="s">
        <v>760</v>
      </c>
      <c r="U1427">
        <v>890101</v>
      </c>
      <c r="V1427" s="3">
        <v>46064.364583333336</v>
      </c>
      <c r="W1427" t="s">
        <v>2124</v>
      </c>
      <c r="X1427" t="s">
        <v>2125</v>
      </c>
      <c r="Y1427" t="str">
        <f>"0405138119"</f>
        <v>0405138119</v>
      </c>
      <c r="Z1427" t="s">
        <v>70</v>
      </c>
      <c r="AB1427" t="s">
        <v>2120</v>
      </c>
      <c r="AD1427" t="s">
        <v>61</v>
      </c>
      <c r="AE1427" t="s">
        <v>1699</v>
      </c>
      <c r="AF1427">
        <v>2232</v>
      </c>
      <c r="AI1427" t="s">
        <v>59</v>
      </c>
      <c r="AM1427" t="s">
        <v>1237</v>
      </c>
      <c r="AN1427" s="3">
        <v>46064.364583333336</v>
      </c>
      <c r="AO1427" t="s">
        <v>2117</v>
      </c>
    </row>
    <row r="1428" spans="1:41" x14ac:dyDescent="0.3">
      <c r="A1428" t="s">
        <v>61</v>
      </c>
      <c r="B1428" t="s">
        <v>620</v>
      </c>
      <c r="C1428" t="s">
        <v>43</v>
      </c>
      <c r="D1428" t="s">
        <v>63</v>
      </c>
      <c r="E1428" s="1">
        <v>46059</v>
      </c>
      <c r="F1428" t="s">
        <v>2113</v>
      </c>
      <c r="G1428" t="s">
        <v>45</v>
      </c>
      <c r="H1428" s="2">
        <v>0.25</v>
      </c>
      <c r="I1428" s="2">
        <v>0.5</v>
      </c>
      <c r="J1428" t="s">
        <v>185</v>
      </c>
      <c r="L1428" t="s">
        <v>186</v>
      </c>
      <c r="M1428" t="s">
        <v>622</v>
      </c>
      <c r="N1428" t="s">
        <v>623</v>
      </c>
      <c r="O1428">
        <v>20720</v>
      </c>
      <c r="Q1428" t="s">
        <v>3883</v>
      </c>
      <c r="R1428" t="s">
        <v>67</v>
      </c>
      <c r="S1428" t="s">
        <v>52</v>
      </c>
      <c r="U1428">
        <v>889569</v>
      </c>
      <c r="V1428" s="3">
        <v>46049.384027777778</v>
      </c>
      <c r="W1428" t="s">
        <v>625</v>
      </c>
      <c r="X1428" t="s">
        <v>626</v>
      </c>
      <c r="Y1428" t="str">
        <f>"0469365147"</f>
        <v>0469365147</v>
      </c>
      <c r="Z1428" t="s">
        <v>70</v>
      </c>
      <c r="AA1428" s="1">
        <v>46059</v>
      </c>
      <c r="AB1428" t="s">
        <v>628</v>
      </c>
      <c r="AD1428" t="s">
        <v>61</v>
      </c>
      <c r="AE1428" t="s">
        <v>629</v>
      </c>
      <c r="AF1428">
        <v>2305</v>
      </c>
      <c r="AG1428" t="s">
        <v>2126</v>
      </c>
      <c r="AI1428" t="s">
        <v>59</v>
      </c>
      <c r="AL1428" t="s">
        <v>3884</v>
      </c>
      <c r="AN1428" s="3">
        <v>46059.504861111112</v>
      </c>
      <c r="AO1428" t="s">
        <v>625</v>
      </c>
    </row>
    <row r="1429" spans="1:41" x14ac:dyDescent="0.3">
      <c r="A1429" t="s">
        <v>61</v>
      </c>
      <c r="B1429" t="s">
        <v>2112</v>
      </c>
      <c r="D1429" t="s">
        <v>2112</v>
      </c>
      <c r="E1429" s="1">
        <v>46059</v>
      </c>
      <c r="F1429" t="s">
        <v>2113</v>
      </c>
      <c r="G1429" t="s">
        <v>45</v>
      </c>
      <c r="H1429" s="2">
        <v>0.25</v>
      </c>
      <c r="I1429" s="2">
        <v>0.25069444444444444</v>
      </c>
      <c r="J1429" t="s">
        <v>112</v>
      </c>
      <c r="L1429" t="s">
        <v>114</v>
      </c>
      <c r="M1429" t="s">
        <v>2131</v>
      </c>
      <c r="N1429" t="s">
        <v>2132</v>
      </c>
      <c r="O1429">
        <v>207</v>
      </c>
      <c r="R1429" t="s">
        <v>2117</v>
      </c>
      <c r="S1429" t="s">
        <v>119</v>
      </c>
      <c r="T1429" t="s">
        <v>760</v>
      </c>
      <c r="U1429">
        <v>890100</v>
      </c>
      <c r="V1429" s="3">
        <v>46064.363194444442</v>
      </c>
      <c r="W1429" t="s">
        <v>2133</v>
      </c>
      <c r="X1429" t="s">
        <v>2134</v>
      </c>
      <c r="Y1429" t="str">
        <f>"0413106029"</f>
        <v>0413106029</v>
      </c>
      <c r="Z1429" t="s">
        <v>70</v>
      </c>
      <c r="AB1429" t="s">
        <v>2120</v>
      </c>
      <c r="AD1429" t="s">
        <v>61</v>
      </c>
      <c r="AE1429" t="s">
        <v>1699</v>
      </c>
      <c r="AF1429">
        <v>2232</v>
      </c>
      <c r="AI1429" t="s">
        <v>59</v>
      </c>
      <c r="AM1429" t="s">
        <v>1237</v>
      </c>
      <c r="AN1429" s="3">
        <v>46064.363194444442</v>
      </c>
      <c r="AO1429" t="s">
        <v>2117</v>
      </c>
    </row>
    <row r="1430" spans="1:41" x14ac:dyDescent="0.3">
      <c r="A1430" t="s">
        <v>61</v>
      </c>
      <c r="B1430" t="s">
        <v>620</v>
      </c>
      <c r="C1430" t="s">
        <v>43</v>
      </c>
      <c r="D1430" t="s">
        <v>63</v>
      </c>
      <c r="E1430" s="1">
        <v>46059</v>
      </c>
      <c r="F1430" t="s">
        <v>2113</v>
      </c>
      <c r="G1430" t="s">
        <v>45</v>
      </c>
      <c r="H1430" s="2">
        <v>0.25</v>
      </c>
      <c r="I1430" s="2">
        <v>0.58333333333333337</v>
      </c>
      <c r="J1430" t="s">
        <v>185</v>
      </c>
      <c r="L1430" t="s">
        <v>186</v>
      </c>
      <c r="M1430" t="s">
        <v>1194</v>
      </c>
      <c r="N1430" t="s">
        <v>2138</v>
      </c>
      <c r="O1430">
        <v>5950992</v>
      </c>
      <c r="Q1430" t="s">
        <v>3883</v>
      </c>
      <c r="R1430" t="s">
        <v>67</v>
      </c>
      <c r="S1430" t="s">
        <v>52</v>
      </c>
      <c r="U1430">
        <v>889584</v>
      </c>
      <c r="V1430" s="3">
        <v>46050.333333333336</v>
      </c>
      <c r="W1430" t="s">
        <v>2139</v>
      </c>
      <c r="X1430" t="s">
        <v>2140</v>
      </c>
      <c r="Y1430" t="str">
        <f>"0416283600"</f>
        <v>0416283600</v>
      </c>
      <c r="Z1430" t="s">
        <v>70</v>
      </c>
      <c r="AB1430" t="s">
        <v>628</v>
      </c>
      <c r="AD1430" t="s">
        <v>61</v>
      </c>
      <c r="AE1430" t="s">
        <v>629</v>
      </c>
      <c r="AF1430">
        <v>2305</v>
      </c>
      <c r="AG1430" t="s">
        <v>2126</v>
      </c>
      <c r="AI1430" t="s">
        <v>59</v>
      </c>
      <c r="AL1430" t="s">
        <v>3885</v>
      </c>
      <c r="AN1430" s="3">
        <v>46059.587500000001</v>
      </c>
      <c r="AO1430" t="s">
        <v>2139</v>
      </c>
    </row>
    <row r="1431" spans="1:41" x14ac:dyDescent="0.3">
      <c r="A1431" t="s">
        <v>168</v>
      </c>
      <c r="B1431" t="s">
        <v>689</v>
      </c>
      <c r="C1431" t="s">
        <v>43</v>
      </c>
      <c r="D1431" t="s">
        <v>268</v>
      </c>
      <c r="E1431" s="1">
        <v>46059</v>
      </c>
      <c r="F1431" t="s">
        <v>2113</v>
      </c>
      <c r="G1431" t="s">
        <v>45</v>
      </c>
      <c r="H1431" s="2">
        <v>0.25</v>
      </c>
      <c r="I1431" s="2">
        <v>0.66666666666666663</v>
      </c>
      <c r="J1431" t="s">
        <v>100</v>
      </c>
      <c r="L1431" t="s">
        <v>100</v>
      </c>
      <c r="M1431" t="s">
        <v>862</v>
      </c>
      <c r="N1431" t="s">
        <v>863</v>
      </c>
      <c r="O1431">
        <v>5952375</v>
      </c>
      <c r="Q1431" t="s">
        <v>692</v>
      </c>
      <c r="R1431" t="s">
        <v>864</v>
      </c>
      <c r="S1431" t="s">
        <v>52</v>
      </c>
      <c r="T1431" t="s">
        <v>252</v>
      </c>
      <c r="U1431">
        <v>889766</v>
      </c>
      <c r="V1431" s="3">
        <v>46062.357638888891</v>
      </c>
      <c r="W1431" t="s">
        <v>864</v>
      </c>
      <c r="X1431" t="s">
        <v>865</v>
      </c>
      <c r="Y1431" t="str">
        <f>"0433092113"</f>
        <v>0433092113</v>
      </c>
      <c r="Z1431" t="s">
        <v>70</v>
      </c>
      <c r="AA1431" s="1">
        <v>46075</v>
      </c>
      <c r="AB1431" t="s">
        <v>695</v>
      </c>
      <c r="AD1431" t="s">
        <v>168</v>
      </c>
      <c r="AE1431" t="s">
        <v>696</v>
      </c>
      <c r="AF1431">
        <v>5606</v>
      </c>
      <c r="AG1431" t="s">
        <v>866</v>
      </c>
      <c r="AI1431" t="s">
        <v>59</v>
      </c>
      <c r="AJ1431" t="str">
        <f>"0020187960"</f>
        <v>0020187960</v>
      </c>
      <c r="AN1431" s="3">
        <v>46062.357638888891</v>
      </c>
      <c r="AO1431" t="s">
        <v>864</v>
      </c>
    </row>
    <row r="1432" spans="1:41" x14ac:dyDescent="0.3">
      <c r="A1432" t="s">
        <v>41</v>
      </c>
      <c r="B1432" t="s">
        <v>1705</v>
      </c>
      <c r="C1432" t="s">
        <v>43</v>
      </c>
      <c r="D1432" t="s">
        <v>1706</v>
      </c>
      <c r="E1432" s="1">
        <v>46059</v>
      </c>
      <c r="F1432" t="s">
        <v>2113</v>
      </c>
      <c r="G1432" t="s">
        <v>45</v>
      </c>
      <c r="H1432" s="2">
        <v>0.27083333333333331</v>
      </c>
      <c r="I1432" s="2">
        <v>0.4375</v>
      </c>
      <c r="J1432" t="s">
        <v>46</v>
      </c>
      <c r="L1432" t="s">
        <v>298</v>
      </c>
      <c r="M1432" t="s">
        <v>1578</v>
      </c>
      <c r="N1432" t="s">
        <v>1579</v>
      </c>
      <c r="O1432">
        <v>5952061</v>
      </c>
      <c r="Q1432" t="s">
        <v>1707</v>
      </c>
      <c r="R1432" t="s">
        <v>132</v>
      </c>
      <c r="S1432" t="s">
        <v>52</v>
      </c>
      <c r="U1432">
        <v>889568</v>
      </c>
      <c r="V1432" s="3">
        <v>46058.308333333334</v>
      </c>
      <c r="W1432" t="s">
        <v>1581</v>
      </c>
      <c r="X1432" t="s">
        <v>1582</v>
      </c>
      <c r="Y1432" t="str">
        <f>"0401803081"</f>
        <v>0401803081</v>
      </c>
      <c r="Z1432" t="s">
        <v>70</v>
      </c>
      <c r="AB1432" t="s">
        <v>1708</v>
      </c>
      <c r="AC1432" t="s">
        <v>1562</v>
      </c>
      <c r="AD1432" t="s">
        <v>41</v>
      </c>
      <c r="AE1432" t="s">
        <v>1563</v>
      </c>
      <c r="AF1432">
        <v>4109</v>
      </c>
      <c r="AG1432" t="s">
        <v>1707</v>
      </c>
      <c r="AI1432" t="s">
        <v>59</v>
      </c>
      <c r="AL1432" t="s">
        <v>87</v>
      </c>
      <c r="AN1432" s="3">
        <v>46059.486111111109</v>
      </c>
      <c r="AO1432" t="s">
        <v>1581</v>
      </c>
    </row>
    <row r="1433" spans="1:41" x14ac:dyDescent="0.3">
      <c r="A1433" t="s">
        <v>41</v>
      </c>
      <c r="B1433" t="s">
        <v>632</v>
      </c>
      <c r="C1433" t="s">
        <v>296</v>
      </c>
      <c r="D1433" t="s">
        <v>246</v>
      </c>
      <c r="E1433" s="1">
        <v>46059</v>
      </c>
      <c r="F1433" t="s">
        <v>2113</v>
      </c>
      <c r="G1433" t="s">
        <v>45</v>
      </c>
      <c r="H1433" s="2">
        <v>0.27083333333333331</v>
      </c>
      <c r="I1433" s="2">
        <v>0.625</v>
      </c>
      <c r="J1433" t="s">
        <v>464</v>
      </c>
      <c r="K1433" t="s">
        <v>2096</v>
      </c>
      <c r="L1433" t="s">
        <v>464</v>
      </c>
      <c r="M1433" t="s">
        <v>3556</v>
      </c>
      <c r="N1433" t="s">
        <v>1509</v>
      </c>
      <c r="O1433">
        <v>5952298</v>
      </c>
      <c r="Q1433" t="s">
        <v>3886</v>
      </c>
      <c r="R1433" t="s">
        <v>1472</v>
      </c>
      <c r="S1433" t="s">
        <v>52</v>
      </c>
      <c r="U1433">
        <v>889598</v>
      </c>
      <c r="V1433" s="3">
        <v>46058.499305555553</v>
      </c>
      <c r="W1433" t="s">
        <v>3557</v>
      </c>
      <c r="X1433" t="s">
        <v>3558</v>
      </c>
      <c r="Y1433" t="str">
        <f>"0410120754"</f>
        <v>0410120754</v>
      </c>
      <c r="Z1433" t="s">
        <v>70</v>
      </c>
      <c r="AA1433" s="1">
        <v>46059</v>
      </c>
      <c r="AB1433" t="s">
        <v>640</v>
      </c>
      <c r="AD1433" t="s">
        <v>41</v>
      </c>
      <c r="AE1433" t="s">
        <v>641</v>
      </c>
      <c r="AF1433">
        <v>4305</v>
      </c>
      <c r="AG1433" t="s">
        <v>2098</v>
      </c>
      <c r="AI1433" t="s">
        <v>59</v>
      </c>
      <c r="AL1433" t="s">
        <v>87</v>
      </c>
      <c r="AN1433" s="3">
        <v>46059.659722222219</v>
      </c>
      <c r="AO1433" t="s">
        <v>3557</v>
      </c>
    </row>
    <row r="1434" spans="1:41" x14ac:dyDescent="0.3">
      <c r="A1434" t="s">
        <v>61</v>
      </c>
      <c r="B1434" t="s">
        <v>182</v>
      </c>
      <c r="C1434" t="s">
        <v>484</v>
      </c>
      <c r="D1434" t="s">
        <v>184</v>
      </c>
      <c r="E1434" s="1">
        <v>46059</v>
      </c>
      <c r="F1434" t="s">
        <v>2113</v>
      </c>
      <c r="G1434" t="s">
        <v>45</v>
      </c>
      <c r="H1434" s="2">
        <v>0.27083333333333331</v>
      </c>
      <c r="I1434" s="2">
        <v>0.79166666666666663</v>
      </c>
      <c r="J1434" t="s">
        <v>486</v>
      </c>
      <c r="L1434" t="s">
        <v>487</v>
      </c>
      <c r="M1434" t="s">
        <v>1463</v>
      </c>
      <c r="N1434" t="s">
        <v>1464</v>
      </c>
      <c r="O1434">
        <v>22756</v>
      </c>
      <c r="Q1434" t="s">
        <v>129</v>
      </c>
      <c r="R1434" t="s">
        <v>132</v>
      </c>
      <c r="S1434" t="s">
        <v>52</v>
      </c>
      <c r="U1434">
        <v>889597</v>
      </c>
      <c r="V1434" s="3">
        <v>46038.630555555559</v>
      </c>
      <c r="W1434" t="s">
        <v>1466</v>
      </c>
      <c r="X1434" t="s">
        <v>1467</v>
      </c>
      <c r="Y1434" t="str">
        <f>"0416856891"</f>
        <v>0416856891</v>
      </c>
      <c r="Z1434" t="s">
        <v>70</v>
      </c>
      <c r="AA1434" s="1">
        <v>46059</v>
      </c>
      <c r="AB1434" t="s">
        <v>193</v>
      </c>
      <c r="AD1434" t="s">
        <v>61</v>
      </c>
      <c r="AE1434" t="s">
        <v>194</v>
      </c>
      <c r="AF1434">
        <v>2229</v>
      </c>
      <c r="AG1434" t="s">
        <v>129</v>
      </c>
      <c r="AI1434" t="s">
        <v>59</v>
      </c>
      <c r="AL1434" t="s">
        <v>3887</v>
      </c>
      <c r="AN1434" s="3">
        <v>46059.654861111114</v>
      </c>
      <c r="AO1434" t="s">
        <v>1466</v>
      </c>
    </row>
    <row r="1435" spans="1:41" x14ac:dyDescent="0.3">
      <c r="A1435" t="s">
        <v>61</v>
      </c>
      <c r="B1435" t="s">
        <v>182</v>
      </c>
      <c r="C1435" t="s">
        <v>183</v>
      </c>
      <c r="D1435" t="s">
        <v>184</v>
      </c>
      <c r="E1435" s="1">
        <v>46059</v>
      </c>
      <c r="F1435" t="s">
        <v>2113</v>
      </c>
      <c r="G1435" t="s">
        <v>45</v>
      </c>
      <c r="H1435" s="2">
        <v>0.27083333333333331</v>
      </c>
      <c r="I1435" s="2">
        <v>0.99861111111111112</v>
      </c>
      <c r="J1435" t="s">
        <v>185</v>
      </c>
      <c r="L1435" t="s">
        <v>790</v>
      </c>
      <c r="M1435" t="s">
        <v>791</v>
      </c>
      <c r="N1435" t="s">
        <v>792</v>
      </c>
      <c r="O1435">
        <v>5952334</v>
      </c>
      <c r="Q1435" t="s">
        <v>189</v>
      </c>
      <c r="R1435" t="s">
        <v>132</v>
      </c>
      <c r="S1435" t="s">
        <v>52</v>
      </c>
      <c r="U1435">
        <v>889599</v>
      </c>
      <c r="V1435" s="3">
        <v>46051.450694444444</v>
      </c>
      <c r="W1435" t="s">
        <v>793</v>
      </c>
      <c r="X1435" t="s">
        <v>794</v>
      </c>
      <c r="Y1435" t="str">
        <f>"0422273393"</f>
        <v>0422273393</v>
      </c>
      <c r="Z1435" t="s">
        <v>2276</v>
      </c>
      <c r="AB1435" t="s">
        <v>193</v>
      </c>
      <c r="AD1435" t="s">
        <v>61</v>
      </c>
      <c r="AE1435" t="s">
        <v>194</v>
      </c>
      <c r="AF1435">
        <v>2229</v>
      </c>
      <c r="AG1435" t="s">
        <v>189</v>
      </c>
      <c r="AI1435" t="s">
        <v>59</v>
      </c>
      <c r="AL1435" t="s">
        <v>3887</v>
      </c>
      <c r="AN1435" s="3">
        <v>46059.660416666666</v>
      </c>
      <c r="AO1435" t="s">
        <v>793</v>
      </c>
    </row>
    <row r="1436" spans="1:41" x14ac:dyDescent="0.3">
      <c r="A1436" t="s">
        <v>61</v>
      </c>
      <c r="B1436" t="s">
        <v>182</v>
      </c>
      <c r="C1436" t="s">
        <v>183</v>
      </c>
      <c r="D1436" t="s">
        <v>184</v>
      </c>
      <c r="E1436" s="1">
        <v>46059</v>
      </c>
      <c r="F1436" t="s">
        <v>2113</v>
      </c>
      <c r="G1436" t="s">
        <v>45</v>
      </c>
      <c r="H1436" s="2">
        <v>0.27083333333333331</v>
      </c>
      <c r="I1436" s="2">
        <v>0.99861111111111112</v>
      </c>
      <c r="J1436" t="s">
        <v>185</v>
      </c>
      <c r="L1436" t="s">
        <v>186</v>
      </c>
      <c r="M1436" t="s">
        <v>436</v>
      </c>
      <c r="N1436" t="s">
        <v>437</v>
      </c>
      <c r="O1436">
        <v>5951773</v>
      </c>
      <c r="Q1436" t="s">
        <v>189</v>
      </c>
      <c r="R1436" t="s">
        <v>132</v>
      </c>
      <c r="S1436" t="s">
        <v>52</v>
      </c>
      <c r="U1436">
        <v>889611</v>
      </c>
      <c r="V1436" s="3">
        <v>46051.450694444444</v>
      </c>
      <c r="W1436" t="s">
        <v>438</v>
      </c>
      <c r="X1436" t="s">
        <v>439</v>
      </c>
      <c r="Y1436" t="str">
        <f>"0405762113"</f>
        <v>0405762113</v>
      </c>
      <c r="Z1436" t="s">
        <v>2292</v>
      </c>
      <c r="AA1436" s="1">
        <v>46059</v>
      </c>
      <c r="AB1436" t="s">
        <v>193</v>
      </c>
      <c r="AD1436" t="s">
        <v>61</v>
      </c>
      <c r="AE1436" t="s">
        <v>194</v>
      </c>
      <c r="AF1436">
        <v>2229</v>
      </c>
      <c r="AG1436" t="s">
        <v>189</v>
      </c>
      <c r="AI1436" t="s">
        <v>59</v>
      </c>
      <c r="AL1436" t="s">
        <v>3888</v>
      </c>
      <c r="AN1436" s="3">
        <v>46059.700694444444</v>
      </c>
      <c r="AO1436" t="s">
        <v>438</v>
      </c>
    </row>
    <row r="1437" spans="1:41" x14ac:dyDescent="0.3">
      <c r="A1437" t="s">
        <v>61</v>
      </c>
      <c r="B1437" t="s">
        <v>182</v>
      </c>
      <c r="C1437" t="s">
        <v>183</v>
      </c>
      <c r="D1437" t="s">
        <v>184</v>
      </c>
      <c r="E1437" s="1">
        <v>46059</v>
      </c>
      <c r="F1437" t="s">
        <v>2113</v>
      </c>
      <c r="G1437" t="s">
        <v>45</v>
      </c>
      <c r="H1437" s="2">
        <v>0.27083333333333331</v>
      </c>
      <c r="I1437" s="2">
        <v>0.47916666666666669</v>
      </c>
      <c r="J1437" t="s">
        <v>185</v>
      </c>
      <c r="L1437" t="s">
        <v>186</v>
      </c>
      <c r="M1437" t="s">
        <v>1395</v>
      </c>
      <c r="N1437" t="s">
        <v>1396</v>
      </c>
      <c r="O1437">
        <v>758</v>
      </c>
      <c r="Q1437" t="s">
        <v>189</v>
      </c>
      <c r="R1437" t="s">
        <v>67</v>
      </c>
      <c r="S1437" t="s">
        <v>52</v>
      </c>
      <c r="U1437">
        <v>889570</v>
      </c>
      <c r="V1437" s="3">
        <v>46051.484027777777</v>
      </c>
      <c r="W1437" t="s">
        <v>1397</v>
      </c>
      <c r="X1437" t="s">
        <v>1398</v>
      </c>
      <c r="Y1437" t="str">
        <f>"0402403886"</f>
        <v>0402403886</v>
      </c>
      <c r="Z1437" t="s">
        <v>70</v>
      </c>
      <c r="AB1437" t="s">
        <v>193</v>
      </c>
      <c r="AD1437" t="s">
        <v>61</v>
      </c>
      <c r="AE1437" t="s">
        <v>194</v>
      </c>
      <c r="AF1437">
        <v>2229</v>
      </c>
      <c r="AG1437" t="s">
        <v>189</v>
      </c>
      <c r="AI1437" t="s">
        <v>59</v>
      </c>
      <c r="AL1437" t="s">
        <v>3889</v>
      </c>
      <c r="AN1437" s="3">
        <v>46059.51666666667</v>
      </c>
      <c r="AO1437" t="s">
        <v>1397</v>
      </c>
    </row>
    <row r="1438" spans="1:41" x14ac:dyDescent="0.3">
      <c r="A1438" t="s">
        <v>168</v>
      </c>
      <c r="B1438" t="s">
        <v>376</v>
      </c>
      <c r="C1438" t="s">
        <v>43</v>
      </c>
      <c r="D1438" t="s">
        <v>127</v>
      </c>
      <c r="E1438" s="1">
        <v>46059</v>
      </c>
      <c r="F1438" t="s">
        <v>2113</v>
      </c>
      <c r="G1438" t="s">
        <v>45</v>
      </c>
      <c r="H1438" s="2">
        <v>0.27083333333333331</v>
      </c>
      <c r="I1438" s="2">
        <v>0.60416666666666663</v>
      </c>
      <c r="J1438" t="s">
        <v>185</v>
      </c>
      <c r="K1438" t="s">
        <v>1290</v>
      </c>
      <c r="L1438" t="s">
        <v>186</v>
      </c>
      <c r="M1438" t="s">
        <v>3890</v>
      </c>
      <c r="N1438" t="s">
        <v>3891</v>
      </c>
      <c r="O1438">
        <v>22010</v>
      </c>
      <c r="Q1438" t="s">
        <v>3892</v>
      </c>
      <c r="R1438" t="s">
        <v>231</v>
      </c>
      <c r="S1438" t="s">
        <v>52</v>
      </c>
      <c r="U1438">
        <v>889580</v>
      </c>
      <c r="V1438" s="3">
        <v>46008.606944444444</v>
      </c>
      <c r="W1438" t="s">
        <v>3893</v>
      </c>
      <c r="X1438" t="s">
        <v>3894</v>
      </c>
      <c r="Y1438" t="str">
        <f>"0434082927"</f>
        <v>0434082927</v>
      </c>
      <c r="Z1438" t="s">
        <v>1665</v>
      </c>
      <c r="AB1438" t="s">
        <v>383</v>
      </c>
      <c r="AD1438" t="s">
        <v>168</v>
      </c>
      <c r="AE1438" t="s">
        <v>384</v>
      </c>
      <c r="AF1438">
        <v>5000</v>
      </c>
      <c r="AG1438" t="s">
        <v>674</v>
      </c>
      <c r="AI1438" t="s">
        <v>59</v>
      </c>
      <c r="AL1438" t="s">
        <v>3895</v>
      </c>
      <c r="AN1438" s="3">
        <v>46059.571527777778</v>
      </c>
      <c r="AO1438" t="s">
        <v>3893</v>
      </c>
    </row>
    <row r="1439" spans="1:41" x14ac:dyDescent="0.3">
      <c r="A1439" t="s">
        <v>168</v>
      </c>
      <c r="B1439" t="s">
        <v>215</v>
      </c>
      <c r="C1439" t="s">
        <v>43</v>
      </c>
      <c r="D1439" t="s">
        <v>127</v>
      </c>
      <c r="E1439" s="1">
        <v>46059</v>
      </c>
      <c r="F1439" t="s">
        <v>2113</v>
      </c>
      <c r="G1439" t="s">
        <v>45</v>
      </c>
      <c r="H1439" s="2">
        <v>0.27083333333333331</v>
      </c>
      <c r="I1439" s="2">
        <v>0.58333333333333337</v>
      </c>
      <c r="J1439" t="s">
        <v>258</v>
      </c>
      <c r="K1439" t="s">
        <v>259</v>
      </c>
      <c r="L1439" t="s">
        <v>186</v>
      </c>
      <c r="M1439" t="s">
        <v>651</v>
      </c>
      <c r="N1439" t="s">
        <v>412</v>
      </c>
      <c r="O1439">
        <v>21855</v>
      </c>
      <c r="Q1439" t="s">
        <v>219</v>
      </c>
      <c r="R1439" t="s">
        <v>176</v>
      </c>
      <c r="S1439" t="s">
        <v>52</v>
      </c>
      <c r="U1439">
        <v>889566</v>
      </c>
      <c r="V1439" s="3">
        <v>46043.772222222222</v>
      </c>
      <c r="W1439" t="s">
        <v>652</v>
      </c>
      <c r="X1439" t="s">
        <v>653</v>
      </c>
      <c r="Y1439" t="str">
        <f>"0407317111"</f>
        <v>0407317111</v>
      </c>
      <c r="Z1439" t="s">
        <v>3896</v>
      </c>
      <c r="AB1439" t="s">
        <v>222</v>
      </c>
      <c r="AD1439" t="s">
        <v>168</v>
      </c>
      <c r="AE1439" t="s">
        <v>223</v>
      </c>
      <c r="AF1439">
        <v>5069</v>
      </c>
      <c r="AG1439" t="s">
        <v>219</v>
      </c>
      <c r="AI1439" t="s">
        <v>59</v>
      </c>
      <c r="AL1439" t="s">
        <v>2839</v>
      </c>
      <c r="AN1439" s="3">
        <v>46059.454861111109</v>
      </c>
      <c r="AO1439" t="s">
        <v>652</v>
      </c>
    </row>
    <row r="1440" spans="1:41" x14ac:dyDescent="0.3">
      <c r="A1440" t="s">
        <v>41</v>
      </c>
      <c r="B1440" t="s">
        <v>632</v>
      </c>
      <c r="C1440" t="s">
        <v>296</v>
      </c>
      <c r="D1440" t="s">
        <v>246</v>
      </c>
      <c r="E1440" s="1">
        <v>46059</v>
      </c>
      <c r="F1440" t="s">
        <v>2113</v>
      </c>
      <c r="G1440" t="s">
        <v>45</v>
      </c>
      <c r="H1440" s="2">
        <v>0.27083333333333331</v>
      </c>
      <c r="I1440" s="2">
        <v>0.625</v>
      </c>
      <c r="J1440" t="s">
        <v>464</v>
      </c>
      <c r="K1440" t="s">
        <v>2096</v>
      </c>
      <c r="L1440" t="s">
        <v>2973</v>
      </c>
      <c r="M1440" t="s">
        <v>878</v>
      </c>
      <c r="N1440" t="s">
        <v>3897</v>
      </c>
      <c r="O1440">
        <v>5952447</v>
      </c>
      <c r="Q1440" t="s">
        <v>2098</v>
      </c>
      <c r="R1440" t="s">
        <v>51</v>
      </c>
      <c r="S1440" t="s">
        <v>52</v>
      </c>
      <c r="U1440">
        <v>889603</v>
      </c>
      <c r="V1440" s="3">
        <v>46049.634722222225</v>
      </c>
      <c r="W1440" t="s">
        <v>3898</v>
      </c>
      <c r="X1440" t="s">
        <v>3899</v>
      </c>
      <c r="Y1440" t="str">
        <f>"0449504831"</f>
        <v>0449504831</v>
      </c>
      <c r="Z1440" t="s">
        <v>1375</v>
      </c>
      <c r="AB1440" t="s">
        <v>640</v>
      </c>
      <c r="AD1440" t="s">
        <v>41</v>
      </c>
      <c r="AE1440" t="s">
        <v>641</v>
      </c>
      <c r="AF1440">
        <v>4305</v>
      </c>
      <c r="AG1440" t="s">
        <v>2098</v>
      </c>
      <c r="AI1440" t="s">
        <v>59</v>
      </c>
      <c r="AL1440" t="s">
        <v>1407</v>
      </c>
      <c r="AN1440" s="3">
        <v>46059.669444444444</v>
      </c>
      <c r="AO1440" t="s">
        <v>3898</v>
      </c>
    </row>
    <row r="1441" spans="1:41" x14ac:dyDescent="0.3">
      <c r="A1441" t="s">
        <v>61</v>
      </c>
      <c r="B1441" t="s">
        <v>768</v>
      </c>
      <c r="C1441" t="s">
        <v>296</v>
      </c>
      <c r="D1441" t="s">
        <v>769</v>
      </c>
      <c r="E1441" s="1">
        <v>46059</v>
      </c>
      <c r="F1441" t="s">
        <v>2113</v>
      </c>
      <c r="G1441" t="s">
        <v>45</v>
      </c>
      <c r="H1441" s="2">
        <v>0.29166666666666669</v>
      </c>
      <c r="I1441" s="2">
        <v>0.625</v>
      </c>
      <c r="J1441" t="s">
        <v>296</v>
      </c>
      <c r="L1441" t="s">
        <v>298</v>
      </c>
      <c r="M1441" t="s">
        <v>770</v>
      </c>
      <c r="N1441" t="s">
        <v>771</v>
      </c>
      <c r="O1441">
        <v>5952291</v>
      </c>
      <c r="Q1441" t="s">
        <v>1957</v>
      </c>
      <c r="R1441" t="s">
        <v>67</v>
      </c>
      <c r="S1441" t="s">
        <v>52</v>
      </c>
      <c r="U1441">
        <v>889591</v>
      </c>
      <c r="V1441" s="3">
        <v>46050.375</v>
      </c>
      <c r="W1441" t="s">
        <v>773</v>
      </c>
      <c r="X1441" t="s">
        <v>774</v>
      </c>
      <c r="Y1441" t="str">
        <f>"0432174467"</f>
        <v>0432174467</v>
      </c>
      <c r="Z1441" t="s">
        <v>1375</v>
      </c>
      <c r="AB1441" t="s">
        <v>775</v>
      </c>
      <c r="AD1441" t="s">
        <v>61</v>
      </c>
      <c r="AE1441" t="s">
        <v>776</v>
      </c>
      <c r="AF1441">
        <v>2076</v>
      </c>
      <c r="AG1441" t="s">
        <v>1957</v>
      </c>
      <c r="AI1441" t="s">
        <v>59</v>
      </c>
      <c r="AL1441" t="s">
        <v>3889</v>
      </c>
      <c r="AN1441" s="3">
        <v>46059.636111111111</v>
      </c>
      <c r="AO1441" t="s">
        <v>773</v>
      </c>
    </row>
    <row r="1442" spans="1:41" x14ac:dyDescent="0.3">
      <c r="A1442" t="s">
        <v>61</v>
      </c>
      <c r="B1442" t="s">
        <v>158</v>
      </c>
      <c r="C1442" t="s">
        <v>43</v>
      </c>
      <c r="D1442" t="s">
        <v>127</v>
      </c>
      <c r="E1442" s="1">
        <v>46059</v>
      </c>
      <c r="F1442" t="s">
        <v>2113</v>
      </c>
      <c r="G1442" t="s">
        <v>45</v>
      </c>
      <c r="H1442" s="2">
        <v>0.29166666666666669</v>
      </c>
      <c r="I1442" s="2">
        <v>0.98958333333333337</v>
      </c>
      <c r="J1442" t="s">
        <v>185</v>
      </c>
      <c r="K1442" t="s">
        <v>2742</v>
      </c>
      <c r="L1442" t="s">
        <v>186</v>
      </c>
      <c r="M1442" t="s">
        <v>2309</v>
      </c>
      <c r="N1442" t="s">
        <v>2310</v>
      </c>
      <c r="O1442">
        <v>5952011</v>
      </c>
      <c r="Q1442" t="s">
        <v>162</v>
      </c>
      <c r="R1442" t="s">
        <v>67</v>
      </c>
      <c r="S1442" t="s">
        <v>52</v>
      </c>
      <c r="U1442">
        <v>889625</v>
      </c>
      <c r="V1442" s="3">
        <v>46050.632638888892</v>
      </c>
      <c r="W1442" t="s">
        <v>2312</v>
      </c>
      <c r="X1442" t="s">
        <v>2313</v>
      </c>
      <c r="Y1442" t="str">
        <f>"0410412022"</f>
        <v>0410412022</v>
      </c>
      <c r="Z1442" t="s">
        <v>2548</v>
      </c>
      <c r="AB1442" t="s">
        <v>166</v>
      </c>
      <c r="AD1442" t="s">
        <v>61</v>
      </c>
      <c r="AE1442" t="s">
        <v>167</v>
      </c>
      <c r="AF1442">
        <v>2011</v>
      </c>
      <c r="AG1442" t="s">
        <v>162</v>
      </c>
      <c r="AI1442" t="s">
        <v>59</v>
      </c>
      <c r="AL1442" t="s">
        <v>3900</v>
      </c>
      <c r="AN1442" s="3">
        <v>46059.754166666666</v>
      </c>
      <c r="AO1442" t="s">
        <v>2312</v>
      </c>
    </row>
    <row r="1443" spans="1:41" x14ac:dyDescent="0.3">
      <c r="A1443" t="s">
        <v>41</v>
      </c>
      <c r="B1443" t="s">
        <v>568</v>
      </c>
      <c r="D1443" t="s">
        <v>246</v>
      </c>
      <c r="E1443" s="1">
        <v>46059</v>
      </c>
      <c r="F1443" t="s">
        <v>2113</v>
      </c>
      <c r="G1443" t="s">
        <v>45</v>
      </c>
      <c r="H1443" s="2">
        <v>0.29166666666666669</v>
      </c>
      <c r="I1443" s="2">
        <v>0.64583333333333337</v>
      </c>
      <c r="J1443" t="s">
        <v>269</v>
      </c>
      <c r="L1443" t="s">
        <v>172</v>
      </c>
      <c r="M1443" t="s">
        <v>311</v>
      </c>
      <c r="N1443" t="s">
        <v>570</v>
      </c>
      <c r="O1443">
        <v>5951685</v>
      </c>
      <c r="P1443" t="s">
        <v>571</v>
      </c>
      <c r="Q1443" t="s">
        <v>572</v>
      </c>
      <c r="R1443" t="s">
        <v>573</v>
      </c>
      <c r="S1443" t="s">
        <v>52</v>
      </c>
      <c r="T1443" t="s">
        <v>252</v>
      </c>
      <c r="U1443">
        <v>889793</v>
      </c>
      <c r="V1443" s="3">
        <v>46062.522222222222</v>
      </c>
      <c r="W1443" t="s">
        <v>574</v>
      </c>
      <c r="X1443" t="s">
        <v>575</v>
      </c>
      <c r="Y1443" t="str">
        <f>"0407007024"</f>
        <v>0407007024</v>
      </c>
      <c r="Z1443" t="s">
        <v>375</v>
      </c>
      <c r="AA1443" s="1">
        <v>46075</v>
      </c>
      <c r="AB1443" t="s">
        <v>576</v>
      </c>
      <c r="AD1443" t="s">
        <v>41</v>
      </c>
      <c r="AE1443" t="s">
        <v>577</v>
      </c>
      <c r="AF1443">
        <v>4700</v>
      </c>
      <c r="AG1443" t="s">
        <v>572</v>
      </c>
      <c r="AI1443" t="s">
        <v>59</v>
      </c>
      <c r="AJ1443" t="str">
        <f>"0050076113"</f>
        <v>0050076113</v>
      </c>
      <c r="AN1443" s="3">
        <v>46062.522222222222</v>
      </c>
      <c r="AO1443" t="s">
        <v>573</v>
      </c>
    </row>
    <row r="1444" spans="1:41" x14ac:dyDescent="0.3">
      <c r="A1444" t="s">
        <v>41</v>
      </c>
      <c r="B1444" t="s">
        <v>965</v>
      </c>
      <c r="C1444" t="s">
        <v>43</v>
      </c>
      <c r="D1444" t="s">
        <v>966</v>
      </c>
      <c r="E1444" s="1">
        <v>46059</v>
      </c>
      <c r="F1444" t="s">
        <v>2113</v>
      </c>
      <c r="G1444" t="s">
        <v>45</v>
      </c>
      <c r="H1444" s="2">
        <v>0.29166666666666669</v>
      </c>
      <c r="I1444" s="2">
        <v>0.54166666666666663</v>
      </c>
      <c r="J1444" t="s">
        <v>185</v>
      </c>
      <c r="L1444" t="s">
        <v>186</v>
      </c>
      <c r="M1444" t="s">
        <v>1558</v>
      </c>
      <c r="N1444" t="s">
        <v>1055</v>
      </c>
      <c r="O1444">
        <v>5952442</v>
      </c>
      <c r="Q1444" t="s">
        <v>823</v>
      </c>
      <c r="R1444" t="s">
        <v>1472</v>
      </c>
      <c r="S1444" t="s">
        <v>52</v>
      </c>
      <c r="U1444">
        <v>889581</v>
      </c>
      <c r="V1444" s="3">
        <v>46056.681250000001</v>
      </c>
      <c r="W1444" t="s">
        <v>1560</v>
      </c>
      <c r="X1444" t="s">
        <v>1561</v>
      </c>
      <c r="Y1444" t="str">
        <f>"0459639482"</f>
        <v>0459639482</v>
      </c>
      <c r="Z1444" t="s">
        <v>70</v>
      </c>
      <c r="AB1444" t="s">
        <v>972</v>
      </c>
      <c r="AD1444" t="s">
        <v>41</v>
      </c>
      <c r="AE1444" t="s">
        <v>973</v>
      </c>
      <c r="AF1444">
        <v>4068</v>
      </c>
      <c r="AG1444" t="s">
        <v>823</v>
      </c>
      <c r="AI1444" t="s">
        <v>59</v>
      </c>
      <c r="AL1444" t="s">
        <v>3901</v>
      </c>
      <c r="AM1444" t="s">
        <v>3902</v>
      </c>
      <c r="AN1444" s="3">
        <v>46059.574999999997</v>
      </c>
      <c r="AO1444" t="s">
        <v>1560</v>
      </c>
    </row>
    <row r="1445" spans="1:41" x14ac:dyDescent="0.3">
      <c r="A1445" t="s">
        <v>306</v>
      </c>
      <c r="B1445" t="s">
        <v>1784</v>
      </c>
      <c r="C1445" t="s">
        <v>3903</v>
      </c>
      <c r="D1445" t="s">
        <v>1436</v>
      </c>
      <c r="E1445" s="1">
        <v>46059</v>
      </c>
      <c r="F1445" t="s">
        <v>2113</v>
      </c>
      <c r="G1445" t="s">
        <v>45</v>
      </c>
      <c r="H1445" s="2">
        <v>0.29166666666666669</v>
      </c>
      <c r="I1445" s="2">
        <v>0.8125</v>
      </c>
      <c r="J1445" t="s">
        <v>529</v>
      </c>
      <c r="L1445" t="s">
        <v>1686</v>
      </c>
      <c r="M1445" t="s">
        <v>371</v>
      </c>
      <c r="N1445" t="s">
        <v>3904</v>
      </c>
      <c r="O1445">
        <v>5952158</v>
      </c>
      <c r="Q1445" t="s">
        <v>413</v>
      </c>
      <c r="R1445" t="s">
        <v>1248</v>
      </c>
      <c r="S1445" t="s">
        <v>52</v>
      </c>
      <c r="U1445">
        <v>889635</v>
      </c>
      <c r="V1445" s="3">
        <v>46058.715277777781</v>
      </c>
      <c r="W1445" t="s">
        <v>3905</v>
      </c>
      <c r="X1445" t="s">
        <v>3906</v>
      </c>
      <c r="Y1445" t="str">
        <f>"0451891862"</f>
        <v>0451891862</v>
      </c>
      <c r="Z1445" t="s">
        <v>70</v>
      </c>
      <c r="AA1445" s="1">
        <v>46059</v>
      </c>
      <c r="AB1445" t="s">
        <v>1788</v>
      </c>
      <c r="AD1445" t="s">
        <v>306</v>
      </c>
      <c r="AE1445" t="s">
        <v>1789</v>
      </c>
      <c r="AF1445">
        <v>3121</v>
      </c>
      <c r="AG1445" t="s">
        <v>413</v>
      </c>
      <c r="AI1445" t="s">
        <v>59</v>
      </c>
      <c r="AL1445" t="s">
        <v>87</v>
      </c>
      <c r="AN1445" s="3">
        <v>46059.815972222219</v>
      </c>
      <c r="AO1445" t="s">
        <v>3905</v>
      </c>
    </row>
    <row r="1446" spans="1:41" x14ac:dyDescent="0.3">
      <c r="A1446" t="s">
        <v>61</v>
      </c>
      <c r="B1446" t="s">
        <v>158</v>
      </c>
      <c r="C1446" t="s">
        <v>43</v>
      </c>
      <c r="D1446" t="s">
        <v>127</v>
      </c>
      <c r="E1446" s="1">
        <v>46059</v>
      </c>
      <c r="F1446" t="s">
        <v>2113</v>
      </c>
      <c r="G1446" t="s">
        <v>45</v>
      </c>
      <c r="H1446" s="2">
        <v>0.29166666666666669</v>
      </c>
      <c r="I1446" s="2">
        <v>0.98958333333333337</v>
      </c>
      <c r="J1446" t="s">
        <v>185</v>
      </c>
      <c r="K1446" t="s">
        <v>2742</v>
      </c>
      <c r="L1446" t="s">
        <v>186</v>
      </c>
      <c r="M1446" t="s">
        <v>777</v>
      </c>
      <c r="N1446" t="s">
        <v>778</v>
      </c>
      <c r="O1446">
        <v>5952331</v>
      </c>
      <c r="Q1446" t="s">
        <v>162</v>
      </c>
      <c r="R1446" t="s">
        <v>67</v>
      </c>
      <c r="S1446" t="s">
        <v>52</v>
      </c>
      <c r="U1446">
        <v>889630</v>
      </c>
      <c r="V1446" s="3">
        <v>46050.632638888892</v>
      </c>
      <c r="W1446" t="s">
        <v>780</v>
      </c>
      <c r="X1446" t="s">
        <v>781</v>
      </c>
      <c r="Y1446" t="str">
        <f>"0478730906"</f>
        <v>0478730906</v>
      </c>
      <c r="Z1446" t="s">
        <v>458</v>
      </c>
      <c r="AA1446" s="1">
        <v>46059</v>
      </c>
      <c r="AB1446" t="s">
        <v>166</v>
      </c>
      <c r="AD1446" t="s">
        <v>61</v>
      </c>
      <c r="AE1446" t="s">
        <v>167</v>
      </c>
      <c r="AF1446">
        <v>2011</v>
      </c>
      <c r="AG1446" t="s">
        <v>162</v>
      </c>
      <c r="AI1446" t="s">
        <v>59</v>
      </c>
      <c r="AL1446" t="s">
        <v>3907</v>
      </c>
      <c r="AN1446" s="3">
        <v>46059.779166666667</v>
      </c>
      <c r="AO1446" t="s">
        <v>780</v>
      </c>
    </row>
    <row r="1447" spans="1:41" x14ac:dyDescent="0.3">
      <c r="A1447" t="s">
        <v>168</v>
      </c>
      <c r="B1447" t="s">
        <v>376</v>
      </c>
      <c r="C1447" t="s">
        <v>216</v>
      </c>
      <c r="D1447" t="s">
        <v>1386</v>
      </c>
      <c r="E1447" s="1">
        <v>46059</v>
      </c>
      <c r="F1447" t="s">
        <v>2113</v>
      </c>
      <c r="G1447" t="s">
        <v>45</v>
      </c>
      <c r="H1447" s="2">
        <v>0.29166666666666669</v>
      </c>
      <c r="I1447" s="2">
        <v>0.625</v>
      </c>
      <c r="J1447" t="s">
        <v>101</v>
      </c>
      <c r="L1447" t="s">
        <v>159</v>
      </c>
      <c r="M1447" t="s">
        <v>1206</v>
      </c>
      <c r="N1447" t="s">
        <v>1207</v>
      </c>
      <c r="O1447">
        <v>21307</v>
      </c>
      <c r="Q1447" t="s">
        <v>1389</v>
      </c>
      <c r="R1447" t="s">
        <v>1390</v>
      </c>
      <c r="S1447" t="s">
        <v>52</v>
      </c>
      <c r="U1447">
        <v>889579</v>
      </c>
      <c r="V1447" s="3">
        <v>46058.376388888886</v>
      </c>
      <c r="W1447" t="s">
        <v>1209</v>
      </c>
      <c r="X1447" t="s">
        <v>1210</v>
      </c>
      <c r="Y1447" t="str">
        <f>"0421122070"</f>
        <v>0421122070</v>
      </c>
      <c r="Z1447" t="s">
        <v>70</v>
      </c>
      <c r="AA1447" s="1">
        <v>46059</v>
      </c>
      <c r="AB1447" t="s">
        <v>383</v>
      </c>
      <c r="AD1447" t="s">
        <v>168</v>
      </c>
      <c r="AE1447" t="s">
        <v>384</v>
      </c>
      <c r="AF1447">
        <v>5000</v>
      </c>
      <c r="AI1447" t="s">
        <v>59</v>
      </c>
      <c r="AL1447" t="s">
        <v>3908</v>
      </c>
      <c r="AM1447" t="s">
        <v>3909</v>
      </c>
      <c r="AN1447" s="3">
        <v>46059.568055555559</v>
      </c>
      <c r="AO1447" t="s">
        <v>1209</v>
      </c>
    </row>
    <row r="1448" spans="1:41" x14ac:dyDescent="0.3">
      <c r="A1448" t="s">
        <v>75</v>
      </c>
      <c r="B1448" t="s">
        <v>895</v>
      </c>
      <c r="C1448" t="s">
        <v>896</v>
      </c>
      <c r="D1448" t="s">
        <v>184</v>
      </c>
      <c r="E1448" s="1">
        <v>46059</v>
      </c>
      <c r="F1448" t="s">
        <v>2113</v>
      </c>
      <c r="G1448" t="s">
        <v>45</v>
      </c>
      <c r="H1448" s="2">
        <v>0.29166666666666669</v>
      </c>
      <c r="I1448" s="2">
        <v>0.60416666666666663</v>
      </c>
      <c r="J1448" t="s">
        <v>2679</v>
      </c>
      <c r="L1448" t="s">
        <v>464</v>
      </c>
      <c r="M1448" t="s">
        <v>1206</v>
      </c>
      <c r="N1448" t="s">
        <v>3910</v>
      </c>
      <c r="O1448">
        <v>5952254</v>
      </c>
      <c r="Q1448" t="s">
        <v>2681</v>
      </c>
      <c r="R1448" t="s">
        <v>81</v>
      </c>
      <c r="S1448" t="s">
        <v>52</v>
      </c>
      <c r="U1448">
        <v>889621</v>
      </c>
      <c r="V1448" s="3">
        <v>46052.433333333334</v>
      </c>
      <c r="W1448" t="s">
        <v>3911</v>
      </c>
      <c r="X1448" t="s">
        <v>3912</v>
      </c>
      <c r="Y1448" t="str">
        <f>"0475216429"</f>
        <v>0475216429</v>
      </c>
      <c r="Z1448" t="s">
        <v>1635</v>
      </c>
      <c r="AA1448" s="1">
        <v>46059</v>
      </c>
      <c r="AB1448" t="s">
        <v>902</v>
      </c>
      <c r="AD1448" t="s">
        <v>75</v>
      </c>
      <c r="AE1448" t="s">
        <v>903</v>
      </c>
      <c r="AF1448">
        <v>6009</v>
      </c>
      <c r="AG1448" t="s">
        <v>2681</v>
      </c>
      <c r="AI1448" t="s">
        <v>59</v>
      </c>
      <c r="AL1448" t="s">
        <v>2684</v>
      </c>
      <c r="AN1448" s="3">
        <v>46059.734027777777</v>
      </c>
      <c r="AO1448" t="s">
        <v>3911</v>
      </c>
    </row>
    <row r="1449" spans="1:41" x14ac:dyDescent="0.3">
      <c r="A1449" t="s">
        <v>41</v>
      </c>
      <c r="B1449" t="s">
        <v>1452</v>
      </c>
      <c r="D1449" t="s">
        <v>246</v>
      </c>
      <c r="E1449" s="1">
        <v>46059</v>
      </c>
      <c r="F1449" t="s">
        <v>2113</v>
      </c>
      <c r="G1449" t="s">
        <v>45</v>
      </c>
      <c r="H1449" s="2">
        <v>0.29166666666666669</v>
      </c>
      <c r="I1449" s="2">
        <v>0.64583333333333337</v>
      </c>
      <c r="J1449" t="s">
        <v>296</v>
      </c>
      <c r="L1449" t="s">
        <v>1453</v>
      </c>
      <c r="M1449" t="s">
        <v>1454</v>
      </c>
      <c r="N1449" t="s">
        <v>1455</v>
      </c>
      <c r="O1449">
        <v>5951941</v>
      </c>
      <c r="Q1449" t="s">
        <v>1456</v>
      </c>
      <c r="R1449" t="s">
        <v>573</v>
      </c>
      <c r="S1449" t="s">
        <v>52</v>
      </c>
      <c r="T1449" t="s">
        <v>252</v>
      </c>
      <c r="U1449">
        <v>889952</v>
      </c>
      <c r="V1449" s="3">
        <v>46063.347222222219</v>
      </c>
      <c r="W1449" t="s">
        <v>1457</v>
      </c>
      <c r="X1449" t="s">
        <v>1458</v>
      </c>
      <c r="Y1449" t="str">
        <f>"0413847722"</f>
        <v>0413847722</v>
      </c>
      <c r="Z1449" t="s">
        <v>366</v>
      </c>
      <c r="AA1449" s="1">
        <v>46097</v>
      </c>
      <c r="AB1449" t="s">
        <v>1459</v>
      </c>
      <c r="AD1449" t="s">
        <v>41</v>
      </c>
      <c r="AE1449" t="s">
        <v>1460</v>
      </c>
      <c r="AF1449">
        <v>4740</v>
      </c>
      <c r="AG1449" t="s">
        <v>1456</v>
      </c>
      <c r="AI1449" t="s">
        <v>59</v>
      </c>
      <c r="AJ1449" t="str">
        <f>"0050076628"</f>
        <v>0050076628</v>
      </c>
      <c r="AN1449" s="3">
        <v>46063.347222222219</v>
      </c>
      <c r="AO1449" t="s">
        <v>573</v>
      </c>
    </row>
    <row r="1450" spans="1:41" x14ac:dyDescent="0.3">
      <c r="A1450" t="s">
        <v>61</v>
      </c>
      <c r="B1450" t="s">
        <v>753</v>
      </c>
      <c r="C1450" t="s">
        <v>484</v>
      </c>
      <c r="D1450" t="s">
        <v>754</v>
      </c>
      <c r="E1450" s="1">
        <v>46059</v>
      </c>
      <c r="F1450" t="s">
        <v>2113</v>
      </c>
      <c r="G1450" t="s">
        <v>45</v>
      </c>
      <c r="H1450" s="2">
        <v>0.29166666666666669</v>
      </c>
      <c r="I1450" s="2">
        <v>0.64583333333333337</v>
      </c>
      <c r="J1450" t="s">
        <v>486</v>
      </c>
      <c r="L1450" t="s">
        <v>2436</v>
      </c>
      <c r="M1450" t="s">
        <v>1987</v>
      </c>
      <c r="N1450" t="s">
        <v>2437</v>
      </c>
      <c r="O1450">
        <v>5952336</v>
      </c>
      <c r="Q1450" t="s">
        <v>2438</v>
      </c>
      <c r="R1450" t="s">
        <v>67</v>
      </c>
      <c r="S1450" t="s">
        <v>52</v>
      </c>
      <c r="U1450">
        <v>889590</v>
      </c>
      <c r="V1450" s="3">
        <v>46051.422222222223</v>
      </c>
      <c r="W1450" t="s">
        <v>2439</v>
      </c>
      <c r="X1450" t="s">
        <v>2440</v>
      </c>
      <c r="Y1450" t="str">
        <f>"0450594540"</f>
        <v>0450594540</v>
      </c>
      <c r="Z1450" t="s">
        <v>527</v>
      </c>
      <c r="AB1450" t="s">
        <v>764</v>
      </c>
      <c r="AD1450" t="s">
        <v>61</v>
      </c>
      <c r="AE1450" t="s">
        <v>765</v>
      </c>
      <c r="AF1450">
        <v>2220</v>
      </c>
      <c r="AG1450" t="s">
        <v>2438</v>
      </c>
      <c r="AI1450" t="s">
        <v>59</v>
      </c>
      <c r="AL1450" t="s">
        <v>3887</v>
      </c>
      <c r="AN1450" s="3">
        <v>46059.605555555558</v>
      </c>
      <c r="AO1450" t="s">
        <v>2439</v>
      </c>
    </row>
    <row r="1451" spans="1:41" x14ac:dyDescent="0.3">
      <c r="A1451" t="s">
        <v>306</v>
      </c>
      <c r="B1451" t="s">
        <v>1751</v>
      </c>
      <c r="C1451" t="s">
        <v>1752</v>
      </c>
      <c r="D1451" t="s">
        <v>184</v>
      </c>
      <c r="E1451" s="1">
        <v>46059</v>
      </c>
      <c r="F1451" t="s">
        <v>2113</v>
      </c>
      <c r="G1451" t="s">
        <v>45</v>
      </c>
      <c r="H1451" s="2">
        <v>0.29166666666666669</v>
      </c>
      <c r="I1451" s="2">
        <v>0.625</v>
      </c>
      <c r="J1451" t="s">
        <v>1314</v>
      </c>
      <c r="L1451" t="s">
        <v>1753</v>
      </c>
      <c r="M1451" t="s">
        <v>1754</v>
      </c>
      <c r="N1451" t="s">
        <v>1755</v>
      </c>
      <c r="O1451">
        <v>20486</v>
      </c>
      <c r="Q1451" t="s">
        <v>413</v>
      </c>
      <c r="R1451" t="s">
        <v>1248</v>
      </c>
      <c r="S1451" t="s">
        <v>119</v>
      </c>
      <c r="T1451" t="s">
        <v>1356</v>
      </c>
      <c r="U1451">
        <v>889962</v>
      </c>
      <c r="V1451" s="3">
        <v>46058.768750000003</v>
      </c>
      <c r="W1451" t="s">
        <v>1757</v>
      </c>
      <c r="X1451" t="s">
        <v>1758</v>
      </c>
      <c r="Y1451" t="str">
        <f>"0432381966"</f>
        <v>0432381966</v>
      </c>
      <c r="Z1451" t="s">
        <v>70</v>
      </c>
      <c r="AB1451" t="s">
        <v>1759</v>
      </c>
      <c r="AD1451" t="s">
        <v>306</v>
      </c>
      <c r="AE1451" t="s">
        <v>1760</v>
      </c>
      <c r="AF1451">
        <v>3199</v>
      </c>
      <c r="AI1451" t="s">
        <v>59</v>
      </c>
      <c r="AL1451" t="s">
        <v>3913</v>
      </c>
      <c r="AM1451" t="s">
        <v>3914</v>
      </c>
      <c r="AN1451" s="3">
        <v>46058.805555555555</v>
      </c>
      <c r="AO1451" t="s">
        <v>1757</v>
      </c>
    </row>
    <row r="1452" spans="1:41" x14ac:dyDescent="0.3">
      <c r="A1452" t="s">
        <v>306</v>
      </c>
      <c r="B1452" t="s">
        <v>1751</v>
      </c>
      <c r="C1452" t="s">
        <v>1752</v>
      </c>
      <c r="D1452" t="s">
        <v>184</v>
      </c>
      <c r="E1452" s="1">
        <v>46059</v>
      </c>
      <c r="F1452" t="s">
        <v>2113</v>
      </c>
      <c r="G1452" t="s">
        <v>45</v>
      </c>
      <c r="H1452" s="2">
        <v>0.29166666666666669</v>
      </c>
      <c r="I1452" s="2">
        <v>0.625</v>
      </c>
      <c r="J1452" t="s">
        <v>296</v>
      </c>
      <c r="L1452" t="s">
        <v>1753</v>
      </c>
      <c r="M1452" t="s">
        <v>1754</v>
      </c>
      <c r="N1452" t="s">
        <v>1755</v>
      </c>
      <c r="O1452">
        <v>20486</v>
      </c>
      <c r="Q1452" t="s">
        <v>413</v>
      </c>
      <c r="R1452" t="s">
        <v>759</v>
      </c>
      <c r="S1452" t="s">
        <v>119</v>
      </c>
      <c r="T1452" t="s">
        <v>760</v>
      </c>
      <c r="U1452" t="s">
        <v>3915</v>
      </c>
      <c r="V1452" s="3">
        <v>46084.527083333334</v>
      </c>
      <c r="W1452" t="s">
        <v>1757</v>
      </c>
      <c r="X1452" t="s">
        <v>1758</v>
      </c>
      <c r="Y1452" t="str">
        <f>"0432381966"</f>
        <v>0432381966</v>
      </c>
      <c r="Z1452" t="s">
        <v>70</v>
      </c>
      <c r="AB1452" t="s">
        <v>1759</v>
      </c>
      <c r="AD1452" t="s">
        <v>306</v>
      </c>
      <c r="AE1452" t="s">
        <v>1760</v>
      </c>
      <c r="AF1452">
        <v>3199</v>
      </c>
      <c r="AG1452" t="s">
        <v>413</v>
      </c>
      <c r="AI1452" t="s">
        <v>59</v>
      </c>
      <c r="AM1452" t="s">
        <v>3916</v>
      </c>
      <c r="AN1452" s="3">
        <v>46084.527083333334</v>
      </c>
      <c r="AO1452" t="s">
        <v>759</v>
      </c>
    </row>
    <row r="1453" spans="1:41" x14ac:dyDescent="0.3">
      <c r="A1453" t="s">
        <v>306</v>
      </c>
      <c r="B1453" t="s">
        <v>1751</v>
      </c>
      <c r="C1453" t="s">
        <v>1752</v>
      </c>
      <c r="D1453" t="s">
        <v>184</v>
      </c>
      <c r="E1453" s="1">
        <v>46059</v>
      </c>
      <c r="F1453" t="s">
        <v>2113</v>
      </c>
      <c r="G1453" t="s">
        <v>45</v>
      </c>
      <c r="H1453" s="2">
        <v>0.29166666666666669</v>
      </c>
      <c r="I1453" s="2">
        <v>0.625</v>
      </c>
      <c r="J1453" t="s">
        <v>496</v>
      </c>
      <c r="L1453" t="s">
        <v>1753</v>
      </c>
      <c r="M1453" t="s">
        <v>1754</v>
      </c>
      <c r="N1453" t="s">
        <v>1755</v>
      </c>
      <c r="O1453">
        <v>20486</v>
      </c>
      <c r="Q1453" t="s">
        <v>413</v>
      </c>
      <c r="R1453" t="s">
        <v>759</v>
      </c>
      <c r="S1453" t="s">
        <v>119</v>
      </c>
      <c r="T1453" t="s">
        <v>760</v>
      </c>
      <c r="U1453" t="s">
        <v>3917</v>
      </c>
      <c r="V1453" s="3">
        <v>46084.527083333334</v>
      </c>
      <c r="W1453" t="s">
        <v>1757</v>
      </c>
      <c r="X1453" t="s">
        <v>1758</v>
      </c>
      <c r="Y1453" t="str">
        <f>"0432381966"</f>
        <v>0432381966</v>
      </c>
      <c r="Z1453" t="s">
        <v>70</v>
      </c>
      <c r="AB1453" t="s">
        <v>1759</v>
      </c>
      <c r="AD1453" t="s">
        <v>306</v>
      </c>
      <c r="AE1453" t="s">
        <v>1760</v>
      </c>
      <c r="AF1453">
        <v>3199</v>
      </c>
      <c r="AG1453" t="s">
        <v>413</v>
      </c>
      <c r="AI1453" t="s">
        <v>59</v>
      </c>
      <c r="AM1453" t="s">
        <v>3916</v>
      </c>
      <c r="AN1453" s="3">
        <v>46084.527083333334</v>
      </c>
      <c r="AO1453" t="s">
        <v>759</v>
      </c>
    </row>
    <row r="1454" spans="1:41" x14ac:dyDescent="0.3">
      <c r="A1454" t="s">
        <v>41</v>
      </c>
      <c r="B1454" t="s">
        <v>1284</v>
      </c>
      <c r="C1454" t="s">
        <v>296</v>
      </c>
      <c r="D1454" t="s">
        <v>1286</v>
      </c>
      <c r="E1454" s="1">
        <v>46059</v>
      </c>
      <c r="F1454" t="s">
        <v>2113</v>
      </c>
      <c r="G1454" t="s">
        <v>45</v>
      </c>
      <c r="H1454" s="2">
        <v>0.29166666666666669</v>
      </c>
      <c r="I1454" s="2">
        <v>0.625</v>
      </c>
      <c r="J1454" t="s">
        <v>296</v>
      </c>
      <c r="L1454" t="s">
        <v>3918</v>
      </c>
      <c r="M1454" t="s">
        <v>3919</v>
      </c>
      <c r="N1454" t="s">
        <v>3920</v>
      </c>
      <c r="O1454">
        <v>5951048</v>
      </c>
      <c r="Q1454" t="s">
        <v>3921</v>
      </c>
      <c r="R1454" t="s">
        <v>132</v>
      </c>
      <c r="S1454" t="s">
        <v>52</v>
      </c>
      <c r="U1454">
        <v>889575</v>
      </c>
      <c r="V1454" s="3">
        <v>46059.263888888891</v>
      </c>
      <c r="W1454" t="s">
        <v>3922</v>
      </c>
      <c r="X1454" t="s">
        <v>3923</v>
      </c>
      <c r="Y1454" t="str">
        <f>"0473004486"</f>
        <v>0473004486</v>
      </c>
      <c r="Z1454" t="s">
        <v>70</v>
      </c>
      <c r="AA1454" s="1">
        <v>46059</v>
      </c>
      <c r="AB1454" t="s">
        <v>1288</v>
      </c>
      <c r="AD1454" t="s">
        <v>41</v>
      </c>
      <c r="AE1454" t="s">
        <v>150</v>
      </c>
      <c r="AF1454">
        <v>4000</v>
      </c>
      <c r="AG1454" t="s">
        <v>3921</v>
      </c>
      <c r="AI1454" t="s">
        <v>59</v>
      </c>
      <c r="AL1454" t="s">
        <v>87</v>
      </c>
      <c r="AN1454" s="3">
        <v>46059.548611111109</v>
      </c>
      <c r="AO1454" t="s">
        <v>3922</v>
      </c>
    </row>
    <row r="1455" spans="1:41" x14ac:dyDescent="0.3">
      <c r="A1455" t="s">
        <v>306</v>
      </c>
      <c r="B1455" t="s">
        <v>1334</v>
      </c>
      <c r="C1455" t="s">
        <v>3924</v>
      </c>
      <c r="D1455" t="s">
        <v>1336</v>
      </c>
      <c r="E1455" s="1">
        <v>46059</v>
      </c>
      <c r="F1455" t="s">
        <v>2113</v>
      </c>
      <c r="G1455" t="s">
        <v>45</v>
      </c>
      <c r="H1455" s="2">
        <v>0.29166666666666669</v>
      </c>
      <c r="I1455" s="2">
        <v>0.60416666666666663</v>
      </c>
      <c r="J1455" t="s">
        <v>296</v>
      </c>
      <c r="L1455" t="s">
        <v>2079</v>
      </c>
      <c r="M1455" t="s">
        <v>1395</v>
      </c>
      <c r="N1455" t="s">
        <v>2080</v>
      </c>
      <c r="O1455">
        <v>5952104</v>
      </c>
      <c r="Q1455" t="s">
        <v>413</v>
      </c>
      <c r="R1455" t="s">
        <v>1248</v>
      </c>
      <c r="S1455" t="s">
        <v>52</v>
      </c>
      <c r="U1455">
        <v>889567</v>
      </c>
      <c r="V1455" s="3">
        <v>46058.76458333333</v>
      </c>
      <c r="W1455" t="s">
        <v>2081</v>
      </c>
      <c r="X1455" t="s">
        <v>2082</v>
      </c>
      <c r="Y1455" t="str">
        <f>"0410043499"</f>
        <v>0410043499</v>
      </c>
      <c r="Z1455" t="s">
        <v>70</v>
      </c>
      <c r="AA1455" s="1">
        <v>46059</v>
      </c>
      <c r="AB1455" t="s">
        <v>1342</v>
      </c>
      <c r="AD1455" t="s">
        <v>306</v>
      </c>
      <c r="AE1455" t="s">
        <v>1343</v>
      </c>
      <c r="AF1455">
        <v>3144</v>
      </c>
      <c r="AG1455" t="s">
        <v>413</v>
      </c>
      <c r="AI1455" t="s">
        <v>59</v>
      </c>
      <c r="AL1455" t="s">
        <v>3925</v>
      </c>
      <c r="AN1455" s="3">
        <v>46059.455555555556</v>
      </c>
      <c r="AO1455" t="s">
        <v>2081</v>
      </c>
    </row>
    <row r="1456" spans="1:41" x14ac:dyDescent="0.3">
      <c r="A1456" t="s">
        <v>41</v>
      </c>
      <c r="B1456" t="s">
        <v>426</v>
      </c>
      <c r="C1456" t="s">
        <v>43</v>
      </c>
      <c r="D1456" t="s">
        <v>246</v>
      </c>
      <c r="E1456" s="1">
        <v>46059</v>
      </c>
      <c r="F1456" t="s">
        <v>2113</v>
      </c>
      <c r="G1456" t="s">
        <v>45</v>
      </c>
      <c r="H1456" s="2">
        <v>0.29166666666666669</v>
      </c>
      <c r="I1456" s="2">
        <v>0.64583333333333337</v>
      </c>
      <c r="J1456" t="s">
        <v>296</v>
      </c>
      <c r="K1456" t="s">
        <v>2193</v>
      </c>
      <c r="L1456" t="s">
        <v>298</v>
      </c>
      <c r="M1456" t="s">
        <v>1401</v>
      </c>
      <c r="N1456" t="s">
        <v>1402</v>
      </c>
      <c r="O1456">
        <v>5952070</v>
      </c>
      <c r="Q1456" t="s">
        <v>2194</v>
      </c>
      <c r="R1456" t="s">
        <v>51</v>
      </c>
      <c r="S1456" t="s">
        <v>52</v>
      </c>
      <c r="U1456">
        <v>889605</v>
      </c>
      <c r="V1456" s="3">
        <v>46030.359027777777</v>
      </c>
      <c r="W1456" t="s">
        <v>1404</v>
      </c>
      <c r="X1456" t="s">
        <v>1405</v>
      </c>
      <c r="Y1456" t="str">
        <f>"0474506417"</f>
        <v>0474506417</v>
      </c>
      <c r="Z1456" t="s">
        <v>1013</v>
      </c>
      <c r="AB1456" t="s">
        <v>434</v>
      </c>
      <c r="AD1456" t="s">
        <v>41</v>
      </c>
      <c r="AE1456" t="s">
        <v>435</v>
      </c>
      <c r="AF1456">
        <v>4163</v>
      </c>
      <c r="AG1456" t="s">
        <v>2195</v>
      </c>
      <c r="AI1456" t="s">
        <v>59</v>
      </c>
      <c r="AL1456" t="s">
        <v>249</v>
      </c>
      <c r="AN1456" s="3">
        <v>46059.678472222222</v>
      </c>
      <c r="AO1456" t="s">
        <v>1404</v>
      </c>
    </row>
    <row r="1457" spans="1:41" x14ac:dyDescent="0.3">
      <c r="A1457" t="s">
        <v>41</v>
      </c>
      <c r="B1457" t="s">
        <v>244</v>
      </c>
      <c r="C1457" t="s">
        <v>245</v>
      </c>
      <c r="D1457" t="s">
        <v>246</v>
      </c>
      <c r="E1457" s="1">
        <v>46059</v>
      </c>
      <c r="F1457" t="s">
        <v>2113</v>
      </c>
      <c r="G1457" t="s">
        <v>45</v>
      </c>
      <c r="H1457" s="2">
        <v>0.29166666666666669</v>
      </c>
      <c r="I1457" s="2">
        <v>0.64583333333333337</v>
      </c>
      <c r="J1457" t="s">
        <v>100</v>
      </c>
      <c r="L1457" t="s">
        <v>100</v>
      </c>
      <c r="M1457" t="s">
        <v>247</v>
      </c>
      <c r="N1457" t="s">
        <v>248</v>
      </c>
      <c r="O1457">
        <v>20770</v>
      </c>
      <c r="P1457" t="s">
        <v>249</v>
      </c>
      <c r="Q1457" t="s">
        <v>250</v>
      </c>
      <c r="R1457" t="s">
        <v>251</v>
      </c>
      <c r="S1457" t="s">
        <v>52</v>
      </c>
      <c r="T1457" t="s">
        <v>252</v>
      </c>
      <c r="U1457">
        <v>889765</v>
      </c>
      <c r="V1457" s="3">
        <v>46062.351388888892</v>
      </c>
      <c r="W1457" t="s">
        <v>251</v>
      </c>
      <c r="X1457" t="s">
        <v>253</v>
      </c>
      <c r="Y1457" t="str">
        <f>"0429586658"</f>
        <v>0429586658</v>
      </c>
      <c r="Z1457" t="s">
        <v>375</v>
      </c>
      <c r="AA1457" s="1">
        <v>46068</v>
      </c>
      <c r="AB1457" t="s">
        <v>255</v>
      </c>
      <c r="AD1457" t="s">
        <v>41</v>
      </c>
      <c r="AE1457" t="s">
        <v>256</v>
      </c>
      <c r="AF1457">
        <v>4655</v>
      </c>
      <c r="AG1457" t="s">
        <v>1910</v>
      </c>
      <c r="AI1457" t="s">
        <v>59</v>
      </c>
      <c r="AJ1457" t="str">
        <f>"0050076900"</f>
        <v>0050076900</v>
      </c>
      <c r="AN1457" s="3">
        <v>46062.351388888892</v>
      </c>
      <c r="AO1457" t="s">
        <v>251</v>
      </c>
    </row>
    <row r="1458" spans="1:41" x14ac:dyDescent="0.3">
      <c r="A1458" t="s">
        <v>168</v>
      </c>
      <c r="B1458" t="s">
        <v>282</v>
      </c>
      <c r="C1458" t="s">
        <v>43</v>
      </c>
      <c r="D1458" t="s">
        <v>283</v>
      </c>
      <c r="E1458" s="1">
        <v>46059</v>
      </c>
      <c r="F1458" t="s">
        <v>2113</v>
      </c>
      <c r="G1458" t="s">
        <v>45</v>
      </c>
      <c r="H1458" s="2">
        <v>0.3125</v>
      </c>
      <c r="I1458" s="2">
        <v>0.5</v>
      </c>
      <c r="J1458" t="s">
        <v>185</v>
      </c>
      <c r="K1458" t="s">
        <v>284</v>
      </c>
      <c r="L1458" t="s">
        <v>790</v>
      </c>
      <c r="M1458" t="s">
        <v>2199</v>
      </c>
      <c r="N1458" t="s">
        <v>2200</v>
      </c>
      <c r="O1458">
        <v>5952171</v>
      </c>
      <c r="Q1458" t="s">
        <v>294</v>
      </c>
      <c r="R1458" t="s">
        <v>231</v>
      </c>
      <c r="S1458" t="s">
        <v>52</v>
      </c>
      <c r="U1458">
        <v>889572</v>
      </c>
      <c r="V1458" s="3">
        <v>46058.593055555553</v>
      </c>
      <c r="W1458" t="s">
        <v>2201</v>
      </c>
      <c r="X1458" t="s">
        <v>2202</v>
      </c>
      <c r="Y1458" t="str">
        <f>"0430077632"</f>
        <v>0430077632</v>
      </c>
      <c r="Z1458" t="s">
        <v>70</v>
      </c>
      <c r="AA1458" s="1">
        <v>46059</v>
      </c>
      <c r="AB1458" t="s">
        <v>291</v>
      </c>
      <c r="AC1458" t="s">
        <v>292</v>
      </c>
      <c r="AD1458" t="s">
        <v>168</v>
      </c>
      <c r="AE1458" t="s">
        <v>293</v>
      </c>
      <c r="AF1458">
        <v>5037</v>
      </c>
      <c r="AG1458" t="s">
        <v>294</v>
      </c>
      <c r="AI1458" t="s">
        <v>59</v>
      </c>
      <c r="AL1458" t="s">
        <v>3926</v>
      </c>
      <c r="AN1458" s="3">
        <v>46059.520833333336</v>
      </c>
      <c r="AO1458" t="s">
        <v>2201</v>
      </c>
    </row>
    <row r="1459" spans="1:41" x14ac:dyDescent="0.3">
      <c r="A1459" t="s">
        <v>306</v>
      </c>
      <c r="B1459" t="s">
        <v>1682</v>
      </c>
      <c r="C1459" t="s">
        <v>43</v>
      </c>
      <c r="D1459" t="s">
        <v>1436</v>
      </c>
      <c r="E1459" s="1">
        <v>46059</v>
      </c>
      <c r="F1459" t="s">
        <v>2113</v>
      </c>
      <c r="G1459" t="s">
        <v>45</v>
      </c>
      <c r="H1459" s="2">
        <v>0.3125</v>
      </c>
      <c r="I1459" s="2">
        <v>0.75</v>
      </c>
      <c r="J1459" t="s">
        <v>701</v>
      </c>
      <c r="L1459" t="s">
        <v>702</v>
      </c>
      <c r="M1459" t="s">
        <v>703</v>
      </c>
      <c r="N1459" t="s">
        <v>704</v>
      </c>
      <c r="O1459">
        <v>20947</v>
      </c>
      <c r="Q1459" t="s">
        <v>3927</v>
      </c>
      <c r="R1459" t="s">
        <v>314</v>
      </c>
      <c r="S1459" t="s">
        <v>52</v>
      </c>
      <c r="U1459">
        <v>889574</v>
      </c>
      <c r="V1459" s="3">
        <v>46056.454861111109</v>
      </c>
      <c r="W1459" t="s">
        <v>706</v>
      </c>
      <c r="X1459" t="s">
        <v>707</v>
      </c>
      <c r="Y1459" t="str">
        <f>"0437759431"</f>
        <v>0437759431</v>
      </c>
      <c r="Z1459" t="s">
        <v>70</v>
      </c>
      <c r="AA1459" s="1">
        <v>46059</v>
      </c>
      <c r="AB1459" t="s">
        <v>1684</v>
      </c>
      <c r="AD1459" t="s">
        <v>306</v>
      </c>
      <c r="AE1459" t="s">
        <v>1520</v>
      </c>
      <c r="AF1459">
        <v>3002</v>
      </c>
      <c r="AG1459" t="s">
        <v>413</v>
      </c>
      <c r="AI1459" t="s">
        <v>59</v>
      </c>
      <c r="AL1459" t="s">
        <v>3928</v>
      </c>
      <c r="AN1459" s="3">
        <v>46059.548611111109</v>
      </c>
      <c r="AO1459" t="s">
        <v>706</v>
      </c>
    </row>
    <row r="1460" spans="1:41" x14ac:dyDescent="0.3">
      <c r="A1460" t="s">
        <v>306</v>
      </c>
      <c r="B1460" t="s">
        <v>1682</v>
      </c>
      <c r="C1460" t="s">
        <v>43</v>
      </c>
      <c r="D1460" t="s">
        <v>1436</v>
      </c>
      <c r="E1460" s="1">
        <v>46059</v>
      </c>
      <c r="F1460" t="s">
        <v>2113</v>
      </c>
      <c r="G1460" t="s">
        <v>45</v>
      </c>
      <c r="H1460" s="2">
        <v>0.3125</v>
      </c>
      <c r="I1460" s="2">
        <v>0.33333333333333331</v>
      </c>
      <c r="J1460" t="s">
        <v>701</v>
      </c>
      <c r="L1460" t="s">
        <v>702</v>
      </c>
      <c r="M1460" t="s">
        <v>703</v>
      </c>
      <c r="N1460" t="s">
        <v>704</v>
      </c>
      <c r="O1460">
        <v>20947</v>
      </c>
      <c r="Q1460" t="s">
        <v>3927</v>
      </c>
      <c r="R1460" t="s">
        <v>759</v>
      </c>
      <c r="S1460" t="s">
        <v>119</v>
      </c>
      <c r="T1460" t="s">
        <v>760</v>
      </c>
      <c r="U1460" t="s">
        <v>3929</v>
      </c>
      <c r="V1460" s="3">
        <v>46070.550694444442</v>
      </c>
      <c r="W1460" t="s">
        <v>706</v>
      </c>
      <c r="X1460" t="s">
        <v>707</v>
      </c>
      <c r="Y1460" t="str">
        <f>"0437759431"</f>
        <v>0437759431</v>
      </c>
      <c r="Z1460" t="s">
        <v>70</v>
      </c>
      <c r="AB1460" t="s">
        <v>1684</v>
      </c>
      <c r="AD1460" t="s">
        <v>306</v>
      </c>
      <c r="AE1460" t="s">
        <v>1520</v>
      </c>
      <c r="AF1460">
        <v>3002</v>
      </c>
      <c r="AG1460" t="s">
        <v>3927</v>
      </c>
      <c r="AI1460" t="s">
        <v>59</v>
      </c>
      <c r="AM1460" t="s">
        <v>3930</v>
      </c>
      <c r="AN1460" s="3">
        <v>46070.550694444442</v>
      </c>
      <c r="AO1460" t="s">
        <v>759</v>
      </c>
    </row>
    <row r="1461" spans="1:41" x14ac:dyDescent="0.3">
      <c r="A1461" t="s">
        <v>41</v>
      </c>
      <c r="B1461" t="s">
        <v>718</v>
      </c>
      <c r="C1461" t="s">
        <v>43</v>
      </c>
      <c r="D1461" t="s">
        <v>719</v>
      </c>
      <c r="E1461" s="1">
        <v>46059</v>
      </c>
      <c r="F1461" t="s">
        <v>2113</v>
      </c>
      <c r="G1461" t="s">
        <v>45</v>
      </c>
      <c r="H1461" s="2">
        <v>0.3125</v>
      </c>
      <c r="I1461" s="2">
        <v>0.72916666666666663</v>
      </c>
      <c r="J1461" t="s">
        <v>101</v>
      </c>
      <c r="L1461" t="s">
        <v>159</v>
      </c>
      <c r="M1461" t="s">
        <v>720</v>
      </c>
      <c r="N1461" t="s">
        <v>721</v>
      </c>
      <c r="O1461">
        <v>5952347</v>
      </c>
      <c r="Q1461" t="s">
        <v>3931</v>
      </c>
      <c r="R1461" t="s">
        <v>51</v>
      </c>
      <c r="S1461" t="s">
        <v>52</v>
      </c>
      <c r="U1461">
        <v>889610</v>
      </c>
      <c r="V1461" s="3">
        <v>46052.424305555556</v>
      </c>
      <c r="W1461" t="s">
        <v>724</v>
      </c>
      <c r="X1461" t="s">
        <v>725</v>
      </c>
      <c r="Y1461" t="str">
        <f>"0424329976"</f>
        <v>0424329976</v>
      </c>
      <c r="Z1461" t="s">
        <v>545</v>
      </c>
      <c r="AA1461" s="1">
        <v>46059</v>
      </c>
      <c r="AB1461" t="s">
        <v>726</v>
      </c>
      <c r="AD1461" t="s">
        <v>41</v>
      </c>
      <c r="AE1461" t="s">
        <v>727</v>
      </c>
      <c r="AF1461">
        <v>4032</v>
      </c>
      <c r="AG1461" t="s">
        <v>217</v>
      </c>
      <c r="AI1461" t="s">
        <v>59</v>
      </c>
      <c r="AL1461" t="s">
        <v>3932</v>
      </c>
      <c r="AN1461" s="3">
        <v>46059.700694444444</v>
      </c>
      <c r="AO1461" t="s">
        <v>724</v>
      </c>
    </row>
    <row r="1462" spans="1:41" x14ac:dyDescent="0.3">
      <c r="A1462" t="s">
        <v>75</v>
      </c>
      <c r="B1462" t="s">
        <v>1104</v>
      </c>
      <c r="C1462" t="s">
        <v>43</v>
      </c>
      <c r="D1462" t="s">
        <v>700</v>
      </c>
      <c r="E1462" s="1">
        <v>46059</v>
      </c>
      <c r="F1462" t="s">
        <v>2113</v>
      </c>
      <c r="G1462" t="s">
        <v>45</v>
      </c>
      <c r="H1462" s="2">
        <v>0.3125</v>
      </c>
      <c r="I1462" s="2">
        <v>0.5625</v>
      </c>
      <c r="J1462" t="s">
        <v>258</v>
      </c>
      <c r="L1462" t="s">
        <v>3410</v>
      </c>
      <c r="M1462" t="s">
        <v>3933</v>
      </c>
      <c r="N1462" t="s">
        <v>1639</v>
      </c>
      <c r="O1462">
        <v>5952448</v>
      </c>
      <c r="Q1462" t="s">
        <v>2728</v>
      </c>
      <c r="R1462" t="s">
        <v>556</v>
      </c>
      <c r="S1462" t="s">
        <v>52</v>
      </c>
      <c r="U1462">
        <v>889593</v>
      </c>
      <c r="V1462" s="3">
        <v>46042.772222222222</v>
      </c>
      <c r="W1462" t="s">
        <v>3934</v>
      </c>
      <c r="X1462" t="s">
        <v>3935</v>
      </c>
      <c r="Y1462" t="str">
        <f>"0424205511"</f>
        <v>0424205511</v>
      </c>
      <c r="Z1462" t="s">
        <v>395</v>
      </c>
      <c r="AB1462" t="s">
        <v>920</v>
      </c>
      <c r="AC1462" t="s">
        <v>1109</v>
      </c>
      <c r="AD1462" t="s">
        <v>75</v>
      </c>
      <c r="AE1462" t="s">
        <v>1110</v>
      </c>
      <c r="AF1462">
        <v>6014</v>
      </c>
      <c r="AG1462" t="s">
        <v>2728</v>
      </c>
      <c r="AI1462" t="s">
        <v>59</v>
      </c>
      <c r="AL1462" t="s">
        <v>3936</v>
      </c>
      <c r="AN1462" s="3">
        <v>46059.63958333333</v>
      </c>
      <c r="AO1462" t="s">
        <v>3934</v>
      </c>
    </row>
    <row r="1463" spans="1:41" x14ac:dyDescent="0.3">
      <c r="A1463" t="s">
        <v>61</v>
      </c>
      <c r="B1463" t="s">
        <v>62</v>
      </c>
      <c r="C1463" t="s">
        <v>43</v>
      </c>
      <c r="D1463" t="s">
        <v>63</v>
      </c>
      <c r="E1463" s="1">
        <v>46059</v>
      </c>
      <c r="F1463" t="s">
        <v>2113</v>
      </c>
      <c r="G1463" t="s">
        <v>45</v>
      </c>
      <c r="H1463" s="2">
        <v>0.3125</v>
      </c>
      <c r="I1463" s="2">
        <v>0.99861111111111112</v>
      </c>
      <c r="J1463" t="s">
        <v>185</v>
      </c>
      <c r="L1463" t="s">
        <v>784</v>
      </c>
      <c r="M1463" t="s">
        <v>785</v>
      </c>
      <c r="N1463" t="s">
        <v>786</v>
      </c>
      <c r="O1463">
        <v>5951112</v>
      </c>
      <c r="Q1463" t="s">
        <v>66</v>
      </c>
      <c r="R1463" t="s">
        <v>67</v>
      </c>
      <c r="S1463" t="s">
        <v>52</v>
      </c>
      <c r="U1463">
        <v>889616</v>
      </c>
      <c r="V1463" s="3">
        <v>46049.399305555555</v>
      </c>
      <c r="W1463" t="s">
        <v>787</v>
      </c>
      <c r="X1463" t="s">
        <v>788</v>
      </c>
      <c r="Y1463" t="str">
        <f>"0423329386"</f>
        <v>0423329386</v>
      </c>
      <c r="Z1463" t="s">
        <v>70</v>
      </c>
      <c r="AB1463" t="s">
        <v>71</v>
      </c>
      <c r="AD1463" t="s">
        <v>61</v>
      </c>
      <c r="AE1463" t="s">
        <v>72</v>
      </c>
      <c r="AF1463">
        <v>2747</v>
      </c>
      <c r="AG1463" t="s">
        <v>73</v>
      </c>
      <c r="AI1463" t="s">
        <v>59</v>
      </c>
      <c r="AL1463" t="s">
        <v>3937</v>
      </c>
      <c r="AN1463" s="3">
        <v>46059.722222222219</v>
      </c>
      <c r="AO1463" t="s">
        <v>787</v>
      </c>
    </row>
    <row r="1464" spans="1:41" x14ac:dyDescent="0.3">
      <c r="A1464" t="s">
        <v>306</v>
      </c>
      <c r="B1464" t="s">
        <v>820</v>
      </c>
      <c r="C1464" t="s">
        <v>100</v>
      </c>
      <c r="D1464" t="s">
        <v>127</v>
      </c>
      <c r="E1464" s="1">
        <v>46059</v>
      </c>
      <c r="F1464" t="s">
        <v>2113</v>
      </c>
      <c r="G1464" t="s">
        <v>45</v>
      </c>
      <c r="H1464" s="2">
        <v>0.3125</v>
      </c>
      <c r="I1464" s="2">
        <v>0.75</v>
      </c>
      <c r="J1464" t="s">
        <v>451</v>
      </c>
      <c r="L1464" t="s">
        <v>100</v>
      </c>
      <c r="M1464" t="s">
        <v>554</v>
      </c>
      <c r="N1464" t="s">
        <v>2056</v>
      </c>
      <c r="O1464">
        <v>5951890</v>
      </c>
      <c r="Q1464" t="s">
        <v>823</v>
      </c>
      <c r="R1464" t="s">
        <v>476</v>
      </c>
      <c r="S1464" t="s">
        <v>52</v>
      </c>
      <c r="U1464">
        <v>889619</v>
      </c>
      <c r="V1464" s="3">
        <v>46052.491666666669</v>
      </c>
      <c r="W1464" t="s">
        <v>2058</v>
      </c>
      <c r="X1464" t="s">
        <v>2059</v>
      </c>
      <c r="Y1464" t="str">
        <f>"0450488053"</f>
        <v>0450488053</v>
      </c>
      <c r="Z1464" t="s">
        <v>70</v>
      </c>
      <c r="AA1464" s="1">
        <v>46059</v>
      </c>
      <c r="AB1464" t="s">
        <v>826</v>
      </c>
      <c r="AD1464" t="s">
        <v>306</v>
      </c>
      <c r="AE1464" t="s">
        <v>827</v>
      </c>
      <c r="AF1464">
        <v>3181</v>
      </c>
      <c r="AG1464" t="s">
        <v>823</v>
      </c>
      <c r="AI1464" t="s">
        <v>59</v>
      </c>
      <c r="AL1464" t="s">
        <v>87</v>
      </c>
      <c r="AN1464" s="3">
        <v>46059.734027777777</v>
      </c>
      <c r="AO1464" t="s">
        <v>2058</v>
      </c>
    </row>
    <row r="1465" spans="1:41" x14ac:dyDescent="0.3">
      <c r="A1465" t="s">
        <v>75</v>
      </c>
      <c r="B1465" t="s">
        <v>358</v>
      </c>
      <c r="C1465" t="s">
        <v>43</v>
      </c>
      <c r="D1465" t="s">
        <v>184</v>
      </c>
      <c r="E1465" s="1">
        <v>46059</v>
      </c>
      <c r="F1465" t="s">
        <v>2113</v>
      </c>
      <c r="G1465" t="s">
        <v>45</v>
      </c>
      <c r="H1465" s="2">
        <v>0.3125</v>
      </c>
      <c r="I1465" s="2">
        <v>0.77083333333333337</v>
      </c>
      <c r="J1465" t="s">
        <v>185</v>
      </c>
      <c r="L1465" t="s">
        <v>186</v>
      </c>
      <c r="M1465" t="s">
        <v>806</v>
      </c>
      <c r="N1465" t="s">
        <v>807</v>
      </c>
      <c r="O1465">
        <v>5951855</v>
      </c>
      <c r="Q1465" t="s">
        <v>3862</v>
      </c>
      <c r="R1465" t="s">
        <v>926</v>
      </c>
      <c r="S1465" t="s">
        <v>52</v>
      </c>
      <c r="U1465">
        <v>889636</v>
      </c>
      <c r="V1465" s="3">
        <v>46058.658333333333</v>
      </c>
      <c r="W1465" t="s">
        <v>809</v>
      </c>
      <c r="X1465" t="s">
        <v>810</v>
      </c>
      <c r="Y1465" t="str">
        <f>"0450257692"</f>
        <v>0450257692</v>
      </c>
      <c r="Z1465" t="s">
        <v>70</v>
      </c>
      <c r="AA1465" s="1">
        <v>46059</v>
      </c>
      <c r="AB1465" t="s">
        <v>367</v>
      </c>
      <c r="AD1465" t="s">
        <v>75</v>
      </c>
      <c r="AE1465" t="s">
        <v>368</v>
      </c>
      <c r="AF1465">
        <v>6027</v>
      </c>
      <c r="AG1465" t="s">
        <v>2066</v>
      </c>
      <c r="AI1465" t="s">
        <v>59</v>
      </c>
      <c r="AL1465" t="s">
        <v>3938</v>
      </c>
      <c r="AN1465" s="3">
        <v>46059.823611111111</v>
      </c>
      <c r="AO1465" t="s">
        <v>809</v>
      </c>
    </row>
    <row r="1466" spans="1:41" x14ac:dyDescent="0.3">
      <c r="A1466" t="s">
        <v>41</v>
      </c>
      <c r="B1466" t="s">
        <v>426</v>
      </c>
      <c r="C1466" t="s">
        <v>43</v>
      </c>
      <c r="D1466" t="s">
        <v>246</v>
      </c>
      <c r="E1466" s="1">
        <v>46059</v>
      </c>
      <c r="F1466" t="s">
        <v>2113</v>
      </c>
      <c r="G1466" t="s">
        <v>45</v>
      </c>
      <c r="H1466" s="2">
        <v>0.32291666666666669</v>
      </c>
      <c r="I1466" s="2">
        <v>0.71875</v>
      </c>
      <c r="J1466" t="s">
        <v>185</v>
      </c>
      <c r="K1466" t="s">
        <v>427</v>
      </c>
      <c r="L1466" t="s">
        <v>815</v>
      </c>
      <c r="M1466" t="s">
        <v>816</v>
      </c>
      <c r="N1466" t="s">
        <v>817</v>
      </c>
      <c r="O1466">
        <v>22501</v>
      </c>
      <c r="Q1466" t="s">
        <v>1826</v>
      </c>
      <c r="R1466" t="s">
        <v>51</v>
      </c>
      <c r="S1466" t="s">
        <v>52</v>
      </c>
      <c r="U1466">
        <v>889627</v>
      </c>
      <c r="V1466" s="3">
        <v>46052.652777777781</v>
      </c>
      <c r="W1466" t="s">
        <v>818</v>
      </c>
      <c r="X1466" t="s">
        <v>819</v>
      </c>
      <c r="Y1466" t="str">
        <f>"0432588228"</f>
        <v>0432588228</v>
      </c>
      <c r="Z1466" t="s">
        <v>1635</v>
      </c>
      <c r="AA1466" s="1">
        <v>46059</v>
      </c>
      <c r="AB1466" t="s">
        <v>434</v>
      </c>
      <c r="AD1466" t="s">
        <v>41</v>
      </c>
      <c r="AE1466" t="s">
        <v>435</v>
      </c>
      <c r="AF1466">
        <v>4163</v>
      </c>
      <c r="AG1466" t="s">
        <v>249</v>
      </c>
      <c r="AI1466" t="s">
        <v>59</v>
      </c>
      <c r="AL1466" t="s">
        <v>249</v>
      </c>
      <c r="AN1466" s="3">
        <v>46059.757638888892</v>
      </c>
      <c r="AO1466" t="s">
        <v>818</v>
      </c>
    </row>
    <row r="1467" spans="1:41" x14ac:dyDescent="0.3">
      <c r="A1467" t="s">
        <v>61</v>
      </c>
      <c r="B1467" t="s">
        <v>655</v>
      </c>
      <c r="C1467" t="s">
        <v>43</v>
      </c>
      <c r="D1467" t="s">
        <v>656</v>
      </c>
      <c r="E1467" s="1">
        <v>46059</v>
      </c>
      <c r="F1467" t="s">
        <v>2113</v>
      </c>
      <c r="G1467" t="s">
        <v>45</v>
      </c>
      <c r="H1467" s="2">
        <v>0.32291666666666669</v>
      </c>
      <c r="I1467" s="2">
        <v>0.99861111111111112</v>
      </c>
      <c r="J1467" t="s">
        <v>101</v>
      </c>
      <c r="L1467" t="s">
        <v>47</v>
      </c>
      <c r="M1467" t="s">
        <v>785</v>
      </c>
      <c r="N1467" t="s">
        <v>905</v>
      </c>
      <c r="O1467">
        <v>5950885</v>
      </c>
      <c r="Q1467" t="s">
        <v>665</v>
      </c>
      <c r="R1467" t="s">
        <v>67</v>
      </c>
      <c r="S1467" t="s">
        <v>52</v>
      </c>
      <c r="U1467">
        <v>889601</v>
      </c>
      <c r="V1467" s="3">
        <v>46042.432638888888</v>
      </c>
      <c r="W1467" t="s">
        <v>906</v>
      </c>
      <c r="X1467" t="s">
        <v>907</v>
      </c>
      <c r="Y1467" t="str">
        <f>"0421650139"</f>
        <v>0421650139</v>
      </c>
      <c r="Z1467" t="s">
        <v>3939</v>
      </c>
      <c r="AB1467" t="s">
        <v>662</v>
      </c>
      <c r="AC1467" t="s">
        <v>663</v>
      </c>
      <c r="AD1467" t="s">
        <v>61</v>
      </c>
      <c r="AE1467" t="s">
        <v>664</v>
      </c>
      <c r="AF1467">
        <v>2067</v>
      </c>
      <c r="AG1467" t="s">
        <v>665</v>
      </c>
      <c r="AI1467" t="s">
        <v>59</v>
      </c>
      <c r="AL1467" t="s">
        <v>3940</v>
      </c>
      <c r="AN1467" s="3">
        <v>46059.663888888892</v>
      </c>
      <c r="AO1467" t="s">
        <v>906</v>
      </c>
    </row>
    <row r="1468" spans="1:41" x14ac:dyDescent="0.3">
      <c r="A1468" t="s">
        <v>61</v>
      </c>
      <c r="B1468" t="s">
        <v>62</v>
      </c>
      <c r="C1468" t="s">
        <v>100</v>
      </c>
      <c r="D1468" t="s">
        <v>63</v>
      </c>
      <c r="E1468" s="1">
        <v>46059</v>
      </c>
      <c r="F1468" t="s">
        <v>2113</v>
      </c>
      <c r="G1468" t="s">
        <v>45</v>
      </c>
      <c r="H1468" s="2">
        <v>0.33333333333333331</v>
      </c>
      <c r="I1468" s="2">
        <v>0.6875</v>
      </c>
      <c r="J1468" t="s">
        <v>100</v>
      </c>
      <c r="L1468" t="s">
        <v>100</v>
      </c>
      <c r="M1468" t="s">
        <v>101</v>
      </c>
      <c r="N1468" t="s">
        <v>102</v>
      </c>
      <c r="O1468">
        <v>27</v>
      </c>
      <c r="Q1468" t="s">
        <v>103</v>
      </c>
      <c r="R1468" t="s">
        <v>67</v>
      </c>
      <c r="S1468" t="s">
        <v>52</v>
      </c>
      <c r="U1468">
        <v>889604</v>
      </c>
      <c r="V1468" s="3">
        <v>46034.648611111108</v>
      </c>
      <c r="W1468" t="s">
        <v>104</v>
      </c>
      <c r="X1468" t="s">
        <v>105</v>
      </c>
      <c r="Y1468" t="str">
        <f>"0403748369"</f>
        <v>0403748369</v>
      </c>
      <c r="Z1468" t="s">
        <v>3941</v>
      </c>
      <c r="AB1468" t="s">
        <v>71</v>
      </c>
      <c r="AD1468" t="s">
        <v>61</v>
      </c>
      <c r="AE1468" t="s">
        <v>72</v>
      </c>
      <c r="AF1468">
        <v>2747</v>
      </c>
      <c r="AG1468" t="s">
        <v>1051</v>
      </c>
      <c r="AI1468" t="s">
        <v>59</v>
      </c>
      <c r="AL1468" t="s">
        <v>3887</v>
      </c>
      <c r="AN1468" s="3">
        <v>46059.677083333336</v>
      </c>
      <c r="AO1468" t="s">
        <v>104</v>
      </c>
    </row>
    <row r="1469" spans="1:41" x14ac:dyDescent="0.3">
      <c r="A1469" t="s">
        <v>41</v>
      </c>
      <c r="B1469" t="s">
        <v>138</v>
      </c>
      <c r="C1469" t="s">
        <v>139</v>
      </c>
      <c r="D1469" t="s">
        <v>127</v>
      </c>
      <c r="E1469" s="1">
        <v>46059</v>
      </c>
      <c r="F1469" t="s">
        <v>2113</v>
      </c>
      <c r="G1469" t="s">
        <v>45</v>
      </c>
      <c r="H1469" s="2">
        <v>0.33333333333333331</v>
      </c>
      <c r="I1469" s="2">
        <v>0.66666666666666663</v>
      </c>
      <c r="J1469" t="s">
        <v>140</v>
      </c>
      <c r="L1469" t="s">
        <v>141</v>
      </c>
      <c r="M1469" t="s">
        <v>142</v>
      </c>
      <c r="N1469" t="s">
        <v>143</v>
      </c>
      <c r="O1469">
        <v>22649</v>
      </c>
      <c r="Q1469" t="s">
        <v>3419</v>
      </c>
      <c r="R1469" t="s">
        <v>1472</v>
      </c>
      <c r="S1469" t="s">
        <v>52</v>
      </c>
      <c r="U1469">
        <v>889612</v>
      </c>
      <c r="V1469" s="3">
        <v>46055.609722222223</v>
      </c>
      <c r="W1469" t="s">
        <v>146</v>
      </c>
      <c r="X1469" t="s">
        <v>147</v>
      </c>
      <c r="Y1469" t="str">
        <f>"0407039143"</f>
        <v>0407039143</v>
      </c>
      <c r="Z1469" t="s">
        <v>55</v>
      </c>
      <c r="AA1469" s="1">
        <v>46059</v>
      </c>
      <c r="AB1469" t="s">
        <v>148</v>
      </c>
      <c r="AC1469" t="s">
        <v>149</v>
      </c>
      <c r="AD1469" t="s">
        <v>41</v>
      </c>
      <c r="AE1469" t="s">
        <v>150</v>
      </c>
      <c r="AF1469">
        <v>4000</v>
      </c>
      <c r="AG1469" t="s">
        <v>3419</v>
      </c>
      <c r="AI1469" t="s">
        <v>59</v>
      </c>
      <c r="AL1469" t="s">
        <v>2622</v>
      </c>
      <c r="AN1469" s="3">
        <v>46059.700694444444</v>
      </c>
      <c r="AO1469" t="s">
        <v>146</v>
      </c>
    </row>
    <row r="1470" spans="1:41" x14ac:dyDescent="0.3">
      <c r="A1470" t="s">
        <v>41</v>
      </c>
      <c r="B1470" t="s">
        <v>965</v>
      </c>
      <c r="C1470" t="s">
        <v>43</v>
      </c>
      <c r="D1470" t="s">
        <v>966</v>
      </c>
      <c r="E1470" s="1">
        <v>46059</v>
      </c>
      <c r="F1470" t="s">
        <v>2113</v>
      </c>
      <c r="G1470" t="s">
        <v>45</v>
      </c>
      <c r="H1470" s="2">
        <v>0.33333333333333331</v>
      </c>
      <c r="I1470" s="2">
        <v>0.60416666666666663</v>
      </c>
      <c r="J1470" t="s">
        <v>46</v>
      </c>
      <c r="L1470" t="s">
        <v>159</v>
      </c>
      <c r="M1470" t="s">
        <v>1239</v>
      </c>
      <c r="N1470" t="s">
        <v>3641</v>
      </c>
      <c r="O1470">
        <v>5951675</v>
      </c>
      <c r="Q1470" t="s">
        <v>823</v>
      </c>
      <c r="R1470" t="s">
        <v>51</v>
      </c>
      <c r="S1470" t="s">
        <v>52</v>
      </c>
      <c r="U1470">
        <v>889594</v>
      </c>
      <c r="V1470" s="3">
        <v>46058.467361111114</v>
      </c>
      <c r="W1470" t="s">
        <v>3667</v>
      </c>
      <c r="X1470" t="s">
        <v>3668</v>
      </c>
      <c r="Y1470" t="str">
        <f>"0419235842"</f>
        <v>0419235842</v>
      </c>
      <c r="Z1470" t="s">
        <v>70</v>
      </c>
      <c r="AA1470" s="1">
        <v>46059</v>
      </c>
      <c r="AB1470" t="s">
        <v>972</v>
      </c>
      <c r="AD1470" t="s">
        <v>41</v>
      </c>
      <c r="AE1470" t="s">
        <v>973</v>
      </c>
      <c r="AF1470">
        <v>4068</v>
      </c>
      <c r="AG1470" t="s">
        <v>823</v>
      </c>
      <c r="AI1470" t="s">
        <v>59</v>
      </c>
      <c r="AL1470" t="s">
        <v>87</v>
      </c>
      <c r="AN1470" s="3">
        <v>46059.645833333336</v>
      </c>
      <c r="AO1470" t="s">
        <v>3667</v>
      </c>
    </row>
    <row r="1471" spans="1:41" x14ac:dyDescent="0.3">
      <c r="A1471" t="s">
        <v>168</v>
      </c>
      <c r="B1471" t="s">
        <v>266</v>
      </c>
      <c r="C1471" t="s">
        <v>43</v>
      </c>
      <c r="D1471" t="s">
        <v>268</v>
      </c>
      <c r="E1471" s="1">
        <v>46059</v>
      </c>
      <c r="F1471" t="s">
        <v>2113</v>
      </c>
      <c r="G1471" t="s">
        <v>45</v>
      </c>
      <c r="H1471" s="2">
        <v>0.33333333333333331</v>
      </c>
      <c r="I1471" s="2">
        <v>0.6875</v>
      </c>
      <c r="J1471" t="s">
        <v>185</v>
      </c>
      <c r="K1471" t="s">
        <v>667</v>
      </c>
      <c r="L1471" t="s">
        <v>186</v>
      </c>
      <c r="M1471" t="s">
        <v>3942</v>
      </c>
      <c r="N1471" t="s">
        <v>2698</v>
      </c>
      <c r="O1471">
        <v>5951973</v>
      </c>
      <c r="Q1471" t="s">
        <v>869</v>
      </c>
      <c r="R1471" t="s">
        <v>231</v>
      </c>
      <c r="S1471" t="s">
        <v>52</v>
      </c>
      <c r="U1471">
        <v>889596</v>
      </c>
      <c r="V1471" s="3">
        <v>46056.427777777775</v>
      </c>
      <c r="W1471" t="s">
        <v>3943</v>
      </c>
      <c r="X1471" t="s">
        <v>3944</v>
      </c>
      <c r="Y1471" t="str">
        <f>"0411266116"</f>
        <v>0411266116</v>
      </c>
      <c r="Z1471" t="s">
        <v>503</v>
      </c>
      <c r="AB1471" t="s">
        <v>277</v>
      </c>
      <c r="AC1471" t="s">
        <v>278</v>
      </c>
      <c r="AD1471" t="s">
        <v>168</v>
      </c>
      <c r="AE1471" t="s">
        <v>279</v>
      </c>
      <c r="AF1471">
        <v>5092</v>
      </c>
      <c r="AG1471" t="s">
        <v>869</v>
      </c>
      <c r="AI1471" t="s">
        <v>59</v>
      </c>
      <c r="AL1471" t="s">
        <v>3945</v>
      </c>
      <c r="AN1471" s="3">
        <v>46059.652777777781</v>
      </c>
      <c r="AO1471" t="s">
        <v>3943</v>
      </c>
    </row>
    <row r="1472" spans="1:41" x14ac:dyDescent="0.3">
      <c r="A1472" t="s">
        <v>75</v>
      </c>
      <c r="B1472" t="s">
        <v>895</v>
      </c>
      <c r="C1472" t="s">
        <v>896</v>
      </c>
      <c r="D1472" t="s">
        <v>184</v>
      </c>
      <c r="E1472" s="1">
        <v>46059</v>
      </c>
      <c r="F1472" t="s">
        <v>2113</v>
      </c>
      <c r="G1472" t="s">
        <v>45</v>
      </c>
      <c r="H1472" s="2">
        <v>0.33333333333333331</v>
      </c>
      <c r="I1472" s="2">
        <v>0.77083333333333337</v>
      </c>
      <c r="J1472" t="s">
        <v>3302</v>
      </c>
      <c r="L1472" t="s">
        <v>47</v>
      </c>
      <c r="M1472" t="s">
        <v>78</v>
      </c>
      <c r="N1472" t="s">
        <v>79</v>
      </c>
      <c r="O1472">
        <v>5950961</v>
      </c>
      <c r="Q1472" t="s">
        <v>3946</v>
      </c>
      <c r="R1472" t="s">
        <v>1248</v>
      </c>
      <c r="S1472" t="s">
        <v>52</v>
      </c>
      <c r="U1472">
        <v>889651</v>
      </c>
      <c r="V1472" s="3">
        <v>46055.840277777781</v>
      </c>
      <c r="W1472" t="s">
        <v>82</v>
      </c>
      <c r="X1472" t="s">
        <v>83</v>
      </c>
      <c r="Y1472" t="str">
        <f>"0423151375"</f>
        <v>0423151375</v>
      </c>
      <c r="Z1472" t="s">
        <v>70</v>
      </c>
      <c r="AB1472" t="s">
        <v>902</v>
      </c>
      <c r="AD1472" t="s">
        <v>75</v>
      </c>
      <c r="AE1472" t="s">
        <v>903</v>
      </c>
      <c r="AF1472">
        <v>6009</v>
      </c>
      <c r="AG1472" t="s">
        <v>960</v>
      </c>
      <c r="AI1472" t="s">
        <v>59</v>
      </c>
      <c r="AL1472" t="s">
        <v>3947</v>
      </c>
      <c r="AN1472" s="3">
        <v>46059.888194444444</v>
      </c>
      <c r="AO1472" t="s">
        <v>82</v>
      </c>
    </row>
    <row r="1473" spans="1:41" x14ac:dyDescent="0.3">
      <c r="A1473" t="s">
        <v>75</v>
      </c>
      <c r="B1473" t="s">
        <v>1971</v>
      </c>
      <c r="C1473" t="s">
        <v>1972</v>
      </c>
      <c r="D1473" t="s">
        <v>1971</v>
      </c>
      <c r="E1473" s="1">
        <v>46059</v>
      </c>
      <c r="F1473" t="s">
        <v>2113</v>
      </c>
      <c r="G1473" t="s">
        <v>45</v>
      </c>
      <c r="H1473" s="2">
        <v>0.33333333333333331</v>
      </c>
      <c r="I1473" s="2">
        <v>0.5</v>
      </c>
      <c r="J1473" t="s">
        <v>112</v>
      </c>
      <c r="K1473" t="s">
        <v>1973</v>
      </c>
      <c r="L1473" t="s">
        <v>114</v>
      </c>
      <c r="M1473" t="s">
        <v>1974</v>
      </c>
      <c r="N1473" t="s">
        <v>1975</v>
      </c>
      <c r="O1473">
        <v>22383</v>
      </c>
      <c r="Q1473" t="s">
        <v>1976</v>
      </c>
      <c r="R1473" t="s">
        <v>118</v>
      </c>
      <c r="S1473" t="s">
        <v>52</v>
      </c>
      <c r="U1473">
        <v>889600</v>
      </c>
      <c r="V1473" s="3">
        <v>46057.729861111111</v>
      </c>
      <c r="W1473" t="s">
        <v>1977</v>
      </c>
      <c r="X1473" t="s">
        <v>1978</v>
      </c>
      <c r="Y1473" t="str">
        <f>"0405795510"</f>
        <v>0405795510</v>
      </c>
      <c r="Z1473" t="s">
        <v>70</v>
      </c>
      <c r="AA1473" s="1">
        <v>46059</v>
      </c>
      <c r="AB1473" t="s">
        <v>1979</v>
      </c>
      <c r="AD1473" t="s">
        <v>75</v>
      </c>
      <c r="AE1473" t="s">
        <v>125</v>
      </c>
      <c r="AF1473">
        <v>6017</v>
      </c>
      <c r="AG1473" t="s">
        <v>1976</v>
      </c>
      <c r="AI1473" t="s">
        <v>59</v>
      </c>
      <c r="AN1473" s="3">
        <v>46059.661805555559</v>
      </c>
      <c r="AO1473" t="s">
        <v>1977</v>
      </c>
    </row>
    <row r="1474" spans="1:41" x14ac:dyDescent="0.3">
      <c r="A1474" t="s">
        <v>168</v>
      </c>
      <c r="B1474" t="s">
        <v>282</v>
      </c>
      <c r="C1474" t="s">
        <v>202</v>
      </c>
      <c r="D1474" t="s">
        <v>283</v>
      </c>
      <c r="E1474" s="1">
        <v>46059</v>
      </c>
      <c r="F1474" t="s">
        <v>2113</v>
      </c>
      <c r="G1474" t="s">
        <v>45</v>
      </c>
      <c r="H1474" s="2">
        <v>0.33333333333333331</v>
      </c>
      <c r="I1474" s="2">
        <v>0.5</v>
      </c>
      <c r="J1474" t="s">
        <v>46</v>
      </c>
      <c r="K1474" t="s">
        <v>77</v>
      </c>
      <c r="L1474" t="s">
        <v>159</v>
      </c>
      <c r="M1474" t="s">
        <v>1033</v>
      </c>
      <c r="N1474" t="s">
        <v>1034</v>
      </c>
      <c r="O1474">
        <v>5952456</v>
      </c>
      <c r="Q1474" t="s">
        <v>294</v>
      </c>
      <c r="R1474" t="s">
        <v>500</v>
      </c>
      <c r="S1474" t="s">
        <v>52</v>
      </c>
      <c r="U1474">
        <v>889571</v>
      </c>
      <c r="V1474" s="3">
        <v>46057.849305555559</v>
      </c>
      <c r="W1474" t="s">
        <v>1035</v>
      </c>
      <c r="X1474" t="s">
        <v>1036</v>
      </c>
      <c r="Y1474" t="str">
        <f>"0431375216"</f>
        <v>0431375216</v>
      </c>
      <c r="Z1474" t="s">
        <v>123</v>
      </c>
      <c r="AB1474" t="s">
        <v>291</v>
      </c>
      <c r="AC1474" t="s">
        <v>292</v>
      </c>
      <c r="AD1474" t="s">
        <v>168</v>
      </c>
      <c r="AE1474" t="s">
        <v>293</v>
      </c>
      <c r="AF1474">
        <v>5037</v>
      </c>
      <c r="AG1474" t="s">
        <v>294</v>
      </c>
      <c r="AI1474" t="s">
        <v>59</v>
      </c>
      <c r="AL1474" t="s">
        <v>3948</v>
      </c>
      <c r="AN1474" s="3">
        <v>46059.519444444442</v>
      </c>
      <c r="AO1474" t="s">
        <v>1035</v>
      </c>
    </row>
    <row r="1475" spans="1:41" x14ac:dyDescent="0.3">
      <c r="A1475" t="s">
        <v>61</v>
      </c>
      <c r="B1475" t="s">
        <v>88</v>
      </c>
      <c r="C1475" t="s">
        <v>89</v>
      </c>
      <c r="D1475" t="s">
        <v>90</v>
      </c>
      <c r="E1475" s="1">
        <v>46059</v>
      </c>
      <c r="F1475" t="s">
        <v>2113</v>
      </c>
      <c r="G1475" t="s">
        <v>45</v>
      </c>
      <c r="H1475" s="2">
        <v>0.33333333333333331</v>
      </c>
      <c r="I1475" s="2">
        <v>0.6875</v>
      </c>
      <c r="J1475" t="s">
        <v>46</v>
      </c>
      <c r="L1475" t="s">
        <v>47</v>
      </c>
      <c r="M1475" t="s">
        <v>91</v>
      </c>
      <c r="N1475" t="s">
        <v>92</v>
      </c>
      <c r="O1475">
        <v>5950650</v>
      </c>
      <c r="P1475">
        <v>1662009</v>
      </c>
      <c r="Q1475" t="s">
        <v>1245</v>
      </c>
      <c r="R1475" t="s">
        <v>132</v>
      </c>
      <c r="S1475" t="s">
        <v>52</v>
      </c>
      <c r="U1475">
        <v>889606</v>
      </c>
      <c r="V1475" s="3">
        <v>46058.473611111112</v>
      </c>
      <c r="W1475" t="s">
        <v>94</v>
      </c>
      <c r="X1475" t="s">
        <v>95</v>
      </c>
      <c r="Y1475" t="str">
        <f>"0493332534"</f>
        <v>0493332534</v>
      </c>
      <c r="Z1475" t="s">
        <v>70</v>
      </c>
      <c r="AA1475" s="1">
        <v>46059</v>
      </c>
      <c r="AB1475" t="s">
        <v>96</v>
      </c>
      <c r="AD1475" t="s">
        <v>61</v>
      </c>
      <c r="AE1475" t="s">
        <v>97</v>
      </c>
      <c r="AF1475">
        <v>2010</v>
      </c>
      <c r="AG1475" t="s">
        <v>98</v>
      </c>
      <c r="AI1475" t="s">
        <v>59</v>
      </c>
      <c r="AL1475" t="s">
        <v>87</v>
      </c>
      <c r="AN1475" s="3">
        <v>46059.678472222222</v>
      </c>
      <c r="AO1475" t="s">
        <v>94</v>
      </c>
    </row>
    <row r="1476" spans="1:41" x14ac:dyDescent="0.3">
      <c r="A1476" t="s">
        <v>168</v>
      </c>
      <c r="B1476" t="s">
        <v>266</v>
      </c>
      <c r="C1476" t="s">
        <v>43</v>
      </c>
      <c r="D1476" t="s">
        <v>268</v>
      </c>
      <c r="E1476" s="1">
        <v>46059</v>
      </c>
      <c r="F1476" t="s">
        <v>2113</v>
      </c>
      <c r="G1476" t="s">
        <v>45</v>
      </c>
      <c r="H1476" s="2">
        <v>0.33333333333333331</v>
      </c>
      <c r="I1476" s="2">
        <v>0.6875</v>
      </c>
      <c r="J1476" t="s">
        <v>185</v>
      </c>
      <c r="K1476" t="s">
        <v>667</v>
      </c>
      <c r="L1476" t="s">
        <v>186</v>
      </c>
      <c r="M1476" t="s">
        <v>867</v>
      </c>
      <c r="N1476" t="s">
        <v>868</v>
      </c>
      <c r="O1476">
        <v>5951869</v>
      </c>
      <c r="Q1476" t="s">
        <v>3949</v>
      </c>
      <c r="R1476" t="s">
        <v>231</v>
      </c>
      <c r="S1476" t="s">
        <v>52</v>
      </c>
      <c r="U1476">
        <v>889613</v>
      </c>
      <c r="V1476" s="3">
        <v>46056.427777777775</v>
      </c>
      <c r="W1476" t="s">
        <v>870</v>
      </c>
      <c r="X1476" t="s">
        <v>871</v>
      </c>
      <c r="Y1476" t="str">
        <f>"0435211342"</f>
        <v>0435211342</v>
      </c>
      <c r="Z1476" t="s">
        <v>550</v>
      </c>
      <c r="AA1476" s="1">
        <v>46059</v>
      </c>
      <c r="AB1476" t="s">
        <v>277</v>
      </c>
      <c r="AC1476" t="s">
        <v>278</v>
      </c>
      <c r="AD1476" t="s">
        <v>168</v>
      </c>
      <c r="AE1476" t="s">
        <v>279</v>
      </c>
      <c r="AF1476">
        <v>5092</v>
      </c>
      <c r="AG1476" t="s">
        <v>869</v>
      </c>
      <c r="AI1476" t="s">
        <v>59</v>
      </c>
      <c r="AL1476" t="s">
        <v>3950</v>
      </c>
      <c r="AM1476" t="s">
        <v>3951</v>
      </c>
      <c r="AN1476" s="3">
        <v>46059.705555555556</v>
      </c>
      <c r="AO1476" t="s">
        <v>870</v>
      </c>
    </row>
    <row r="1477" spans="1:41" x14ac:dyDescent="0.3">
      <c r="A1477" t="s">
        <v>61</v>
      </c>
      <c r="B1477" t="s">
        <v>912</v>
      </c>
      <c r="C1477" t="s">
        <v>913</v>
      </c>
      <c r="D1477" t="s">
        <v>184</v>
      </c>
      <c r="E1477" s="1">
        <v>46059</v>
      </c>
      <c r="F1477" t="s">
        <v>2113</v>
      </c>
      <c r="G1477" t="s">
        <v>45</v>
      </c>
      <c r="H1477" s="2">
        <v>0.33333333333333331</v>
      </c>
      <c r="I1477" s="2">
        <v>0.58333333333333337</v>
      </c>
      <c r="J1477" t="s">
        <v>46</v>
      </c>
      <c r="L1477" t="s">
        <v>159</v>
      </c>
      <c r="M1477" t="s">
        <v>1409</v>
      </c>
      <c r="N1477" t="s">
        <v>1410</v>
      </c>
      <c r="O1477">
        <v>5952321</v>
      </c>
      <c r="Q1477" t="s">
        <v>916</v>
      </c>
      <c r="R1477" t="s">
        <v>132</v>
      </c>
      <c r="S1477" t="s">
        <v>52</v>
      </c>
      <c r="U1477">
        <v>889577</v>
      </c>
      <c r="V1477" s="3">
        <v>46042.442361111112</v>
      </c>
      <c r="W1477" t="s">
        <v>1412</v>
      </c>
      <c r="X1477" t="s">
        <v>1413</v>
      </c>
      <c r="Y1477" t="str">
        <f>"0420269827"</f>
        <v>0420269827</v>
      </c>
      <c r="Z1477" t="s">
        <v>70</v>
      </c>
      <c r="AA1477" s="1">
        <v>46059</v>
      </c>
      <c r="AB1477" t="s">
        <v>920</v>
      </c>
      <c r="AC1477" t="s">
        <v>921</v>
      </c>
      <c r="AD1477" t="s">
        <v>61</v>
      </c>
      <c r="AE1477" t="s">
        <v>922</v>
      </c>
      <c r="AF1477">
        <v>2228</v>
      </c>
      <c r="AG1477" t="s">
        <v>1807</v>
      </c>
      <c r="AI1477" t="s">
        <v>59</v>
      </c>
      <c r="AL1477" t="s">
        <v>3952</v>
      </c>
      <c r="AN1477" s="3">
        <v>46059.563194444447</v>
      </c>
      <c r="AO1477" t="s">
        <v>1412</v>
      </c>
    </row>
    <row r="1478" spans="1:41" x14ac:dyDescent="0.3">
      <c r="A1478" t="s">
        <v>75</v>
      </c>
      <c r="B1478" t="s">
        <v>2359</v>
      </c>
      <c r="C1478" t="s">
        <v>43</v>
      </c>
      <c r="D1478" t="s">
        <v>283</v>
      </c>
      <c r="E1478" s="1">
        <v>46070</v>
      </c>
      <c r="F1478" t="s">
        <v>1376</v>
      </c>
      <c r="G1478" t="s">
        <v>128</v>
      </c>
      <c r="H1478" s="2">
        <v>0.54166666666666663</v>
      </c>
      <c r="I1478" s="2">
        <v>0.75</v>
      </c>
      <c r="J1478" t="s">
        <v>185</v>
      </c>
      <c r="L1478" t="s">
        <v>47</v>
      </c>
      <c r="M1478" t="s">
        <v>3282</v>
      </c>
      <c r="N1478" t="s">
        <v>3316</v>
      </c>
      <c r="O1478">
        <v>22370</v>
      </c>
      <c r="Q1478" t="s">
        <v>823</v>
      </c>
      <c r="R1478" t="s">
        <v>926</v>
      </c>
      <c r="S1478" t="s">
        <v>52</v>
      </c>
      <c r="U1478">
        <v>890848</v>
      </c>
      <c r="V1478" s="3">
        <v>46070.441666666666</v>
      </c>
      <c r="W1478" t="s">
        <v>3317</v>
      </c>
      <c r="X1478" t="s">
        <v>3318</v>
      </c>
      <c r="Y1478" t="str">
        <f>"0407446821"</f>
        <v>0407446821</v>
      </c>
      <c r="Z1478" t="s">
        <v>70</v>
      </c>
      <c r="AA1478" s="1">
        <v>46070</v>
      </c>
      <c r="AB1478" t="s">
        <v>2364</v>
      </c>
      <c r="AD1478" t="s">
        <v>75</v>
      </c>
      <c r="AE1478" t="s">
        <v>368</v>
      </c>
      <c r="AF1478">
        <v>6027</v>
      </c>
      <c r="AG1478" t="s">
        <v>823</v>
      </c>
      <c r="AI1478" t="s">
        <v>59</v>
      </c>
      <c r="AL1478" t="s">
        <v>87</v>
      </c>
      <c r="AN1478" s="3">
        <v>46070.884027777778</v>
      </c>
      <c r="AO1478" t="s">
        <v>3317</v>
      </c>
    </row>
    <row r="1479" spans="1:41" x14ac:dyDescent="0.3">
      <c r="A1479" t="s">
        <v>168</v>
      </c>
      <c r="B1479" t="s">
        <v>266</v>
      </c>
      <c r="D1479" t="s">
        <v>268</v>
      </c>
      <c r="E1479" s="1">
        <v>46070</v>
      </c>
      <c r="F1479" t="s">
        <v>1376</v>
      </c>
      <c r="G1479" t="s">
        <v>128</v>
      </c>
      <c r="H1479" s="2">
        <v>0.54166666666666663</v>
      </c>
      <c r="I1479" s="2">
        <v>0.89583333333333337</v>
      </c>
      <c r="J1479" t="s">
        <v>296</v>
      </c>
      <c r="K1479" t="s">
        <v>297</v>
      </c>
      <c r="L1479" t="s">
        <v>2603</v>
      </c>
      <c r="M1479" t="s">
        <v>1365</v>
      </c>
      <c r="N1479" t="s">
        <v>1365</v>
      </c>
      <c r="O1479">
        <v>22974</v>
      </c>
      <c r="Q1479" t="s">
        <v>274</v>
      </c>
      <c r="R1479" t="s">
        <v>176</v>
      </c>
      <c r="S1479" t="s">
        <v>52</v>
      </c>
      <c r="U1479">
        <v>890857</v>
      </c>
      <c r="V1479" s="3">
        <v>45993.429166666669</v>
      </c>
      <c r="W1479" t="s">
        <v>2604</v>
      </c>
      <c r="X1479" t="s">
        <v>2605</v>
      </c>
      <c r="Y1479" t="str">
        <f>"0426662717"</f>
        <v>0426662717</v>
      </c>
      <c r="Z1479" t="s">
        <v>3953</v>
      </c>
      <c r="AB1479" t="s">
        <v>277</v>
      </c>
      <c r="AC1479" t="s">
        <v>278</v>
      </c>
      <c r="AD1479" t="s">
        <v>168</v>
      </c>
      <c r="AE1479" t="s">
        <v>279</v>
      </c>
      <c r="AF1479">
        <v>5092</v>
      </c>
      <c r="AG1479" t="s">
        <v>274</v>
      </c>
      <c r="AI1479" t="s">
        <v>59</v>
      </c>
      <c r="AL1479" t="s">
        <v>3954</v>
      </c>
      <c r="AM1479" t="s">
        <v>281</v>
      </c>
      <c r="AN1479" s="3">
        <v>46070.921527777777</v>
      </c>
      <c r="AO1479" t="s">
        <v>2604</v>
      </c>
    </row>
    <row r="1480" spans="1:41" x14ac:dyDescent="0.3">
      <c r="A1480" t="s">
        <v>168</v>
      </c>
      <c r="B1480" t="s">
        <v>441</v>
      </c>
      <c r="C1480" t="s">
        <v>202</v>
      </c>
      <c r="E1480" s="1">
        <v>46070</v>
      </c>
      <c r="F1480" t="s">
        <v>1376</v>
      </c>
      <c r="G1480" t="s">
        <v>128</v>
      </c>
      <c r="H1480" s="2">
        <v>0.54166666666666663</v>
      </c>
      <c r="I1480" s="2">
        <v>0.875</v>
      </c>
      <c r="J1480" t="s">
        <v>46</v>
      </c>
      <c r="L1480" t="s">
        <v>204</v>
      </c>
      <c r="M1480" t="s">
        <v>205</v>
      </c>
      <c r="N1480" t="s">
        <v>206</v>
      </c>
      <c r="O1480">
        <v>21706</v>
      </c>
      <c r="Q1480" t="s">
        <v>944</v>
      </c>
      <c r="R1480" t="s">
        <v>176</v>
      </c>
      <c r="S1480" t="s">
        <v>52</v>
      </c>
      <c r="U1480">
        <v>890832</v>
      </c>
      <c r="V1480" s="3">
        <v>46069.450694444444</v>
      </c>
      <c r="W1480" t="s">
        <v>209</v>
      </c>
      <c r="X1480" t="s">
        <v>210</v>
      </c>
      <c r="Y1480" t="str">
        <f>"0415862070"</f>
        <v>0415862070</v>
      </c>
      <c r="Z1480" t="s">
        <v>70</v>
      </c>
      <c r="AB1480" t="s">
        <v>448</v>
      </c>
      <c r="AD1480" t="s">
        <v>168</v>
      </c>
      <c r="AE1480" t="s">
        <v>180</v>
      </c>
      <c r="AF1480">
        <v>5063</v>
      </c>
      <c r="AG1480" t="s">
        <v>944</v>
      </c>
      <c r="AI1480" t="s">
        <v>59</v>
      </c>
      <c r="AL1480" t="s">
        <v>1121</v>
      </c>
      <c r="AN1480" s="3">
        <v>46070.813194444447</v>
      </c>
      <c r="AO1480" t="s">
        <v>209</v>
      </c>
    </row>
    <row r="1481" spans="1:41" x14ac:dyDescent="0.3">
      <c r="A1481" t="s">
        <v>168</v>
      </c>
      <c r="B1481" t="s">
        <v>441</v>
      </c>
      <c r="C1481" t="s">
        <v>101</v>
      </c>
      <c r="E1481" s="1">
        <v>46070</v>
      </c>
      <c r="F1481" t="s">
        <v>1376</v>
      </c>
      <c r="G1481" t="s">
        <v>128</v>
      </c>
      <c r="H1481" s="2">
        <v>0.54166666666666663</v>
      </c>
      <c r="I1481" s="2">
        <v>0.875</v>
      </c>
      <c r="J1481" t="s">
        <v>101</v>
      </c>
      <c r="L1481" t="s">
        <v>743</v>
      </c>
      <c r="M1481" t="s">
        <v>744</v>
      </c>
      <c r="N1481" t="s">
        <v>745</v>
      </c>
      <c r="O1481">
        <v>5951894</v>
      </c>
      <c r="Q1481" t="s">
        <v>944</v>
      </c>
      <c r="R1481" t="s">
        <v>556</v>
      </c>
      <c r="S1481" t="s">
        <v>52</v>
      </c>
      <c r="U1481">
        <v>890814</v>
      </c>
      <c r="V1481" s="3">
        <v>46050.944444444445</v>
      </c>
      <c r="W1481" t="s">
        <v>746</v>
      </c>
      <c r="X1481" t="s">
        <v>747</v>
      </c>
      <c r="Y1481" t="str">
        <f>"0420536678"</f>
        <v>0420536678</v>
      </c>
      <c r="Z1481" t="s">
        <v>70</v>
      </c>
      <c r="AA1481" s="1">
        <v>46070</v>
      </c>
      <c r="AB1481" t="s">
        <v>448</v>
      </c>
      <c r="AD1481" t="s">
        <v>168</v>
      </c>
      <c r="AE1481" t="s">
        <v>180</v>
      </c>
      <c r="AF1481">
        <v>5063</v>
      </c>
      <c r="AG1481" t="s">
        <v>944</v>
      </c>
      <c r="AI1481" t="s">
        <v>59</v>
      </c>
      <c r="AL1481" t="s">
        <v>1121</v>
      </c>
      <c r="AN1481" s="3">
        <v>46070.757638888892</v>
      </c>
      <c r="AO1481" t="s">
        <v>746</v>
      </c>
    </row>
    <row r="1482" spans="1:41" x14ac:dyDescent="0.3">
      <c r="A1482" t="s">
        <v>61</v>
      </c>
      <c r="B1482" t="s">
        <v>182</v>
      </c>
      <c r="C1482" t="s">
        <v>100</v>
      </c>
      <c r="D1482" t="s">
        <v>184</v>
      </c>
      <c r="E1482" s="1">
        <v>46070</v>
      </c>
      <c r="F1482" t="s">
        <v>1376</v>
      </c>
      <c r="G1482" t="s">
        <v>128</v>
      </c>
      <c r="H1482" s="2">
        <v>0.54166666666666663</v>
      </c>
      <c r="I1482" s="2">
        <v>0.89583333333333337</v>
      </c>
      <c r="J1482" t="s">
        <v>100</v>
      </c>
      <c r="L1482" t="s">
        <v>100</v>
      </c>
      <c r="M1482" t="s">
        <v>1188</v>
      </c>
      <c r="N1482" t="s">
        <v>1189</v>
      </c>
      <c r="O1482">
        <v>21235</v>
      </c>
      <c r="Q1482" t="s">
        <v>1190</v>
      </c>
      <c r="R1482" t="s">
        <v>67</v>
      </c>
      <c r="S1482" t="s">
        <v>52</v>
      </c>
      <c r="U1482">
        <v>890841</v>
      </c>
      <c r="V1482" s="3">
        <v>46044.34097222222</v>
      </c>
      <c r="W1482" t="s">
        <v>1191</v>
      </c>
      <c r="X1482" t="s">
        <v>1192</v>
      </c>
      <c r="Y1482" t="str">
        <f>"0479157796"</f>
        <v>0479157796</v>
      </c>
      <c r="Z1482" t="s">
        <v>3955</v>
      </c>
      <c r="AB1482" t="s">
        <v>193</v>
      </c>
      <c r="AD1482" t="s">
        <v>61</v>
      </c>
      <c r="AE1482" t="s">
        <v>194</v>
      </c>
      <c r="AF1482">
        <v>2229</v>
      </c>
      <c r="AG1482" t="s">
        <v>1045</v>
      </c>
      <c r="AI1482" t="s">
        <v>59</v>
      </c>
      <c r="AL1482" t="s">
        <v>3501</v>
      </c>
      <c r="AN1482" s="3">
        <v>46070.84375</v>
      </c>
      <c r="AO1482" t="s">
        <v>1191</v>
      </c>
    </row>
    <row r="1483" spans="1:41" x14ac:dyDescent="0.3">
      <c r="A1483" t="s">
        <v>168</v>
      </c>
      <c r="B1483" t="s">
        <v>1178</v>
      </c>
      <c r="C1483" t="s">
        <v>100</v>
      </c>
      <c r="D1483" t="s">
        <v>127</v>
      </c>
      <c r="E1483" s="1">
        <v>46070</v>
      </c>
      <c r="F1483" t="s">
        <v>1376</v>
      </c>
      <c r="G1483" t="s">
        <v>128</v>
      </c>
      <c r="H1483" s="2">
        <v>0.58333333333333337</v>
      </c>
      <c r="I1483" s="2">
        <v>0.875</v>
      </c>
      <c r="J1483" t="s">
        <v>100</v>
      </c>
      <c r="L1483" t="s">
        <v>100</v>
      </c>
      <c r="M1483" t="s">
        <v>2716</v>
      </c>
      <c r="N1483" t="s">
        <v>2717</v>
      </c>
      <c r="O1483">
        <v>5950873</v>
      </c>
      <c r="Q1483" t="s">
        <v>1969</v>
      </c>
      <c r="R1483" t="s">
        <v>176</v>
      </c>
      <c r="S1483" t="s">
        <v>52</v>
      </c>
      <c r="U1483">
        <v>890847</v>
      </c>
      <c r="V1483" s="3">
        <v>46069.602083333331</v>
      </c>
      <c r="W1483" t="s">
        <v>2718</v>
      </c>
      <c r="X1483" t="s">
        <v>2719</v>
      </c>
      <c r="Y1483" t="str">
        <f>"61401208429"</f>
        <v>61401208429</v>
      </c>
      <c r="Z1483" t="s">
        <v>70</v>
      </c>
      <c r="AA1483" s="1">
        <v>46070</v>
      </c>
      <c r="AB1483" t="s">
        <v>1184</v>
      </c>
      <c r="AD1483" t="s">
        <v>168</v>
      </c>
      <c r="AE1483" t="s">
        <v>1185</v>
      </c>
      <c r="AF1483">
        <v>5066</v>
      </c>
      <c r="AG1483" t="s">
        <v>3180</v>
      </c>
      <c r="AI1483" t="s">
        <v>59</v>
      </c>
      <c r="AL1483" t="s">
        <v>1121</v>
      </c>
      <c r="AN1483" s="3">
        <v>46070.883333333331</v>
      </c>
      <c r="AO1483" t="s">
        <v>2718</v>
      </c>
    </row>
    <row r="1484" spans="1:41" x14ac:dyDescent="0.3">
      <c r="A1484" t="s">
        <v>168</v>
      </c>
      <c r="B1484" t="s">
        <v>376</v>
      </c>
      <c r="C1484" t="s">
        <v>100</v>
      </c>
      <c r="D1484" t="s">
        <v>127</v>
      </c>
      <c r="E1484" s="1">
        <v>46070</v>
      </c>
      <c r="F1484" t="s">
        <v>1376</v>
      </c>
      <c r="G1484" t="s">
        <v>128</v>
      </c>
      <c r="H1484" s="2">
        <v>0.58333333333333337</v>
      </c>
      <c r="I1484" s="2">
        <v>0.875</v>
      </c>
      <c r="J1484" t="s">
        <v>100</v>
      </c>
      <c r="L1484" t="s">
        <v>100</v>
      </c>
      <c r="M1484" t="s">
        <v>377</v>
      </c>
      <c r="N1484" t="s">
        <v>378</v>
      </c>
      <c r="O1484">
        <v>21963</v>
      </c>
      <c r="Q1484" t="s">
        <v>2748</v>
      </c>
      <c r="R1484" t="s">
        <v>380</v>
      </c>
      <c r="S1484" t="s">
        <v>52</v>
      </c>
      <c r="U1484">
        <v>890815</v>
      </c>
      <c r="V1484" s="3">
        <v>46035.349305555559</v>
      </c>
      <c r="W1484" t="s">
        <v>381</v>
      </c>
      <c r="X1484" t="s">
        <v>382</v>
      </c>
      <c r="Y1484" t="str">
        <f>"0438336604"</f>
        <v>0438336604</v>
      </c>
      <c r="Z1484" t="s">
        <v>366</v>
      </c>
      <c r="AB1484" t="s">
        <v>383</v>
      </c>
      <c r="AD1484" t="s">
        <v>168</v>
      </c>
      <c r="AE1484" t="s">
        <v>384</v>
      </c>
      <c r="AF1484">
        <v>5000</v>
      </c>
      <c r="AI1484" t="s">
        <v>59</v>
      </c>
      <c r="AL1484" t="s">
        <v>3956</v>
      </c>
      <c r="AN1484" s="3">
        <v>46070.761805555558</v>
      </c>
      <c r="AO1484" t="s">
        <v>381</v>
      </c>
    </row>
    <row r="1485" spans="1:41" x14ac:dyDescent="0.3">
      <c r="A1485" t="s">
        <v>41</v>
      </c>
      <c r="B1485" t="s">
        <v>1284</v>
      </c>
      <c r="C1485" t="s">
        <v>296</v>
      </c>
      <c r="D1485" t="s">
        <v>1286</v>
      </c>
      <c r="E1485" s="1">
        <v>46070</v>
      </c>
      <c r="F1485" t="s">
        <v>1376</v>
      </c>
      <c r="G1485" t="s">
        <v>128</v>
      </c>
      <c r="H1485" s="2">
        <v>0.58333333333333337</v>
      </c>
      <c r="I1485" s="2">
        <v>0.9375</v>
      </c>
      <c r="J1485" t="s">
        <v>296</v>
      </c>
      <c r="L1485" t="s">
        <v>1453</v>
      </c>
      <c r="M1485" t="s">
        <v>3957</v>
      </c>
      <c r="N1485" t="s">
        <v>3958</v>
      </c>
      <c r="O1485">
        <v>22091</v>
      </c>
      <c r="Q1485" t="s">
        <v>2976</v>
      </c>
      <c r="R1485" t="s">
        <v>51</v>
      </c>
      <c r="S1485" t="s">
        <v>52</v>
      </c>
      <c r="U1485">
        <v>890911</v>
      </c>
      <c r="V1485" s="3">
        <v>46063.443055555559</v>
      </c>
      <c r="W1485" t="s">
        <v>3959</v>
      </c>
      <c r="X1485" t="s">
        <v>3960</v>
      </c>
      <c r="Y1485" t="str">
        <f>"0431589241"</f>
        <v>0431589241</v>
      </c>
      <c r="Z1485" t="s">
        <v>1155</v>
      </c>
      <c r="AB1485" t="s">
        <v>1288</v>
      </c>
      <c r="AD1485" t="s">
        <v>41</v>
      </c>
      <c r="AE1485" t="s">
        <v>150</v>
      </c>
      <c r="AF1485">
        <v>4000</v>
      </c>
      <c r="AG1485" t="s">
        <v>2098</v>
      </c>
      <c r="AI1485" t="s">
        <v>59</v>
      </c>
      <c r="AL1485" t="s">
        <v>1407</v>
      </c>
      <c r="AN1485" s="3">
        <v>46070.975694444445</v>
      </c>
      <c r="AO1485" t="s">
        <v>3959</v>
      </c>
    </row>
    <row r="1486" spans="1:41" x14ac:dyDescent="0.3">
      <c r="A1486" t="s">
        <v>168</v>
      </c>
      <c r="B1486" t="s">
        <v>376</v>
      </c>
      <c r="C1486" t="s">
        <v>100</v>
      </c>
      <c r="D1486" t="s">
        <v>127</v>
      </c>
      <c r="E1486" s="1">
        <v>46070</v>
      </c>
      <c r="F1486" t="s">
        <v>1376</v>
      </c>
      <c r="G1486" t="s">
        <v>128</v>
      </c>
      <c r="H1486" s="2">
        <v>0.58333333333333337</v>
      </c>
      <c r="I1486" s="2">
        <v>0.91666666666666663</v>
      </c>
      <c r="J1486" t="s">
        <v>100</v>
      </c>
      <c r="L1486" t="s">
        <v>100</v>
      </c>
      <c r="M1486" t="s">
        <v>975</v>
      </c>
      <c r="N1486" t="s">
        <v>976</v>
      </c>
      <c r="O1486">
        <v>5950948</v>
      </c>
      <c r="Q1486" t="s">
        <v>2748</v>
      </c>
      <c r="R1486" t="s">
        <v>380</v>
      </c>
      <c r="S1486" t="s">
        <v>52</v>
      </c>
      <c r="U1486">
        <v>890849</v>
      </c>
      <c r="V1486" s="3">
        <v>46035.347916666666</v>
      </c>
      <c r="W1486" t="s">
        <v>978</v>
      </c>
      <c r="X1486" t="s">
        <v>979</v>
      </c>
      <c r="Y1486" t="str">
        <f>"0451011613"</f>
        <v>0451011613</v>
      </c>
      <c r="Z1486" t="s">
        <v>254</v>
      </c>
      <c r="AB1486" t="s">
        <v>383</v>
      </c>
      <c r="AD1486" t="s">
        <v>168</v>
      </c>
      <c r="AE1486" t="s">
        <v>384</v>
      </c>
      <c r="AF1486">
        <v>5000</v>
      </c>
      <c r="AI1486" t="s">
        <v>59</v>
      </c>
      <c r="AL1486" t="s">
        <v>385</v>
      </c>
      <c r="AN1486" s="3">
        <v>46070.885416666664</v>
      </c>
      <c r="AO1486" t="s">
        <v>978</v>
      </c>
    </row>
    <row r="1487" spans="1:41" x14ac:dyDescent="0.3">
      <c r="A1487" t="s">
        <v>168</v>
      </c>
      <c r="B1487" t="s">
        <v>1963</v>
      </c>
      <c r="C1487" t="s">
        <v>602</v>
      </c>
      <c r="D1487" t="s">
        <v>401</v>
      </c>
      <c r="E1487" s="1">
        <v>46070</v>
      </c>
      <c r="F1487" t="s">
        <v>1376</v>
      </c>
      <c r="G1487" t="s">
        <v>128</v>
      </c>
      <c r="H1487" s="2">
        <v>0.60416666666666663</v>
      </c>
      <c r="I1487" s="2">
        <v>0.9375</v>
      </c>
      <c r="J1487" t="s">
        <v>269</v>
      </c>
      <c r="L1487" t="s">
        <v>2890</v>
      </c>
      <c r="M1487" t="s">
        <v>3961</v>
      </c>
      <c r="N1487" t="s">
        <v>3962</v>
      </c>
      <c r="O1487">
        <v>5952019</v>
      </c>
      <c r="Q1487" t="s">
        <v>2337</v>
      </c>
      <c r="R1487" t="s">
        <v>231</v>
      </c>
      <c r="S1487" t="s">
        <v>52</v>
      </c>
      <c r="U1487">
        <v>890858</v>
      </c>
      <c r="V1487" s="3">
        <v>46052.661111111112</v>
      </c>
      <c r="W1487" t="s">
        <v>3963</v>
      </c>
      <c r="X1487" t="s">
        <v>3964</v>
      </c>
      <c r="Y1487" t="str">
        <f>"0422097734"</f>
        <v>0422097734</v>
      </c>
      <c r="Z1487" t="s">
        <v>55</v>
      </c>
      <c r="AA1487" s="1">
        <v>46070</v>
      </c>
      <c r="AB1487" t="s">
        <v>1967</v>
      </c>
      <c r="AD1487" t="s">
        <v>168</v>
      </c>
      <c r="AE1487" t="s">
        <v>1968</v>
      </c>
      <c r="AF1487">
        <v>5000</v>
      </c>
      <c r="AG1487" t="s">
        <v>2337</v>
      </c>
      <c r="AI1487" t="s">
        <v>59</v>
      </c>
      <c r="AL1487" t="s">
        <v>370</v>
      </c>
      <c r="AN1487" s="3">
        <v>46070.933333333334</v>
      </c>
      <c r="AO1487" t="s">
        <v>3963</v>
      </c>
    </row>
    <row r="1488" spans="1:41" x14ac:dyDescent="0.3">
      <c r="A1488" t="s">
        <v>168</v>
      </c>
      <c r="B1488" t="s">
        <v>441</v>
      </c>
      <c r="C1488" t="s">
        <v>296</v>
      </c>
      <c r="E1488" s="1">
        <v>46070</v>
      </c>
      <c r="F1488" t="s">
        <v>1376</v>
      </c>
      <c r="G1488" t="s">
        <v>128</v>
      </c>
      <c r="H1488" s="2">
        <v>0.60416666666666663</v>
      </c>
      <c r="I1488" s="2">
        <v>0.9375</v>
      </c>
      <c r="J1488" t="s">
        <v>296</v>
      </c>
      <c r="K1488" t="s">
        <v>360</v>
      </c>
      <c r="L1488" t="s">
        <v>339</v>
      </c>
      <c r="M1488" t="s">
        <v>340</v>
      </c>
      <c r="N1488" t="s">
        <v>341</v>
      </c>
      <c r="O1488">
        <v>5951711</v>
      </c>
      <c r="Q1488" t="s">
        <v>444</v>
      </c>
      <c r="R1488" t="s">
        <v>445</v>
      </c>
      <c r="S1488" t="s">
        <v>52</v>
      </c>
      <c r="U1488">
        <v>890859</v>
      </c>
      <c r="V1488" s="3">
        <v>46067.53402777778</v>
      </c>
      <c r="W1488" t="s">
        <v>343</v>
      </c>
      <c r="X1488" t="s">
        <v>344</v>
      </c>
      <c r="Y1488" t="str">
        <f>"0422996486"</f>
        <v>0422996486</v>
      </c>
      <c r="Z1488" t="s">
        <v>366</v>
      </c>
      <c r="AA1488" s="1">
        <v>46070</v>
      </c>
      <c r="AB1488" t="s">
        <v>448</v>
      </c>
      <c r="AD1488" t="s">
        <v>168</v>
      </c>
      <c r="AE1488" t="s">
        <v>180</v>
      </c>
      <c r="AF1488">
        <v>5063</v>
      </c>
      <c r="AI1488" t="s">
        <v>59</v>
      </c>
      <c r="AL1488" t="s">
        <v>1121</v>
      </c>
      <c r="AN1488" s="3">
        <v>46070.945138888892</v>
      </c>
      <c r="AO1488" t="s">
        <v>343</v>
      </c>
    </row>
    <row r="1489" spans="1:41" x14ac:dyDescent="0.3">
      <c r="A1489" t="s">
        <v>168</v>
      </c>
      <c r="B1489" t="s">
        <v>441</v>
      </c>
      <c r="C1489" t="s">
        <v>296</v>
      </c>
      <c r="E1489" s="1">
        <v>46070</v>
      </c>
      <c r="F1489" t="s">
        <v>1376</v>
      </c>
      <c r="G1489" t="s">
        <v>128</v>
      </c>
      <c r="H1489" s="2">
        <v>0.60416666666666663</v>
      </c>
      <c r="I1489" s="2">
        <v>0.9375</v>
      </c>
      <c r="J1489" t="s">
        <v>296</v>
      </c>
      <c r="L1489" t="s">
        <v>298</v>
      </c>
      <c r="M1489" t="s">
        <v>442</v>
      </c>
      <c r="N1489" t="s">
        <v>443</v>
      </c>
      <c r="O1489">
        <v>22456</v>
      </c>
      <c r="Q1489" t="s">
        <v>444</v>
      </c>
      <c r="R1489" t="s">
        <v>445</v>
      </c>
      <c r="S1489" t="s">
        <v>52</v>
      </c>
      <c r="U1489">
        <v>890909</v>
      </c>
      <c r="V1489" s="3">
        <v>46066.554166666669</v>
      </c>
      <c r="W1489" t="s">
        <v>446</v>
      </c>
      <c r="X1489" t="s">
        <v>447</v>
      </c>
      <c r="Y1489" t="str">
        <f>"0452566250"</f>
        <v>0452566250</v>
      </c>
      <c r="Z1489" t="s">
        <v>70</v>
      </c>
      <c r="AA1489" s="1">
        <v>46070</v>
      </c>
      <c r="AB1489" t="s">
        <v>448</v>
      </c>
      <c r="AD1489" t="s">
        <v>168</v>
      </c>
      <c r="AE1489" t="s">
        <v>180</v>
      </c>
      <c r="AF1489">
        <v>5063</v>
      </c>
      <c r="AI1489" t="s">
        <v>59</v>
      </c>
      <c r="AL1489" t="s">
        <v>1121</v>
      </c>
      <c r="AN1489" s="3">
        <v>46070.964583333334</v>
      </c>
      <c r="AO1489" t="s">
        <v>446</v>
      </c>
    </row>
    <row r="1490" spans="1:41" x14ac:dyDescent="0.3">
      <c r="A1490" t="s">
        <v>306</v>
      </c>
      <c r="B1490" t="s">
        <v>528</v>
      </c>
      <c r="C1490" t="s">
        <v>1523</v>
      </c>
      <c r="D1490" t="s">
        <v>63</v>
      </c>
      <c r="E1490" s="1">
        <v>46070</v>
      </c>
      <c r="F1490" t="s">
        <v>1376</v>
      </c>
      <c r="G1490" t="s">
        <v>128</v>
      </c>
      <c r="H1490" s="2">
        <v>0.60416666666666663</v>
      </c>
      <c r="I1490" s="2">
        <v>0.91666666666666663</v>
      </c>
      <c r="J1490" t="s">
        <v>296</v>
      </c>
      <c r="L1490" t="s">
        <v>1260</v>
      </c>
      <c r="M1490" t="s">
        <v>239</v>
      </c>
      <c r="N1490" t="s">
        <v>1261</v>
      </c>
      <c r="O1490">
        <v>5952100</v>
      </c>
      <c r="Q1490" t="s">
        <v>2757</v>
      </c>
      <c r="R1490" t="s">
        <v>1248</v>
      </c>
      <c r="S1490" t="s">
        <v>52</v>
      </c>
      <c r="U1490">
        <v>890855</v>
      </c>
      <c r="V1490" s="3">
        <v>46067.318055555559</v>
      </c>
      <c r="W1490" t="s">
        <v>1262</v>
      </c>
      <c r="X1490" t="s">
        <v>1263</v>
      </c>
      <c r="Y1490" t="str">
        <f>"0420517034"</f>
        <v>0420517034</v>
      </c>
      <c r="Z1490" t="s">
        <v>70</v>
      </c>
      <c r="AA1490" s="1">
        <v>46070</v>
      </c>
      <c r="AB1490" t="s">
        <v>537</v>
      </c>
      <c r="AD1490" t="s">
        <v>306</v>
      </c>
      <c r="AE1490" t="s">
        <v>538</v>
      </c>
      <c r="AF1490">
        <v>3152</v>
      </c>
      <c r="AG1490" t="s">
        <v>2757</v>
      </c>
      <c r="AI1490" t="s">
        <v>59</v>
      </c>
      <c r="AL1490" t="s">
        <v>87</v>
      </c>
      <c r="AN1490" s="3">
        <v>46070.918055555558</v>
      </c>
      <c r="AO1490" t="s">
        <v>1262</v>
      </c>
    </row>
    <row r="1491" spans="1:41" x14ac:dyDescent="0.3">
      <c r="A1491" t="s">
        <v>306</v>
      </c>
      <c r="B1491" t="s">
        <v>450</v>
      </c>
      <c r="C1491" t="s">
        <v>100</v>
      </c>
      <c r="D1491" t="s">
        <v>63</v>
      </c>
      <c r="E1491" s="1">
        <v>46070</v>
      </c>
      <c r="F1491" t="s">
        <v>1376</v>
      </c>
      <c r="G1491" t="s">
        <v>128</v>
      </c>
      <c r="H1491" s="2">
        <v>0.625</v>
      </c>
      <c r="I1491" s="2">
        <v>0.91666666666666663</v>
      </c>
      <c r="J1491" t="s">
        <v>451</v>
      </c>
      <c r="L1491" t="s">
        <v>452</v>
      </c>
      <c r="M1491" t="s">
        <v>2556</v>
      </c>
      <c r="N1491" t="s">
        <v>2557</v>
      </c>
      <c r="O1491">
        <v>5952058</v>
      </c>
      <c r="Q1491" t="s">
        <v>3965</v>
      </c>
      <c r="R1491" t="s">
        <v>314</v>
      </c>
      <c r="S1491" t="s">
        <v>52</v>
      </c>
      <c r="U1491">
        <v>890853</v>
      </c>
      <c r="V1491" s="3">
        <v>46069.40347222222</v>
      </c>
      <c r="W1491" t="s">
        <v>2558</v>
      </c>
      <c r="X1491" t="s">
        <v>2559</v>
      </c>
      <c r="Y1491" t="str">
        <f>"0423409018"</f>
        <v>0423409018</v>
      </c>
      <c r="Z1491" t="s">
        <v>123</v>
      </c>
      <c r="AB1491" t="s">
        <v>459</v>
      </c>
      <c r="AD1491" t="s">
        <v>306</v>
      </c>
      <c r="AE1491" t="s">
        <v>460</v>
      </c>
      <c r="AF1491">
        <v>3058</v>
      </c>
      <c r="AG1491" t="s">
        <v>3965</v>
      </c>
      <c r="AI1491" t="s">
        <v>59</v>
      </c>
      <c r="AL1491" t="s">
        <v>87</v>
      </c>
      <c r="AN1491" s="3">
        <v>46070.914583333331</v>
      </c>
      <c r="AO1491" t="s">
        <v>2558</v>
      </c>
    </row>
    <row r="1492" spans="1:41" x14ac:dyDescent="0.3">
      <c r="A1492" t="s">
        <v>61</v>
      </c>
      <c r="B1492" t="s">
        <v>158</v>
      </c>
      <c r="C1492" t="s">
        <v>43</v>
      </c>
      <c r="D1492" t="s">
        <v>127</v>
      </c>
      <c r="E1492" s="1">
        <v>46070</v>
      </c>
      <c r="F1492" t="s">
        <v>1376</v>
      </c>
      <c r="G1492" t="s">
        <v>128</v>
      </c>
      <c r="H1492" s="2">
        <v>0.625</v>
      </c>
      <c r="I1492" s="2">
        <v>0.99861111111111112</v>
      </c>
      <c r="J1492" t="s">
        <v>46</v>
      </c>
      <c r="L1492" t="s">
        <v>47</v>
      </c>
      <c r="M1492" t="s">
        <v>1080</v>
      </c>
      <c r="N1492" t="s">
        <v>1081</v>
      </c>
      <c r="O1492">
        <v>5951255</v>
      </c>
      <c r="Q1492" t="s">
        <v>3966</v>
      </c>
      <c r="R1492" t="s">
        <v>1248</v>
      </c>
      <c r="S1492" t="s">
        <v>52</v>
      </c>
      <c r="U1492">
        <v>890833</v>
      </c>
      <c r="V1492" s="3">
        <v>46069.881944444445</v>
      </c>
      <c r="W1492" t="s">
        <v>1083</v>
      </c>
      <c r="X1492" t="s">
        <v>1084</v>
      </c>
      <c r="Y1492" t="str">
        <f>"0451307044"</f>
        <v>0451307044</v>
      </c>
      <c r="Z1492" t="s">
        <v>70</v>
      </c>
      <c r="AA1492" s="1">
        <v>46070</v>
      </c>
      <c r="AB1492" t="s">
        <v>166</v>
      </c>
      <c r="AD1492" t="s">
        <v>61</v>
      </c>
      <c r="AE1492" t="s">
        <v>167</v>
      </c>
      <c r="AF1492">
        <v>2011</v>
      </c>
      <c r="AG1492" t="s">
        <v>3967</v>
      </c>
      <c r="AI1492" t="s">
        <v>59</v>
      </c>
      <c r="AL1492" t="s">
        <v>87</v>
      </c>
      <c r="AN1492" s="3">
        <v>46070.817361111112</v>
      </c>
      <c r="AO1492" t="s">
        <v>1083</v>
      </c>
    </row>
    <row r="1493" spans="1:41" x14ac:dyDescent="0.3">
      <c r="A1493" t="s">
        <v>306</v>
      </c>
      <c r="B1493" t="s">
        <v>450</v>
      </c>
      <c r="C1493" t="s">
        <v>100</v>
      </c>
      <c r="D1493" t="s">
        <v>63</v>
      </c>
      <c r="E1493" s="1">
        <v>46070</v>
      </c>
      <c r="F1493" t="s">
        <v>1376</v>
      </c>
      <c r="G1493" t="s">
        <v>128</v>
      </c>
      <c r="H1493" s="2">
        <v>0.625</v>
      </c>
      <c r="I1493" s="2">
        <v>0.91666666666666663</v>
      </c>
      <c r="J1493" t="s">
        <v>100</v>
      </c>
      <c r="L1493" t="s">
        <v>473</v>
      </c>
      <c r="M1493" t="s">
        <v>474</v>
      </c>
      <c r="N1493" t="s">
        <v>475</v>
      </c>
      <c r="O1493">
        <v>5950662</v>
      </c>
      <c r="Q1493" t="s">
        <v>3968</v>
      </c>
      <c r="R1493" t="s">
        <v>208</v>
      </c>
      <c r="S1493" t="s">
        <v>52</v>
      </c>
      <c r="U1493">
        <v>890852</v>
      </c>
      <c r="V1493" s="3">
        <v>46064.861111111109</v>
      </c>
      <c r="W1493" t="s">
        <v>477</v>
      </c>
      <c r="X1493" t="s">
        <v>478</v>
      </c>
      <c r="Y1493" t="str">
        <f>"0449808311"</f>
        <v>0449808311</v>
      </c>
      <c r="Z1493" t="s">
        <v>254</v>
      </c>
      <c r="AB1493" t="s">
        <v>459</v>
      </c>
      <c r="AD1493" t="s">
        <v>306</v>
      </c>
      <c r="AE1493" t="s">
        <v>460</v>
      </c>
      <c r="AF1493">
        <v>3058</v>
      </c>
      <c r="AG1493" t="s">
        <v>455</v>
      </c>
      <c r="AI1493" t="s">
        <v>59</v>
      </c>
      <c r="AL1493" t="s">
        <v>370</v>
      </c>
      <c r="AN1493" s="3">
        <v>46070.914583333331</v>
      </c>
      <c r="AO1493" t="s">
        <v>477</v>
      </c>
    </row>
    <row r="1494" spans="1:41" x14ac:dyDescent="0.3">
      <c r="A1494" t="s">
        <v>61</v>
      </c>
      <c r="B1494" t="s">
        <v>1271</v>
      </c>
      <c r="C1494" t="s">
        <v>1272</v>
      </c>
      <c r="D1494" t="s">
        <v>184</v>
      </c>
      <c r="E1494" s="1">
        <v>46070</v>
      </c>
      <c r="F1494" t="s">
        <v>1376</v>
      </c>
      <c r="G1494" t="s">
        <v>128</v>
      </c>
      <c r="H1494" s="2">
        <v>0.63541666666666663</v>
      </c>
      <c r="I1494" s="2">
        <v>0.97916666666666663</v>
      </c>
      <c r="J1494" t="s">
        <v>486</v>
      </c>
      <c r="L1494" t="s">
        <v>487</v>
      </c>
      <c r="M1494" t="s">
        <v>596</v>
      </c>
      <c r="N1494" t="s">
        <v>1280</v>
      </c>
      <c r="O1494">
        <v>5952187</v>
      </c>
      <c r="Q1494" t="s">
        <v>3969</v>
      </c>
      <c r="R1494" t="s">
        <v>67</v>
      </c>
      <c r="S1494" t="s">
        <v>52</v>
      </c>
      <c r="U1494">
        <v>890912</v>
      </c>
      <c r="V1494" s="3">
        <v>46069.498611111114</v>
      </c>
      <c r="W1494" t="s">
        <v>1281</v>
      </c>
      <c r="X1494" t="s">
        <v>1282</v>
      </c>
      <c r="Y1494" t="str">
        <f>"0417203844"</f>
        <v>0417203844</v>
      </c>
      <c r="Z1494" t="s">
        <v>1885</v>
      </c>
      <c r="AB1494" t="s">
        <v>1278</v>
      </c>
      <c r="AD1494" t="s">
        <v>61</v>
      </c>
      <c r="AE1494" t="s">
        <v>1279</v>
      </c>
      <c r="AF1494">
        <v>2145</v>
      </c>
      <c r="AG1494" t="s">
        <v>1190</v>
      </c>
      <c r="AI1494" t="s">
        <v>59</v>
      </c>
      <c r="AL1494" t="s">
        <v>3970</v>
      </c>
      <c r="AN1494" s="3">
        <v>46070.976388888892</v>
      </c>
      <c r="AO1494" t="s">
        <v>1281</v>
      </c>
    </row>
    <row r="1495" spans="1:41" x14ac:dyDescent="0.3">
      <c r="A1495" t="s">
        <v>168</v>
      </c>
      <c r="B1495" t="s">
        <v>215</v>
      </c>
      <c r="C1495" t="s">
        <v>202</v>
      </c>
      <c r="D1495" t="s">
        <v>127</v>
      </c>
      <c r="E1495" s="1">
        <v>46070</v>
      </c>
      <c r="F1495" t="s">
        <v>1376</v>
      </c>
      <c r="G1495" t="s">
        <v>128</v>
      </c>
      <c r="H1495" s="2">
        <v>0.66666666666666663</v>
      </c>
      <c r="I1495" s="2">
        <v>0.83333333333333337</v>
      </c>
      <c r="J1495" t="s">
        <v>46</v>
      </c>
      <c r="L1495" t="s">
        <v>47</v>
      </c>
      <c r="M1495" t="s">
        <v>420</v>
      </c>
      <c r="N1495" t="s">
        <v>421</v>
      </c>
      <c r="O1495">
        <v>21332</v>
      </c>
      <c r="Q1495" t="s">
        <v>3322</v>
      </c>
      <c r="R1495" t="s">
        <v>67</v>
      </c>
      <c r="S1495" t="s">
        <v>52</v>
      </c>
      <c r="U1495">
        <v>890842</v>
      </c>
      <c r="V1495" s="3">
        <v>46070.347222222219</v>
      </c>
      <c r="W1495" t="s">
        <v>422</v>
      </c>
      <c r="X1495" t="s">
        <v>423</v>
      </c>
      <c r="Y1495" t="str">
        <f>"0481793381"</f>
        <v>0481793381</v>
      </c>
      <c r="Z1495" t="s">
        <v>70</v>
      </c>
      <c r="AA1495" s="1">
        <v>46070</v>
      </c>
      <c r="AB1495" t="s">
        <v>222</v>
      </c>
      <c r="AD1495" t="s">
        <v>168</v>
      </c>
      <c r="AE1495" t="s">
        <v>223</v>
      </c>
      <c r="AF1495">
        <v>5069</v>
      </c>
      <c r="AG1495" t="s">
        <v>624</v>
      </c>
      <c r="AI1495" t="s">
        <v>59</v>
      </c>
      <c r="AL1495" t="s">
        <v>1121</v>
      </c>
      <c r="AN1495" s="3">
        <v>46070.848611111112</v>
      </c>
      <c r="AO1495" t="s">
        <v>422</v>
      </c>
    </row>
    <row r="1496" spans="1:41" x14ac:dyDescent="0.3">
      <c r="A1496" t="s">
        <v>61</v>
      </c>
      <c r="B1496" t="s">
        <v>768</v>
      </c>
      <c r="C1496" t="s">
        <v>2308</v>
      </c>
      <c r="D1496" t="s">
        <v>769</v>
      </c>
      <c r="E1496" s="1">
        <v>46070</v>
      </c>
      <c r="F1496" t="s">
        <v>1376</v>
      </c>
      <c r="G1496" t="s">
        <v>128</v>
      </c>
      <c r="H1496" s="2">
        <v>0.66666666666666663</v>
      </c>
      <c r="I1496" s="2">
        <v>0.83333333333333337</v>
      </c>
      <c r="J1496" t="s">
        <v>185</v>
      </c>
      <c r="L1496" t="s">
        <v>186</v>
      </c>
      <c r="M1496" t="s">
        <v>2333</v>
      </c>
      <c r="N1496" t="s">
        <v>2334</v>
      </c>
      <c r="O1496">
        <v>5950886</v>
      </c>
      <c r="Q1496" t="s">
        <v>2311</v>
      </c>
      <c r="R1496" t="s">
        <v>67</v>
      </c>
      <c r="S1496" t="s">
        <v>52</v>
      </c>
      <c r="U1496">
        <v>890834</v>
      </c>
      <c r="V1496" s="3">
        <v>46069.476388888892</v>
      </c>
      <c r="W1496" t="s">
        <v>2335</v>
      </c>
      <c r="X1496" t="s">
        <v>2336</v>
      </c>
      <c r="Y1496" t="str">
        <f>"0412581895"</f>
        <v>0412581895</v>
      </c>
      <c r="Z1496" t="s">
        <v>70</v>
      </c>
      <c r="AA1496" s="1">
        <v>46070</v>
      </c>
      <c r="AB1496" t="s">
        <v>775</v>
      </c>
      <c r="AD1496" t="s">
        <v>61</v>
      </c>
      <c r="AE1496" t="s">
        <v>776</v>
      </c>
      <c r="AF1496">
        <v>2076</v>
      </c>
      <c r="AG1496" t="s">
        <v>2311</v>
      </c>
      <c r="AI1496" t="s">
        <v>59</v>
      </c>
      <c r="AN1496" s="3">
        <v>46070.818055555559</v>
      </c>
      <c r="AO1496" t="s">
        <v>2335</v>
      </c>
    </row>
    <row r="1497" spans="1:41" x14ac:dyDescent="0.3">
      <c r="A1497" t="s">
        <v>61</v>
      </c>
      <c r="B1497" t="s">
        <v>182</v>
      </c>
      <c r="C1497" t="s">
        <v>484</v>
      </c>
      <c r="D1497" t="s">
        <v>184</v>
      </c>
      <c r="E1497" s="1">
        <v>46070</v>
      </c>
      <c r="F1497" t="s">
        <v>1376</v>
      </c>
      <c r="G1497" t="s">
        <v>485</v>
      </c>
      <c r="H1497" s="2">
        <v>0.77083333333333337</v>
      </c>
      <c r="I1497" s="2">
        <v>0.29166666666666669</v>
      </c>
      <c r="J1497" t="s">
        <v>486</v>
      </c>
      <c r="L1497" t="s">
        <v>487</v>
      </c>
      <c r="M1497" t="s">
        <v>1645</v>
      </c>
      <c r="N1497" t="s">
        <v>1646</v>
      </c>
      <c r="O1497">
        <v>5951065</v>
      </c>
      <c r="Q1497" t="s">
        <v>490</v>
      </c>
      <c r="R1497" t="s">
        <v>67</v>
      </c>
      <c r="S1497" t="s">
        <v>52</v>
      </c>
      <c r="U1497">
        <v>890945</v>
      </c>
      <c r="V1497" s="3">
        <v>46051.538194444445</v>
      </c>
      <c r="W1497" t="s">
        <v>1647</v>
      </c>
      <c r="X1497" t="s">
        <v>1648</v>
      </c>
      <c r="Y1497" t="str">
        <f>"0408979009"</f>
        <v>0408979009</v>
      </c>
      <c r="Z1497" t="s">
        <v>3971</v>
      </c>
      <c r="AB1497" t="s">
        <v>193</v>
      </c>
      <c r="AD1497" t="s">
        <v>61</v>
      </c>
      <c r="AE1497" t="s">
        <v>194</v>
      </c>
      <c r="AF1497">
        <v>2229</v>
      </c>
      <c r="AG1497" t="s">
        <v>129</v>
      </c>
      <c r="AI1497" t="s">
        <v>59</v>
      </c>
      <c r="AL1497" t="s">
        <v>3501</v>
      </c>
      <c r="AN1497" s="3">
        <v>46071.314583333333</v>
      </c>
      <c r="AO1497" t="s">
        <v>1647</v>
      </c>
    </row>
    <row r="1498" spans="1:41" x14ac:dyDescent="0.3">
      <c r="A1498" t="s">
        <v>61</v>
      </c>
      <c r="B1498" t="s">
        <v>182</v>
      </c>
      <c r="C1498" t="s">
        <v>484</v>
      </c>
      <c r="D1498" t="s">
        <v>184</v>
      </c>
      <c r="E1498" s="1">
        <v>46070</v>
      </c>
      <c r="F1498" t="s">
        <v>1376</v>
      </c>
      <c r="G1498" t="s">
        <v>485</v>
      </c>
      <c r="H1498" s="2">
        <v>0.77083333333333337</v>
      </c>
      <c r="I1498" s="2">
        <v>0.29166666666666669</v>
      </c>
      <c r="J1498" t="s">
        <v>590</v>
      </c>
      <c r="L1498" t="s">
        <v>487</v>
      </c>
      <c r="M1498" t="s">
        <v>488</v>
      </c>
      <c r="N1498" t="s">
        <v>489</v>
      </c>
      <c r="O1498">
        <v>5951809</v>
      </c>
      <c r="Q1498" t="s">
        <v>490</v>
      </c>
      <c r="R1498" t="s">
        <v>67</v>
      </c>
      <c r="S1498" t="s">
        <v>52</v>
      </c>
      <c r="U1498">
        <v>890926</v>
      </c>
      <c r="V1498" s="3">
        <v>46051.534722222219</v>
      </c>
      <c r="W1498" t="s">
        <v>491</v>
      </c>
      <c r="X1498" t="s">
        <v>492</v>
      </c>
      <c r="Y1498" t="str">
        <f>"0431000508"</f>
        <v>0431000508</v>
      </c>
      <c r="Z1498" t="s">
        <v>3296</v>
      </c>
      <c r="AB1498" t="s">
        <v>193</v>
      </c>
      <c r="AD1498" t="s">
        <v>61</v>
      </c>
      <c r="AE1498" t="s">
        <v>194</v>
      </c>
      <c r="AF1498">
        <v>2229</v>
      </c>
      <c r="AG1498" t="s">
        <v>129</v>
      </c>
      <c r="AI1498" t="s">
        <v>59</v>
      </c>
      <c r="AL1498" t="s">
        <v>3501</v>
      </c>
      <c r="AN1498" s="3">
        <v>46071.292361111111</v>
      </c>
      <c r="AO1498" t="s">
        <v>491</v>
      </c>
    </row>
    <row r="1499" spans="1:41" x14ac:dyDescent="0.3">
      <c r="A1499" t="s">
        <v>61</v>
      </c>
      <c r="B1499" t="s">
        <v>507</v>
      </c>
      <c r="C1499" t="s">
        <v>2182</v>
      </c>
      <c r="D1499" t="s">
        <v>63</v>
      </c>
      <c r="E1499" s="1">
        <v>46070</v>
      </c>
      <c r="F1499" t="s">
        <v>1376</v>
      </c>
      <c r="G1499" t="s">
        <v>485</v>
      </c>
      <c r="H1499" s="2">
        <v>0.79166666666666663</v>
      </c>
      <c r="I1499" s="2">
        <v>0.3125</v>
      </c>
      <c r="J1499" t="s">
        <v>590</v>
      </c>
      <c r="L1499" t="s">
        <v>487</v>
      </c>
      <c r="M1499" t="s">
        <v>1463</v>
      </c>
      <c r="N1499" t="s">
        <v>1464</v>
      </c>
      <c r="O1499">
        <v>22756</v>
      </c>
      <c r="Q1499" t="s">
        <v>1310</v>
      </c>
      <c r="R1499" t="s">
        <v>132</v>
      </c>
      <c r="S1499" t="s">
        <v>52</v>
      </c>
      <c r="U1499">
        <v>890927</v>
      </c>
      <c r="V1499" s="3">
        <v>46029.584027777775</v>
      </c>
      <c r="W1499" t="s">
        <v>1466</v>
      </c>
      <c r="X1499" t="s">
        <v>1467</v>
      </c>
      <c r="Y1499" t="str">
        <f>"0416856891"</f>
        <v>0416856891</v>
      </c>
      <c r="Z1499" t="s">
        <v>2747</v>
      </c>
      <c r="AB1499" t="s">
        <v>514</v>
      </c>
      <c r="AD1499" t="s">
        <v>61</v>
      </c>
      <c r="AE1499" t="s">
        <v>515</v>
      </c>
      <c r="AF1499">
        <v>2086</v>
      </c>
      <c r="AG1499" t="s">
        <v>516</v>
      </c>
      <c r="AI1499" t="s">
        <v>59</v>
      </c>
      <c r="AL1499" t="s">
        <v>3501</v>
      </c>
      <c r="AN1499" s="3">
        <v>46071.293055555558</v>
      </c>
      <c r="AO1499" t="s">
        <v>1466</v>
      </c>
    </row>
    <row r="1500" spans="1:41" x14ac:dyDescent="0.3">
      <c r="A1500" t="s">
        <v>306</v>
      </c>
      <c r="B1500" t="s">
        <v>2411</v>
      </c>
      <c r="C1500" t="s">
        <v>1354</v>
      </c>
      <c r="D1500" t="s">
        <v>184</v>
      </c>
      <c r="E1500" s="1">
        <v>46070</v>
      </c>
      <c r="F1500" t="s">
        <v>1376</v>
      </c>
      <c r="G1500" t="s">
        <v>485</v>
      </c>
      <c r="H1500" s="2">
        <v>0.79166666666666663</v>
      </c>
      <c r="I1500" s="2">
        <v>0.3125</v>
      </c>
      <c r="J1500" t="s">
        <v>1355</v>
      </c>
      <c r="K1500" t="s">
        <v>530</v>
      </c>
      <c r="L1500" t="s">
        <v>735</v>
      </c>
      <c r="M1500" t="s">
        <v>1651</v>
      </c>
      <c r="N1500" t="s">
        <v>1652</v>
      </c>
      <c r="O1500">
        <v>20581</v>
      </c>
      <c r="Q1500" t="s">
        <v>413</v>
      </c>
      <c r="R1500" t="s">
        <v>476</v>
      </c>
      <c r="S1500" t="s">
        <v>119</v>
      </c>
      <c r="T1500" t="s">
        <v>414</v>
      </c>
      <c r="U1500">
        <v>891447</v>
      </c>
      <c r="V1500" s="3">
        <v>46070.475694444445</v>
      </c>
      <c r="W1500" t="s">
        <v>1654</v>
      </c>
      <c r="X1500" t="s">
        <v>1655</v>
      </c>
      <c r="Y1500" t="str">
        <f>"0420857417"</f>
        <v>0420857417</v>
      </c>
      <c r="Z1500" t="s">
        <v>70</v>
      </c>
      <c r="AB1500" t="s">
        <v>2412</v>
      </c>
      <c r="AD1500" t="s">
        <v>306</v>
      </c>
      <c r="AE1500" t="s">
        <v>827</v>
      </c>
      <c r="AF1500">
        <v>3181</v>
      </c>
      <c r="AI1500" t="s">
        <v>59</v>
      </c>
      <c r="AL1500" t="s">
        <v>1068</v>
      </c>
      <c r="AM1500" t="s">
        <v>3972</v>
      </c>
      <c r="AN1500" s="3">
        <v>46070.477083333331</v>
      </c>
      <c r="AO1500" t="s">
        <v>476</v>
      </c>
    </row>
    <row r="1501" spans="1:41" x14ac:dyDescent="0.3">
      <c r="A1501" t="s">
        <v>168</v>
      </c>
      <c r="B1501" t="s">
        <v>266</v>
      </c>
      <c r="C1501" t="s">
        <v>267</v>
      </c>
      <c r="D1501" t="s">
        <v>268</v>
      </c>
      <c r="E1501" s="1">
        <v>46070</v>
      </c>
      <c r="F1501" t="s">
        <v>1376</v>
      </c>
      <c r="G1501" t="s">
        <v>485</v>
      </c>
      <c r="H1501" s="2">
        <v>0.875</v>
      </c>
      <c r="I1501" s="2">
        <v>0.3125</v>
      </c>
      <c r="J1501" t="s">
        <v>269</v>
      </c>
      <c r="K1501" t="s">
        <v>270</v>
      </c>
      <c r="L1501" t="s">
        <v>47</v>
      </c>
      <c r="M1501" t="s">
        <v>517</v>
      </c>
      <c r="N1501" t="s">
        <v>518</v>
      </c>
      <c r="O1501">
        <v>5951368</v>
      </c>
      <c r="Q1501" t="s">
        <v>274</v>
      </c>
      <c r="R1501" t="s">
        <v>176</v>
      </c>
      <c r="S1501" t="s">
        <v>52</v>
      </c>
      <c r="U1501">
        <v>890951</v>
      </c>
      <c r="V1501" s="3">
        <v>45993.45208333333</v>
      </c>
      <c r="W1501" t="s">
        <v>519</v>
      </c>
      <c r="X1501" t="s">
        <v>520</v>
      </c>
      <c r="Y1501" t="str">
        <f>"0420208072"</f>
        <v>0420208072</v>
      </c>
      <c r="Z1501" t="s">
        <v>3881</v>
      </c>
      <c r="AB1501" t="s">
        <v>277</v>
      </c>
      <c r="AC1501" t="s">
        <v>278</v>
      </c>
      <c r="AD1501" t="s">
        <v>168</v>
      </c>
      <c r="AE1501" t="s">
        <v>279</v>
      </c>
      <c r="AF1501">
        <v>5092</v>
      </c>
      <c r="AG1501" t="s">
        <v>274</v>
      </c>
      <c r="AI1501" t="s">
        <v>59</v>
      </c>
      <c r="AL1501" t="s">
        <v>3973</v>
      </c>
      <c r="AM1501" t="s">
        <v>281</v>
      </c>
      <c r="AN1501" s="3">
        <v>46071.337500000001</v>
      </c>
      <c r="AO1501" t="s">
        <v>519</v>
      </c>
    </row>
    <row r="1502" spans="1:41" x14ac:dyDescent="0.3">
      <c r="A1502" t="s">
        <v>41</v>
      </c>
      <c r="B1502" t="s">
        <v>1168</v>
      </c>
      <c r="D1502" t="s">
        <v>246</v>
      </c>
      <c r="E1502" s="1">
        <v>46070</v>
      </c>
      <c r="F1502" t="s">
        <v>1376</v>
      </c>
      <c r="G1502" t="s">
        <v>45</v>
      </c>
      <c r="H1502" s="2">
        <v>0.875</v>
      </c>
      <c r="I1502" s="2">
        <v>0.3125</v>
      </c>
      <c r="J1502" t="s">
        <v>296</v>
      </c>
      <c r="L1502" t="s">
        <v>1169</v>
      </c>
      <c r="M1502" t="s">
        <v>1170</v>
      </c>
      <c r="N1502" t="s">
        <v>1171</v>
      </c>
      <c r="O1502">
        <v>5952274</v>
      </c>
      <c r="Q1502" t="s">
        <v>1172</v>
      </c>
      <c r="R1502" t="s">
        <v>1173</v>
      </c>
      <c r="S1502" t="s">
        <v>52</v>
      </c>
      <c r="T1502" t="s">
        <v>252</v>
      </c>
      <c r="U1502">
        <v>891464</v>
      </c>
      <c r="V1502" s="3">
        <v>46076.529166666667</v>
      </c>
      <c r="W1502" t="s">
        <v>1173</v>
      </c>
      <c r="X1502" t="s">
        <v>1174</v>
      </c>
      <c r="Y1502" t="str">
        <f>"0432261353"</f>
        <v>0432261353</v>
      </c>
      <c r="Z1502" t="s">
        <v>585</v>
      </c>
      <c r="AA1502" s="1">
        <v>46083</v>
      </c>
      <c r="AB1502" t="s">
        <v>1175</v>
      </c>
      <c r="AD1502" t="s">
        <v>41</v>
      </c>
      <c r="AE1502" t="s">
        <v>1176</v>
      </c>
      <c r="AF1502">
        <v>4680</v>
      </c>
      <c r="AG1502" t="s">
        <v>1177</v>
      </c>
      <c r="AI1502" t="s">
        <v>59</v>
      </c>
      <c r="AJ1502" t="str">
        <f>"0050076336"</f>
        <v>0050076336</v>
      </c>
      <c r="AN1502" s="3">
        <v>46076.529166666667</v>
      </c>
      <c r="AO1502" t="s">
        <v>1173</v>
      </c>
    </row>
    <row r="1503" spans="1:41" x14ac:dyDescent="0.3">
      <c r="A1503" t="s">
        <v>168</v>
      </c>
      <c r="B1503" t="s">
        <v>336</v>
      </c>
      <c r="D1503" t="s">
        <v>268</v>
      </c>
      <c r="E1503" s="1">
        <v>46070</v>
      </c>
      <c r="F1503" t="s">
        <v>1376</v>
      </c>
      <c r="G1503" t="s">
        <v>485</v>
      </c>
      <c r="H1503" s="2">
        <v>0.875</v>
      </c>
      <c r="I1503" s="2">
        <v>0.3125</v>
      </c>
      <c r="J1503" t="s">
        <v>296</v>
      </c>
      <c r="K1503" t="s">
        <v>338</v>
      </c>
      <c r="L1503" t="s">
        <v>522</v>
      </c>
      <c r="M1503" t="s">
        <v>523</v>
      </c>
      <c r="N1503" t="s">
        <v>524</v>
      </c>
      <c r="O1503">
        <v>5951086</v>
      </c>
      <c r="P1503" t="s">
        <v>338</v>
      </c>
      <c r="Q1503" t="s">
        <v>342</v>
      </c>
      <c r="R1503" t="s">
        <v>176</v>
      </c>
      <c r="S1503" t="s">
        <v>52</v>
      </c>
      <c r="U1503">
        <v>890913</v>
      </c>
      <c r="V1503" s="3">
        <v>46052.443055555559</v>
      </c>
      <c r="W1503" t="s">
        <v>525</v>
      </c>
      <c r="X1503" t="s">
        <v>526</v>
      </c>
      <c r="Y1503" t="str">
        <f>"0415251474"</f>
        <v>0415251474</v>
      </c>
      <c r="Z1503" t="s">
        <v>157</v>
      </c>
      <c r="AB1503" t="s">
        <v>346</v>
      </c>
      <c r="AD1503" t="s">
        <v>168</v>
      </c>
      <c r="AE1503" t="s">
        <v>347</v>
      </c>
      <c r="AF1503">
        <v>5042</v>
      </c>
      <c r="AG1503" t="s">
        <v>342</v>
      </c>
      <c r="AI1503" t="s">
        <v>59</v>
      </c>
      <c r="AL1503" t="s">
        <v>3974</v>
      </c>
      <c r="AM1503" t="s">
        <v>349</v>
      </c>
      <c r="AN1503" s="3">
        <v>46070.989583333336</v>
      </c>
      <c r="AO1503" t="s">
        <v>525</v>
      </c>
    </row>
    <row r="1504" spans="1:41" x14ac:dyDescent="0.3">
      <c r="A1504" t="s">
        <v>168</v>
      </c>
      <c r="B1504" t="s">
        <v>336</v>
      </c>
      <c r="D1504" t="s">
        <v>268</v>
      </c>
      <c r="E1504" s="1">
        <v>46070</v>
      </c>
      <c r="F1504" t="s">
        <v>1376</v>
      </c>
      <c r="G1504" t="s">
        <v>485</v>
      </c>
      <c r="H1504" s="2">
        <v>0.875</v>
      </c>
      <c r="I1504" s="2">
        <v>0.3125</v>
      </c>
      <c r="J1504" t="s">
        <v>296</v>
      </c>
      <c r="K1504" t="s">
        <v>338</v>
      </c>
      <c r="L1504" t="s">
        <v>339</v>
      </c>
      <c r="M1504" t="s">
        <v>806</v>
      </c>
      <c r="N1504" t="s">
        <v>1671</v>
      </c>
      <c r="O1504">
        <v>5951069</v>
      </c>
      <c r="P1504" t="s">
        <v>338</v>
      </c>
      <c r="Q1504" t="s">
        <v>342</v>
      </c>
      <c r="R1504" t="s">
        <v>176</v>
      </c>
      <c r="S1504" t="s">
        <v>52</v>
      </c>
      <c r="U1504">
        <v>890851</v>
      </c>
      <c r="V1504" s="3">
        <v>46052.443749999999</v>
      </c>
      <c r="W1504" t="s">
        <v>1672</v>
      </c>
      <c r="X1504" t="s">
        <v>1673</v>
      </c>
      <c r="Y1504" t="str">
        <f>"0402344127"</f>
        <v>0402344127</v>
      </c>
      <c r="Z1504" t="s">
        <v>2417</v>
      </c>
      <c r="AB1504" t="s">
        <v>346</v>
      </c>
      <c r="AD1504" t="s">
        <v>168</v>
      </c>
      <c r="AE1504" t="s">
        <v>347</v>
      </c>
      <c r="AF1504">
        <v>5042</v>
      </c>
      <c r="AG1504" t="s">
        <v>342</v>
      </c>
      <c r="AI1504" t="s">
        <v>59</v>
      </c>
      <c r="AL1504" t="s">
        <v>3975</v>
      </c>
      <c r="AM1504" t="s">
        <v>349</v>
      </c>
      <c r="AN1504" s="3">
        <v>46070.9</v>
      </c>
      <c r="AO1504" t="s">
        <v>1672</v>
      </c>
    </row>
    <row r="1505" spans="1:41" x14ac:dyDescent="0.3">
      <c r="A1505" t="s">
        <v>306</v>
      </c>
      <c r="B1505" t="s">
        <v>1751</v>
      </c>
      <c r="C1505" t="s">
        <v>2947</v>
      </c>
      <c r="D1505" t="s">
        <v>184</v>
      </c>
      <c r="E1505" s="1">
        <v>46070</v>
      </c>
      <c r="F1505" t="s">
        <v>1376</v>
      </c>
      <c r="G1505" t="s">
        <v>485</v>
      </c>
      <c r="H1505" s="2">
        <v>0.91666666666666663</v>
      </c>
      <c r="I1505" s="2">
        <v>0.3125</v>
      </c>
      <c r="J1505" t="s">
        <v>2948</v>
      </c>
      <c r="K1505" t="s">
        <v>530</v>
      </c>
      <c r="L1505" t="s">
        <v>531</v>
      </c>
      <c r="M1505" t="s">
        <v>532</v>
      </c>
      <c r="N1505" t="s">
        <v>533</v>
      </c>
      <c r="O1505">
        <v>20495</v>
      </c>
      <c r="Q1505" t="s">
        <v>413</v>
      </c>
      <c r="R1505" t="s">
        <v>476</v>
      </c>
      <c r="S1505" t="s">
        <v>119</v>
      </c>
      <c r="T1505" t="s">
        <v>414</v>
      </c>
      <c r="U1505">
        <v>891506</v>
      </c>
      <c r="V1505" s="3">
        <v>46070.543749999997</v>
      </c>
      <c r="W1505" t="s">
        <v>535</v>
      </c>
      <c r="X1505" t="s">
        <v>536</v>
      </c>
      <c r="Y1505" t="str">
        <f>"0447625522"</f>
        <v>0447625522</v>
      </c>
      <c r="Z1505" t="s">
        <v>70</v>
      </c>
      <c r="AB1505" t="s">
        <v>1759</v>
      </c>
      <c r="AD1505" t="s">
        <v>306</v>
      </c>
      <c r="AE1505" t="s">
        <v>1760</v>
      </c>
      <c r="AF1505">
        <v>3199</v>
      </c>
      <c r="AI1505" t="s">
        <v>59</v>
      </c>
      <c r="AL1505" t="s">
        <v>3116</v>
      </c>
      <c r="AM1505" t="s">
        <v>3976</v>
      </c>
      <c r="AN1505" s="3">
        <v>46070.757638888892</v>
      </c>
      <c r="AO1505" t="s">
        <v>1248</v>
      </c>
    </row>
    <row r="1506" spans="1:41" x14ac:dyDescent="0.3">
      <c r="A1506" t="s">
        <v>168</v>
      </c>
      <c r="B1506" t="s">
        <v>607</v>
      </c>
      <c r="C1506" t="s">
        <v>267</v>
      </c>
      <c r="D1506" t="s">
        <v>268</v>
      </c>
      <c r="E1506" s="1">
        <v>46070</v>
      </c>
      <c r="F1506" t="s">
        <v>1376</v>
      </c>
      <c r="G1506" t="s">
        <v>45</v>
      </c>
      <c r="H1506" s="2">
        <v>0.91666666666666663</v>
      </c>
      <c r="I1506" s="2">
        <v>0.35416666666666669</v>
      </c>
      <c r="J1506" t="s">
        <v>269</v>
      </c>
      <c r="K1506" t="s">
        <v>608</v>
      </c>
      <c r="L1506" t="s">
        <v>609</v>
      </c>
      <c r="M1506" t="s">
        <v>610</v>
      </c>
      <c r="N1506" t="s">
        <v>611</v>
      </c>
      <c r="O1506">
        <v>5952121</v>
      </c>
      <c r="P1506" t="s">
        <v>249</v>
      </c>
      <c r="Q1506" t="s">
        <v>612</v>
      </c>
      <c r="R1506" t="s">
        <v>613</v>
      </c>
      <c r="S1506" t="s">
        <v>52</v>
      </c>
      <c r="T1506" t="s">
        <v>252</v>
      </c>
      <c r="U1506">
        <v>891456</v>
      </c>
      <c r="V1506" s="3">
        <v>46076.458333333336</v>
      </c>
      <c r="W1506" t="s">
        <v>613</v>
      </c>
      <c r="X1506" t="s">
        <v>614</v>
      </c>
      <c r="Y1506" t="str">
        <f>"0412297150"</f>
        <v>0412297150</v>
      </c>
      <c r="Z1506" t="s">
        <v>254</v>
      </c>
      <c r="AA1506" s="1">
        <v>46077</v>
      </c>
      <c r="AB1506" t="s">
        <v>615</v>
      </c>
      <c r="AC1506" t="s">
        <v>616</v>
      </c>
      <c r="AD1506" t="s">
        <v>168</v>
      </c>
      <c r="AE1506" t="s">
        <v>617</v>
      </c>
      <c r="AF1506">
        <v>5290</v>
      </c>
      <c r="AG1506" t="s">
        <v>618</v>
      </c>
      <c r="AI1506" t="s">
        <v>59</v>
      </c>
      <c r="AJ1506" t="str">
        <f>"0020171780"</f>
        <v>0020171780</v>
      </c>
      <c r="AM1506" t="s">
        <v>3492</v>
      </c>
      <c r="AN1506" s="3">
        <v>46076.458333333336</v>
      </c>
      <c r="AO1506" t="s">
        <v>613</v>
      </c>
    </row>
    <row r="1507" spans="1:41" x14ac:dyDescent="0.3">
      <c r="A1507" t="s">
        <v>168</v>
      </c>
      <c r="B1507" t="s">
        <v>441</v>
      </c>
      <c r="C1507" t="s">
        <v>296</v>
      </c>
      <c r="E1507" s="1">
        <v>46070</v>
      </c>
      <c r="F1507" t="s">
        <v>1376</v>
      </c>
      <c r="G1507" t="s">
        <v>485</v>
      </c>
      <c r="H1507" s="2">
        <v>0.92708333333333337</v>
      </c>
      <c r="I1507" s="2">
        <v>0.30208333333333331</v>
      </c>
      <c r="J1507" t="s">
        <v>296</v>
      </c>
      <c r="K1507" t="s">
        <v>360</v>
      </c>
      <c r="L1507" t="s">
        <v>1453</v>
      </c>
      <c r="M1507" t="s">
        <v>3977</v>
      </c>
      <c r="N1507" t="s">
        <v>3978</v>
      </c>
      <c r="O1507">
        <v>5951466</v>
      </c>
      <c r="Q1507" t="s">
        <v>444</v>
      </c>
      <c r="R1507" t="s">
        <v>445</v>
      </c>
      <c r="S1507" t="s">
        <v>52</v>
      </c>
      <c r="U1507">
        <v>890947</v>
      </c>
      <c r="V1507" s="3">
        <v>46067.53402777778</v>
      </c>
      <c r="W1507" t="s">
        <v>3979</v>
      </c>
      <c r="X1507" t="s">
        <v>3980</v>
      </c>
      <c r="Y1507" t="str">
        <f>"0403142270"</f>
        <v>0403142270</v>
      </c>
      <c r="Z1507" t="s">
        <v>1635</v>
      </c>
      <c r="AA1507" s="1">
        <v>46070</v>
      </c>
      <c r="AB1507" t="s">
        <v>448</v>
      </c>
      <c r="AD1507" t="s">
        <v>168</v>
      </c>
      <c r="AE1507" t="s">
        <v>180</v>
      </c>
      <c r="AF1507">
        <v>5063</v>
      </c>
      <c r="AI1507" t="s">
        <v>59</v>
      </c>
      <c r="AL1507" t="s">
        <v>1121</v>
      </c>
      <c r="AN1507" s="3">
        <v>46071.324999999997</v>
      </c>
      <c r="AO1507" t="s">
        <v>3979</v>
      </c>
    </row>
    <row r="1508" spans="1:41" x14ac:dyDescent="0.3">
      <c r="A1508" t="s">
        <v>41</v>
      </c>
      <c r="B1508" t="s">
        <v>632</v>
      </c>
      <c r="C1508" t="s">
        <v>296</v>
      </c>
      <c r="D1508" t="s">
        <v>246</v>
      </c>
      <c r="E1508" s="1">
        <v>46070</v>
      </c>
      <c r="F1508" t="s">
        <v>1376</v>
      </c>
      <c r="G1508" t="s">
        <v>485</v>
      </c>
      <c r="H1508" s="2">
        <v>0.9375</v>
      </c>
      <c r="I1508" s="2">
        <v>0.29166666666666669</v>
      </c>
      <c r="J1508" t="s">
        <v>296</v>
      </c>
      <c r="K1508" t="s">
        <v>2096</v>
      </c>
      <c r="L1508" t="s">
        <v>428</v>
      </c>
      <c r="M1508" t="s">
        <v>554</v>
      </c>
      <c r="N1508" t="s">
        <v>555</v>
      </c>
      <c r="O1508">
        <v>5950685</v>
      </c>
      <c r="Q1508" t="s">
        <v>2098</v>
      </c>
      <c r="R1508" t="s">
        <v>51</v>
      </c>
      <c r="S1508" t="s">
        <v>52</v>
      </c>
      <c r="U1508">
        <v>890948</v>
      </c>
      <c r="V1508" s="3">
        <v>46063.543055555558</v>
      </c>
      <c r="W1508" t="s">
        <v>557</v>
      </c>
      <c r="X1508" t="s">
        <v>558</v>
      </c>
      <c r="Y1508" t="str">
        <f>"0431966228"</f>
        <v>0431966228</v>
      </c>
      <c r="Z1508" t="s">
        <v>2801</v>
      </c>
      <c r="AB1508" t="s">
        <v>640</v>
      </c>
      <c r="AD1508" t="s">
        <v>41</v>
      </c>
      <c r="AE1508" t="s">
        <v>641</v>
      </c>
      <c r="AF1508">
        <v>4305</v>
      </c>
      <c r="AG1508" t="s">
        <v>3981</v>
      </c>
      <c r="AI1508" t="s">
        <v>59</v>
      </c>
      <c r="AL1508" t="s">
        <v>2802</v>
      </c>
      <c r="AN1508" s="3">
        <v>46071.328472222223</v>
      </c>
      <c r="AO1508" t="s">
        <v>557</v>
      </c>
    </row>
    <row r="1509" spans="1:41" x14ac:dyDescent="0.3">
      <c r="A1509" t="s">
        <v>41</v>
      </c>
      <c r="B1509" t="s">
        <v>632</v>
      </c>
      <c r="C1509" t="s">
        <v>296</v>
      </c>
      <c r="D1509" t="s">
        <v>246</v>
      </c>
      <c r="E1509" s="1">
        <v>46070</v>
      </c>
      <c r="F1509" t="s">
        <v>1376</v>
      </c>
      <c r="G1509" t="s">
        <v>485</v>
      </c>
      <c r="H1509" s="2">
        <v>0.9375</v>
      </c>
      <c r="I1509" s="2">
        <v>0.29166666666666669</v>
      </c>
      <c r="J1509" t="s">
        <v>464</v>
      </c>
      <c r="K1509" t="s">
        <v>2096</v>
      </c>
      <c r="L1509" t="s">
        <v>540</v>
      </c>
      <c r="M1509" t="s">
        <v>3982</v>
      </c>
      <c r="N1509" t="s">
        <v>1542</v>
      </c>
      <c r="O1509">
        <v>5952337</v>
      </c>
      <c r="Q1509" t="s">
        <v>2976</v>
      </c>
      <c r="R1509" t="s">
        <v>51</v>
      </c>
      <c r="S1509" t="s">
        <v>52</v>
      </c>
      <c r="U1509">
        <v>890949</v>
      </c>
      <c r="V1509" s="3">
        <v>46063.561805555553</v>
      </c>
      <c r="W1509" t="s">
        <v>3983</v>
      </c>
      <c r="X1509" t="s">
        <v>3984</v>
      </c>
      <c r="Y1509" t="str">
        <f>"0478173740"</f>
        <v>0478173740</v>
      </c>
      <c r="Z1509" t="s">
        <v>1862</v>
      </c>
      <c r="AB1509" t="s">
        <v>640</v>
      </c>
      <c r="AD1509" t="s">
        <v>41</v>
      </c>
      <c r="AE1509" t="s">
        <v>641</v>
      </c>
      <c r="AF1509">
        <v>4305</v>
      </c>
      <c r="AG1509" t="s">
        <v>2098</v>
      </c>
      <c r="AI1509" t="s">
        <v>59</v>
      </c>
      <c r="AL1509" t="s">
        <v>1407</v>
      </c>
      <c r="AN1509" s="3">
        <v>46071.331944444442</v>
      </c>
      <c r="AO1509" t="s">
        <v>3983</v>
      </c>
    </row>
    <row r="1510" spans="1:41" x14ac:dyDescent="0.3">
      <c r="A1510" t="s">
        <v>168</v>
      </c>
      <c r="B1510" t="s">
        <v>336</v>
      </c>
      <c r="C1510" t="s">
        <v>100</v>
      </c>
      <c r="D1510" t="s">
        <v>268</v>
      </c>
      <c r="E1510" s="1">
        <v>46070</v>
      </c>
      <c r="F1510" t="s">
        <v>1376</v>
      </c>
      <c r="G1510" t="s">
        <v>485</v>
      </c>
      <c r="H1510" s="2">
        <v>0.95833333333333337</v>
      </c>
      <c r="I1510" s="2">
        <v>0.3125</v>
      </c>
      <c r="J1510" t="s">
        <v>100</v>
      </c>
      <c r="L1510" t="s">
        <v>100</v>
      </c>
      <c r="M1510" t="s">
        <v>411</v>
      </c>
      <c r="N1510" t="s">
        <v>412</v>
      </c>
      <c r="O1510">
        <v>228</v>
      </c>
      <c r="Q1510" t="s">
        <v>3985</v>
      </c>
      <c r="R1510" t="s">
        <v>231</v>
      </c>
      <c r="S1510" t="s">
        <v>52</v>
      </c>
      <c r="U1510">
        <v>890946</v>
      </c>
      <c r="V1510" s="3">
        <v>46070.501388888886</v>
      </c>
      <c r="W1510" t="s">
        <v>415</v>
      </c>
      <c r="X1510" t="s">
        <v>416</v>
      </c>
      <c r="Y1510" t="str">
        <f>"0414869673"</f>
        <v>0414869673</v>
      </c>
      <c r="Z1510" t="s">
        <v>70</v>
      </c>
      <c r="AA1510" s="1">
        <v>46070</v>
      </c>
      <c r="AB1510" t="s">
        <v>346</v>
      </c>
      <c r="AD1510" t="s">
        <v>168</v>
      </c>
      <c r="AE1510" t="s">
        <v>347</v>
      </c>
      <c r="AF1510">
        <v>5042</v>
      </c>
      <c r="AG1510" t="s">
        <v>3986</v>
      </c>
      <c r="AI1510" t="s">
        <v>59</v>
      </c>
      <c r="AL1510" t="s">
        <v>3987</v>
      </c>
      <c r="AN1510" s="3">
        <v>46071.324999999997</v>
      </c>
      <c r="AO1510" t="s">
        <v>415</v>
      </c>
    </row>
    <row r="1511" spans="1:41" x14ac:dyDescent="0.3">
      <c r="A1511" t="s">
        <v>61</v>
      </c>
      <c r="B1511" t="s">
        <v>578</v>
      </c>
      <c r="D1511" t="s">
        <v>579</v>
      </c>
      <c r="E1511" s="1">
        <v>46040</v>
      </c>
      <c r="F1511" t="s">
        <v>1617</v>
      </c>
      <c r="G1511" t="s">
        <v>45</v>
      </c>
      <c r="H1511" s="2">
        <v>0.29166666666666669</v>
      </c>
      <c r="I1511" s="2">
        <v>0.29236111111111113</v>
      </c>
      <c r="J1511" t="s">
        <v>269</v>
      </c>
      <c r="L1511" t="s">
        <v>172</v>
      </c>
      <c r="M1511" t="s">
        <v>580</v>
      </c>
      <c r="N1511" t="s">
        <v>581</v>
      </c>
      <c r="O1511">
        <v>5951721</v>
      </c>
      <c r="P1511" t="s">
        <v>571</v>
      </c>
      <c r="Q1511" t="s">
        <v>582</v>
      </c>
      <c r="R1511" t="s">
        <v>573</v>
      </c>
      <c r="S1511" t="s">
        <v>119</v>
      </c>
      <c r="T1511" t="s">
        <v>2969</v>
      </c>
      <c r="U1511">
        <v>887684</v>
      </c>
      <c r="V1511" s="3">
        <v>46041.615277777775</v>
      </c>
      <c r="W1511" t="s">
        <v>583</v>
      </c>
      <c r="X1511" t="s">
        <v>584</v>
      </c>
      <c r="Y1511" t="str">
        <f>"0456677559"</f>
        <v>0456677559</v>
      </c>
      <c r="Z1511" t="s">
        <v>55</v>
      </c>
      <c r="AA1511" s="1">
        <v>46061</v>
      </c>
      <c r="AB1511" t="s">
        <v>586</v>
      </c>
      <c r="AD1511" t="s">
        <v>61</v>
      </c>
      <c r="AE1511" t="s">
        <v>587</v>
      </c>
      <c r="AF1511">
        <v>2320</v>
      </c>
      <c r="AG1511" t="s">
        <v>588</v>
      </c>
      <c r="AI1511" t="s">
        <v>59</v>
      </c>
      <c r="AJ1511" t="str">
        <f>"0010193654"</f>
        <v>0010193654</v>
      </c>
      <c r="AN1511" s="3">
        <v>46041.615277777775</v>
      </c>
      <c r="AO1511" t="s">
        <v>573</v>
      </c>
    </row>
    <row r="1512" spans="1:41" x14ac:dyDescent="0.3">
      <c r="A1512" t="s">
        <v>41</v>
      </c>
      <c r="B1512" t="s">
        <v>568</v>
      </c>
      <c r="C1512" t="s">
        <v>602</v>
      </c>
      <c r="D1512" t="s">
        <v>246</v>
      </c>
      <c r="E1512" s="1">
        <v>46040</v>
      </c>
      <c r="F1512" t="s">
        <v>1617</v>
      </c>
      <c r="G1512" t="s">
        <v>45</v>
      </c>
      <c r="H1512" s="2">
        <v>0.29166666666666669</v>
      </c>
      <c r="I1512" s="2">
        <v>0.64583333333333337</v>
      </c>
      <c r="J1512" t="s">
        <v>269</v>
      </c>
      <c r="L1512" t="s">
        <v>47</v>
      </c>
      <c r="M1512" t="s">
        <v>603</v>
      </c>
      <c r="N1512" t="s">
        <v>604</v>
      </c>
      <c r="O1512">
        <v>80</v>
      </c>
      <c r="P1512" t="s">
        <v>571</v>
      </c>
      <c r="Q1512" t="s">
        <v>572</v>
      </c>
      <c r="R1512" t="s">
        <v>573</v>
      </c>
      <c r="S1512" t="s">
        <v>52</v>
      </c>
      <c r="T1512" t="s">
        <v>252</v>
      </c>
      <c r="U1512">
        <v>887522</v>
      </c>
      <c r="V1512" s="3">
        <v>46041.507638888892</v>
      </c>
      <c r="W1512" t="s">
        <v>605</v>
      </c>
      <c r="X1512" t="s">
        <v>606</v>
      </c>
      <c r="Y1512" t="str">
        <f>"0414330986"</f>
        <v>0414330986</v>
      </c>
      <c r="Z1512" t="s">
        <v>375</v>
      </c>
      <c r="AA1512" s="1">
        <v>46068</v>
      </c>
      <c r="AB1512" t="s">
        <v>576</v>
      </c>
      <c r="AD1512" t="s">
        <v>41</v>
      </c>
      <c r="AE1512" t="s">
        <v>577</v>
      </c>
      <c r="AF1512">
        <v>4700</v>
      </c>
      <c r="AG1512" t="s">
        <v>572</v>
      </c>
      <c r="AI1512" t="s">
        <v>59</v>
      </c>
      <c r="AJ1512" t="str">
        <f>"0050075176"</f>
        <v>0050075176</v>
      </c>
      <c r="AN1512" s="3">
        <v>46041.507638888892</v>
      </c>
      <c r="AO1512" t="s">
        <v>573</v>
      </c>
    </row>
    <row r="1513" spans="1:41" x14ac:dyDescent="0.3">
      <c r="A1513" t="s">
        <v>168</v>
      </c>
      <c r="B1513" t="s">
        <v>607</v>
      </c>
      <c r="C1513" t="s">
        <v>267</v>
      </c>
      <c r="D1513" t="s">
        <v>268</v>
      </c>
      <c r="E1513" s="1">
        <v>46040</v>
      </c>
      <c r="F1513" t="s">
        <v>1617</v>
      </c>
      <c r="G1513" t="s">
        <v>45</v>
      </c>
      <c r="H1513" s="2">
        <v>0.60416666666666663</v>
      </c>
      <c r="I1513" s="2">
        <v>0.95833333333333337</v>
      </c>
      <c r="J1513" t="s">
        <v>269</v>
      </c>
      <c r="K1513" t="s">
        <v>608</v>
      </c>
      <c r="L1513" t="s">
        <v>609</v>
      </c>
      <c r="M1513" t="s">
        <v>610</v>
      </c>
      <c r="N1513" t="s">
        <v>611</v>
      </c>
      <c r="O1513">
        <v>5952121</v>
      </c>
      <c r="P1513" t="s">
        <v>249</v>
      </c>
      <c r="Q1513" t="s">
        <v>612</v>
      </c>
      <c r="R1513" t="s">
        <v>613</v>
      </c>
      <c r="S1513" t="s">
        <v>52</v>
      </c>
      <c r="T1513" t="s">
        <v>252</v>
      </c>
      <c r="U1513">
        <v>887484</v>
      </c>
      <c r="V1513" s="3">
        <v>46041.373611111114</v>
      </c>
      <c r="W1513" t="s">
        <v>613</v>
      </c>
      <c r="X1513" t="s">
        <v>614</v>
      </c>
      <c r="Y1513" t="str">
        <f>"0412297150"</f>
        <v>0412297150</v>
      </c>
      <c r="Z1513" t="s">
        <v>1635</v>
      </c>
      <c r="AA1513" s="1">
        <v>46077</v>
      </c>
      <c r="AB1513" t="s">
        <v>615</v>
      </c>
      <c r="AC1513" t="s">
        <v>616</v>
      </c>
      <c r="AD1513" t="s">
        <v>168</v>
      </c>
      <c r="AE1513" t="s">
        <v>617</v>
      </c>
      <c r="AF1513">
        <v>5290</v>
      </c>
      <c r="AG1513" t="s">
        <v>618</v>
      </c>
      <c r="AI1513" t="s">
        <v>59</v>
      </c>
      <c r="AJ1513" t="str">
        <f>"0020171780"</f>
        <v>0020171780</v>
      </c>
      <c r="AM1513" t="s">
        <v>619</v>
      </c>
      <c r="AN1513" s="3">
        <v>46041.373611111114</v>
      </c>
      <c r="AO1513" t="s">
        <v>613</v>
      </c>
    </row>
    <row r="1514" spans="1:41" x14ac:dyDescent="0.3">
      <c r="A1514" t="s">
        <v>41</v>
      </c>
      <c r="B1514" t="s">
        <v>589</v>
      </c>
      <c r="C1514" t="s">
        <v>590</v>
      </c>
      <c r="D1514" t="s">
        <v>246</v>
      </c>
      <c r="E1514" s="1">
        <v>46040</v>
      </c>
      <c r="F1514" t="s">
        <v>1617</v>
      </c>
      <c r="G1514" t="s">
        <v>128</v>
      </c>
      <c r="H1514" s="2">
        <v>0.80208333333333337</v>
      </c>
      <c r="I1514" s="2">
        <v>0.30208333333333331</v>
      </c>
      <c r="J1514" t="s">
        <v>591</v>
      </c>
      <c r="L1514" t="s">
        <v>592</v>
      </c>
      <c r="M1514" t="s">
        <v>593</v>
      </c>
      <c r="N1514" t="s">
        <v>594</v>
      </c>
      <c r="O1514">
        <v>5952427</v>
      </c>
      <c r="P1514" t="s">
        <v>595</v>
      </c>
      <c r="Q1514" t="s">
        <v>596</v>
      </c>
      <c r="R1514" t="s">
        <v>392</v>
      </c>
      <c r="S1514" t="s">
        <v>52</v>
      </c>
      <c r="T1514" t="s">
        <v>252</v>
      </c>
      <c r="U1514">
        <v>887514</v>
      </c>
      <c r="V1514" s="3">
        <v>46041.462500000001</v>
      </c>
      <c r="W1514" t="s">
        <v>597</v>
      </c>
      <c r="X1514" t="s">
        <v>598</v>
      </c>
      <c r="Y1514" t="str">
        <f>"0432677728"</f>
        <v>0432677728</v>
      </c>
      <c r="Z1514" t="s">
        <v>375</v>
      </c>
      <c r="AA1514" s="1">
        <v>46054</v>
      </c>
      <c r="AB1514" t="s">
        <v>599</v>
      </c>
      <c r="AC1514" t="s">
        <v>600</v>
      </c>
      <c r="AD1514" t="s">
        <v>41</v>
      </c>
      <c r="AE1514" t="s">
        <v>600</v>
      </c>
      <c r="AF1514">
        <v>4610</v>
      </c>
      <c r="AG1514" t="s">
        <v>601</v>
      </c>
      <c r="AI1514" t="s">
        <v>59</v>
      </c>
      <c r="AJ1514" t="str">
        <f>"0050075752"</f>
        <v>0050075752</v>
      </c>
      <c r="AN1514" s="3">
        <v>46041.462500000001</v>
      </c>
      <c r="AO1514" t="s">
        <v>392</v>
      </c>
    </row>
    <row r="1515" spans="1:41" x14ac:dyDescent="0.3">
      <c r="A1515" t="s">
        <v>41</v>
      </c>
      <c r="B1515" t="s">
        <v>568</v>
      </c>
      <c r="D1515" t="s">
        <v>246</v>
      </c>
      <c r="E1515" s="1">
        <v>46040</v>
      </c>
      <c r="F1515" t="s">
        <v>1617</v>
      </c>
      <c r="G1515" t="s">
        <v>485</v>
      </c>
      <c r="H1515" s="2">
        <v>0.94791666666666663</v>
      </c>
      <c r="I1515" s="2">
        <v>0.30208333333333331</v>
      </c>
      <c r="J1515" t="s">
        <v>269</v>
      </c>
      <c r="L1515" t="s">
        <v>172</v>
      </c>
      <c r="M1515" t="s">
        <v>311</v>
      </c>
      <c r="N1515" t="s">
        <v>570</v>
      </c>
      <c r="O1515">
        <v>5951685</v>
      </c>
      <c r="P1515" t="s">
        <v>571</v>
      </c>
      <c r="Q1515" t="s">
        <v>572</v>
      </c>
      <c r="R1515" t="s">
        <v>573</v>
      </c>
      <c r="S1515" t="s">
        <v>52</v>
      </c>
      <c r="T1515" t="s">
        <v>252</v>
      </c>
      <c r="U1515">
        <v>887547</v>
      </c>
      <c r="V1515" s="3">
        <v>46041.582638888889</v>
      </c>
      <c r="W1515" t="s">
        <v>574</v>
      </c>
      <c r="X1515" t="s">
        <v>575</v>
      </c>
      <c r="Y1515" t="str">
        <f>"0407007024"</f>
        <v>0407007024</v>
      </c>
      <c r="Z1515" t="s">
        <v>234</v>
      </c>
      <c r="AA1515" s="1">
        <v>46075</v>
      </c>
      <c r="AB1515" t="s">
        <v>576</v>
      </c>
      <c r="AD1515" t="s">
        <v>41</v>
      </c>
      <c r="AE1515" t="s">
        <v>577</v>
      </c>
      <c r="AF1515">
        <v>4700</v>
      </c>
      <c r="AG1515" t="s">
        <v>572</v>
      </c>
      <c r="AI1515" t="s">
        <v>59</v>
      </c>
      <c r="AJ1515" t="str">
        <f>"0050076113"</f>
        <v>0050076113</v>
      </c>
      <c r="AN1515" s="3">
        <v>46041.582638888889</v>
      </c>
      <c r="AO1515" t="s">
        <v>573</v>
      </c>
    </row>
    <row r="1516" spans="1:41" x14ac:dyDescent="0.3">
      <c r="A1516" t="s">
        <v>168</v>
      </c>
      <c r="B1516" t="s">
        <v>215</v>
      </c>
      <c r="C1516" t="s">
        <v>43</v>
      </c>
      <c r="D1516" t="s">
        <v>127</v>
      </c>
      <c r="E1516" s="1">
        <v>46071</v>
      </c>
      <c r="F1516" t="s">
        <v>44</v>
      </c>
      <c r="G1516" t="s">
        <v>45</v>
      </c>
      <c r="H1516" s="2">
        <v>0.27083333333333331</v>
      </c>
      <c r="I1516" s="2">
        <v>0.58333333333333337</v>
      </c>
      <c r="J1516" t="s">
        <v>258</v>
      </c>
      <c r="K1516" t="s">
        <v>259</v>
      </c>
      <c r="L1516" t="s">
        <v>743</v>
      </c>
      <c r="M1516" t="s">
        <v>3988</v>
      </c>
      <c r="N1516" t="s">
        <v>3891</v>
      </c>
      <c r="O1516">
        <v>22792</v>
      </c>
      <c r="Q1516" t="s">
        <v>219</v>
      </c>
      <c r="R1516" t="s">
        <v>556</v>
      </c>
      <c r="S1516" t="s">
        <v>52</v>
      </c>
      <c r="U1516">
        <v>890957</v>
      </c>
      <c r="V1516" s="3">
        <v>46057.047222222223</v>
      </c>
      <c r="W1516" t="s">
        <v>3989</v>
      </c>
      <c r="X1516" t="s">
        <v>3990</v>
      </c>
      <c r="Y1516" t="str">
        <f>"0426992691"</f>
        <v>0426992691</v>
      </c>
      <c r="Z1516" t="s">
        <v>70</v>
      </c>
      <c r="AA1516" s="1">
        <v>46071</v>
      </c>
      <c r="AB1516" t="s">
        <v>222</v>
      </c>
      <c r="AD1516" t="s">
        <v>168</v>
      </c>
      <c r="AE1516" t="s">
        <v>223</v>
      </c>
      <c r="AF1516">
        <v>5069</v>
      </c>
      <c r="AG1516" t="s">
        <v>219</v>
      </c>
      <c r="AI1516" t="s">
        <v>59</v>
      </c>
      <c r="AL1516" t="s">
        <v>1121</v>
      </c>
      <c r="AN1516" s="3">
        <v>46071.498611111114</v>
      </c>
      <c r="AO1516" t="s">
        <v>3989</v>
      </c>
    </row>
    <row r="1517" spans="1:41" x14ac:dyDescent="0.3">
      <c r="A1517" t="s">
        <v>41</v>
      </c>
      <c r="B1517" t="s">
        <v>1705</v>
      </c>
      <c r="C1517" t="s">
        <v>43</v>
      </c>
      <c r="D1517" t="s">
        <v>1706</v>
      </c>
      <c r="E1517" s="1">
        <v>46071</v>
      </c>
      <c r="F1517" t="s">
        <v>44</v>
      </c>
      <c r="G1517" t="s">
        <v>45</v>
      </c>
      <c r="H1517" s="2">
        <v>0.27083333333333331</v>
      </c>
      <c r="I1517" s="2">
        <v>0.52083333333333337</v>
      </c>
      <c r="J1517" t="s">
        <v>46</v>
      </c>
      <c r="L1517" t="s">
        <v>2444</v>
      </c>
      <c r="M1517" t="s">
        <v>2445</v>
      </c>
      <c r="N1517" t="s">
        <v>2446</v>
      </c>
      <c r="O1517">
        <v>20620</v>
      </c>
      <c r="Q1517" t="s">
        <v>1707</v>
      </c>
      <c r="R1517" t="s">
        <v>51</v>
      </c>
      <c r="S1517" t="s">
        <v>52</v>
      </c>
      <c r="U1517">
        <v>890954</v>
      </c>
      <c r="V1517" s="3">
        <v>46065.529861111114</v>
      </c>
      <c r="W1517" t="s">
        <v>2448</v>
      </c>
      <c r="X1517" t="s">
        <v>2449</v>
      </c>
      <c r="Y1517" t="str">
        <f>"0408694662"</f>
        <v>0408694662</v>
      </c>
      <c r="Z1517" t="s">
        <v>503</v>
      </c>
      <c r="AB1517" t="s">
        <v>1708</v>
      </c>
      <c r="AC1517" t="s">
        <v>1562</v>
      </c>
      <c r="AD1517" t="s">
        <v>41</v>
      </c>
      <c r="AE1517" t="s">
        <v>1563</v>
      </c>
      <c r="AF1517">
        <v>4109</v>
      </c>
      <c r="AG1517" t="s">
        <v>1707</v>
      </c>
      <c r="AI1517" t="s">
        <v>59</v>
      </c>
      <c r="AL1517" t="s">
        <v>2901</v>
      </c>
      <c r="AN1517" s="3">
        <v>46071.484027777777</v>
      </c>
      <c r="AO1517" t="s">
        <v>2448</v>
      </c>
    </row>
    <row r="1518" spans="1:41" x14ac:dyDescent="0.3">
      <c r="A1518" t="s">
        <v>41</v>
      </c>
      <c r="B1518" t="s">
        <v>632</v>
      </c>
      <c r="C1518" t="s">
        <v>296</v>
      </c>
      <c r="D1518" t="s">
        <v>246</v>
      </c>
      <c r="E1518" s="1">
        <v>46071</v>
      </c>
      <c r="F1518" t="s">
        <v>44</v>
      </c>
      <c r="G1518" t="s">
        <v>45</v>
      </c>
      <c r="H1518" s="2">
        <v>0.27083333333333331</v>
      </c>
      <c r="I1518" s="2">
        <v>0.625</v>
      </c>
      <c r="J1518" t="s">
        <v>464</v>
      </c>
      <c r="K1518" t="s">
        <v>2096</v>
      </c>
      <c r="L1518" t="s">
        <v>2973</v>
      </c>
      <c r="M1518" t="s">
        <v>2974</v>
      </c>
      <c r="N1518" t="s">
        <v>2975</v>
      </c>
      <c r="O1518">
        <v>400791</v>
      </c>
      <c r="Q1518" t="s">
        <v>2976</v>
      </c>
      <c r="R1518" t="s">
        <v>51</v>
      </c>
      <c r="S1518" t="s">
        <v>52</v>
      </c>
      <c r="U1518">
        <v>890984</v>
      </c>
      <c r="V1518" s="3">
        <v>46063.55</v>
      </c>
      <c r="W1518" t="s">
        <v>2977</v>
      </c>
      <c r="X1518" t="s">
        <v>2978</v>
      </c>
      <c r="Y1518" t="str">
        <f>"0423500814"</f>
        <v>0423500814</v>
      </c>
      <c r="Z1518" t="s">
        <v>2417</v>
      </c>
      <c r="AB1518" t="s">
        <v>640</v>
      </c>
      <c r="AD1518" t="s">
        <v>41</v>
      </c>
      <c r="AE1518" t="s">
        <v>641</v>
      </c>
      <c r="AF1518">
        <v>4305</v>
      </c>
      <c r="AG1518" t="s">
        <v>2098</v>
      </c>
      <c r="AI1518" t="s">
        <v>59</v>
      </c>
      <c r="AL1518" t="s">
        <v>1407</v>
      </c>
      <c r="AN1518" s="3">
        <v>46071.665277777778</v>
      </c>
      <c r="AO1518" t="s">
        <v>2977</v>
      </c>
    </row>
    <row r="1519" spans="1:41" x14ac:dyDescent="0.3">
      <c r="A1519" t="s">
        <v>168</v>
      </c>
      <c r="B1519" t="s">
        <v>409</v>
      </c>
      <c r="C1519" t="s">
        <v>1869</v>
      </c>
      <c r="D1519" t="s">
        <v>309</v>
      </c>
      <c r="E1519" s="1">
        <v>46071</v>
      </c>
      <c r="F1519" t="s">
        <v>44</v>
      </c>
      <c r="G1519" t="s">
        <v>45</v>
      </c>
      <c r="H1519" s="2">
        <v>0.27083333333333331</v>
      </c>
      <c r="I1519" s="2">
        <v>0.52083333333333337</v>
      </c>
      <c r="J1519" t="s">
        <v>170</v>
      </c>
      <c r="K1519" t="s">
        <v>171</v>
      </c>
      <c r="M1519" t="s">
        <v>1541</v>
      </c>
      <c r="N1519" t="s">
        <v>1542</v>
      </c>
      <c r="O1519">
        <v>5952200</v>
      </c>
      <c r="Q1519" t="s">
        <v>705</v>
      </c>
      <c r="R1519" t="s">
        <v>500</v>
      </c>
      <c r="S1519" t="s">
        <v>52</v>
      </c>
      <c r="U1519">
        <v>890978</v>
      </c>
      <c r="V1519" s="3">
        <v>46069.759027777778</v>
      </c>
      <c r="W1519" t="s">
        <v>1543</v>
      </c>
      <c r="X1519" t="s">
        <v>1544</v>
      </c>
      <c r="Y1519" t="str">
        <f>"0450971472"</f>
        <v>0450971472</v>
      </c>
      <c r="Z1519" t="s">
        <v>70</v>
      </c>
      <c r="AA1519" s="1">
        <v>46071</v>
      </c>
      <c r="AB1519" t="s">
        <v>417</v>
      </c>
      <c r="AD1519" t="s">
        <v>168</v>
      </c>
      <c r="AE1519" t="s">
        <v>384</v>
      </c>
      <c r="AF1519">
        <v>5000</v>
      </c>
      <c r="AI1519" t="s">
        <v>59</v>
      </c>
      <c r="AL1519" t="s">
        <v>3991</v>
      </c>
      <c r="AM1519" t="s">
        <v>3992</v>
      </c>
      <c r="AN1519" s="3">
        <v>46071.64166666667</v>
      </c>
      <c r="AO1519" t="s">
        <v>1543</v>
      </c>
    </row>
    <row r="1520" spans="1:41" x14ac:dyDescent="0.3">
      <c r="A1520" t="s">
        <v>168</v>
      </c>
      <c r="B1520" t="s">
        <v>326</v>
      </c>
      <c r="C1520" t="s">
        <v>1150</v>
      </c>
      <c r="D1520" t="s">
        <v>127</v>
      </c>
      <c r="E1520" s="1">
        <v>46071</v>
      </c>
      <c r="F1520" t="s">
        <v>44</v>
      </c>
      <c r="G1520" t="s">
        <v>45</v>
      </c>
      <c r="H1520" s="2">
        <v>0.29166666666666669</v>
      </c>
      <c r="I1520" s="2">
        <v>0.54166666666666663</v>
      </c>
      <c r="J1520" t="s">
        <v>101</v>
      </c>
      <c r="L1520" t="s">
        <v>159</v>
      </c>
      <c r="M1520" t="s">
        <v>1151</v>
      </c>
      <c r="N1520" t="s">
        <v>1152</v>
      </c>
      <c r="O1520">
        <v>13</v>
      </c>
      <c r="Q1520" t="s">
        <v>3064</v>
      </c>
      <c r="R1520" t="s">
        <v>3993</v>
      </c>
      <c r="S1520" t="s">
        <v>52</v>
      </c>
      <c r="U1520">
        <v>890982</v>
      </c>
      <c r="V1520" s="3">
        <v>46069.310416666667</v>
      </c>
      <c r="W1520" t="s">
        <v>1153</v>
      </c>
      <c r="X1520" t="s">
        <v>1154</v>
      </c>
      <c r="Y1520" t="str">
        <f>"0424485060"</f>
        <v>0424485060</v>
      </c>
      <c r="Z1520" t="s">
        <v>70</v>
      </c>
      <c r="AA1520" s="1">
        <v>46071</v>
      </c>
      <c r="AB1520" t="s">
        <v>333</v>
      </c>
      <c r="AD1520" t="s">
        <v>168</v>
      </c>
      <c r="AE1520" t="s">
        <v>334</v>
      </c>
      <c r="AF1520">
        <v>5034</v>
      </c>
      <c r="AI1520" t="s">
        <v>59</v>
      </c>
      <c r="AL1520" t="s">
        <v>1121</v>
      </c>
      <c r="AN1520" s="3">
        <v>46071.662499999999</v>
      </c>
      <c r="AO1520" t="s">
        <v>1153</v>
      </c>
    </row>
    <row r="1521" spans="1:41" x14ac:dyDescent="0.3">
      <c r="A1521" t="s">
        <v>61</v>
      </c>
      <c r="B1521" t="s">
        <v>126</v>
      </c>
      <c r="C1521" t="s">
        <v>43</v>
      </c>
      <c r="D1521" t="s">
        <v>127</v>
      </c>
      <c r="E1521" s="1">
        <v>46071</v>
      </c>
      <c r="F1521" t="s">
        <v>44</v>
      </c>
      <c r="G1521" t="s">
        <v>45</v>
      </c>
      <c r="H1521" s="2">
        <v>0.29166666666666669</v>
      </c>
      <c r="I1521" s="2">
        <v>0.99861111111111112</v>
      </c>
      <c r="J1521" t="s">
        <v>46</v>
      </c>
      <c r="L1521" t="s">
        <v>47</v>
      </c>
      <c r="M1521" t="s">
        <v>129</v>
      </c>
      <c r="N1521" t="s">
        <v>130</v>
      </c>
      <c r="O1521">
        <v>21231</v>
      </c>
      <c r="Q1521" t="s">
        <v>131</v>
      </c>
      <c r="R1521" t="s">
        <v>132</v>
      </c>
      <c r="S1521" t="s">
        <v>52</v>
      </c>
      <c r="U1521">
        <v>890999</v>
      </c>
      <c r="V1521" s="3">
        <v>46042.632638888892</v>
      </c>
      <c r="W1521" t="s">
        <v>133</v>
      </c>
      <c r="X1521" t="s">
        <v>134</v>
      </c>
      <c r="Y1521" t="str">
        <f>"0425328222"</f>
        <v>0425328222</v>
      </c>
      <c r="Z1521" t="s">
        <v>3609</v>
      </c>
      <c r="AB1521" t="s">
        <v>136</v>
      </c>
      <c r="AD1521" t="s">
        <v>61</v>
      </c>
      <c r="AE1521" t="s">
        <v>137</v>
      </c>
      <c r="AF1521">
        <v>2032</v>
      </c>
      <c r="AG1521" t="s">
        <v>131</v>
      </c>
      <c r="AI1521" t="s">
        <v>59</v>
      </c>
      <c r="AL1521" t="s">
        <v>3994</v>
      </c>
      <c r="AN1521" s="3">
        <v>46071.739583333336</v>
      </c>
      <c r="AO1521" t="s">
        <v>133</v>
      </c>
    </row>
    <row r="1522" spans="1:41" x14ac:dyDescent="0.3">
      <c r="A1522" t="s">
        <v>41</v>
      </c>
      <c r="B1522" t="s">
        <v>965</v>
      </c>
      <c r="C1522" t="s">
        <v>43</v>
      </c>
      <c r="D1522" t="s">
        <v>966</v>
      </c>
      <c r="E1522" s="1">
        <v>46071</v>
      </c>
      <c r="F1522" t="s">
        <v>44</v>
      </c>
      <c r="G1522" t="s">
        <v>45</v>
      </c>
      <c r="H1522" s="2">
        <v>0.29166666666666669</v>
      </c>
      <c r="I1522" s="2">
        <v>0.54166666666666663</v>
      </c>
      <c r="J1522" t="s">
        <v>185</v>
      </c>
      <c r="L1522" t="s">
        <v>186</v>
      </c>
      <c r="M1522" t="s">
        <v>1558</v>
      </c>
      <c r="N1522" t="s">
        <v>1055</v>
      </c>
      <c r="O1522">
        <v>5952442</v>
      </c>
      <c r="Q1522" t="s">
        <v>823</v>
      </c>
      <c r="R1522" t="s">
        <v>51</v>
      </c>
      <c r="S1522" t="s">
        <v>52</v>
      </c>
      <c r="U1522">
        <v>890972</v>
      </c>
      <c r="V1522" s="3">
        <v>46069.636111111111</v>
      </c>
      <c r="W1522" t="s">
        <v>1560</v>
      </c>
      <c r="X1522" t="s">
        <v>1561</v>
      </c>
      <c r="Y1522" t="str">
        <f>"0459639482"</f>
        <v>0459639482</v>
      </c>
      <c r="Z1522" t="s">
        <v>70</v>
      </c>
      <c r="AA1522" s="1">
        <v>46071</v>
      </c>
      <c r="AB1522" t="s">
        <v>972</v>
      </c>
      <c r="AD1522" t="s">
        <v>41</v>
      </c>
      <c r="AE1522" t="s">
        <v>973</v>
      </c>
      <c r="AF1522">
        <v>4068</v>
      </c>
      <c r="AG1522" t="s">
        <v>823</v>
      </c>
      <c r="AI1522" t="s">
        <v>59</v>
      </c>
      <c r="AL1522" t="s">
        <v>3995</v>
      </c>
      <c r="AN1522" s="3">
        <v>46071.573611111111</v>
      </c>
      <c r="AO1522" t="s">
        <v>1560</v>
      </c>
    </row>
    <row r="1523" spans="1:41" x14ac:dyDescent="0.3">
      <c r="A1523" t="s">
        <v>168</v>
      </c>
      <c r="B1523" t="s">
        <v>336</v>
      </c>
      <c r="C1523" t="s">
        <v>602</v>
      </c>
      <c r="D1523" t="s">
        <v>268</v>
      </c>
      <c r="E1523" s="1">
        <v>46071</v>
      </c>
      <c r="F1523" t="s">
        <v>44</v>
      </c>
      <c r="G1523" t="s">
        <v>45</v>
      </c>
      <c r="H1523" s="2">
        <v>0.29166666666666669</v>
      </c>
      <c r="I1523" s="2">
        <v>0.64583333333333337</v>
      </c>
      <c r="J1523" t="s">
        <v>269</v>
      </c>
      <c r="K1523" t="s">
        <v>712</v>
      </c>
      <c r="L1523" t="s">
        <v>713</v>
      </c>
      <c r="M1523" t="s">
        <v>476</v>
      </c>
      <c r="N1523" t="s">
        <v>714</v>
      </c>
      <c r="O1523">
        <v>5951199</v>
      </c>
      <c r="P1523" t="s">
        <v>712</v>
      </c>
      <c r="Q1523" t="s">
        <v>342</v>
      </c>
      <c r="R1523" t="s">
        <v>176</v>
      </c>
      <c r="S1523" t="s">
        <v>52</v>
      </c>
      <c r="U1523">
        <v>890980</v>
      </c>
      <c r="V1523" s="3">
        <v>46052.445833333331</v>
      </c>
      <c r="W1523" t="s">
        <v>715</v>
      </c>
      <c r="X1523" t="s">
        <v>716</v>
      </c>
      <c r="Y1523" t="str">
        <f>"0426611875"</f>
        <v>0426611875</v>
      </c>
      <c r="Z1523" t="s">
        <v>2442</v>
      </c>
      <c r="AB1523" t="s">
        <v>346</v>
      </c>
      <c r="AD1523" t="s">
        <v>168</v>
      </c>
      <c r="AE1523" t="s">
        <v>347</v>
      </c>
      <c r="AF1523">
        <v>5042</v>
      </c>
      <c r="AG1523" t="s">
        <v>342</v>
      </c>
      <c r="AI1523" t="s">
        <v>59</v>
      </c>
      <c r="AL1523" t="s">
        <v>3996</v>
      </c>
      <c r="AM1523" t="s">
        <v>349</v>
      </c>
      <c r="AN1523" s="3">
        <v>46071.657638888886</v>
      </c>
      <c r="AO1523" t="s">
        <v>715</v>
      </c>
    </row>
    <row r="1524" spans="1:41" x14ac:dyDescent="0.3">
      <c r="A1524" t="s">
        <v>75</v>
      </c>
      <c r="B1524" t="s">
        <v>76</v>
      </c>
      <c r="C1524" t="s">
        <v>529</v>
      </c>
      <c r="D1524" t="s">
        <v>63</v>
      </c>
      <c r="E1524" s="1">
        <v>46071</v>
      </c>
      <c r="F1524" t="s">
        <v>44</v>
      </c>
      <c r="G1524" t="s">
        <v>45</v>
      </c>
      <c r="H1524" s="2">
        <v>0.29166666666666669</v>
      </c>
      <c r="I1524" s="2">
        <v>0.60416666666666663</v>
      </c>
      <c r="J1524" t="s">
        <v>529</v>
      </c>
      <c r="L1524" t="s">
        <v>735</v>
      </c>
      <c r="M1524" t="s">
        <v>455</v>
      </c>
      <c r="N1524" t="s">
        <v>3997</v>
      </c>
      <c r="O1524">
        <v>5951859</v>
      </c>
      <c r="Q1524" t="s">
        <v>3998</v>
      </c>
      <c r="R1524" t="s">
        <v>1248</v>
      </c>
      <c r="S1524" t="s">
        <v>52</v>
      </c>
      <c r="U1524">
        <v>891000</v>
      </c>
      <c r="V1524" s="3">
        <v>46069.997916666667</v>
      </c>
      <c r="W1524" t="s">
        <v>3999</v>
      </c>
      <c r="X1524" t="s">
        <v>4000</v>
      </c>
      <c r="Y1524" t="str">
        <f>"0433665781"</f>
        <v>0433665781</v>
      </c>
      <c r="Z1524" t="s">
        <v>70</v>
      </c>
      <c r="AA1524" s="1">
        <v>46071</v>
      </c>
      <c r="AB1524" t="s">
        <v>85</v>
      </c>
      <c r="AD1524" t="s">
        <v>75</v>
      </c>
      <c r="AE1524" t="s">
        <v>86</v>
      </c>
      <c r="AF1524">
        <v>6000</v>
      </c>
      <c r="AG1524" t="s">
        <v>956</v>
      </c>
      <c r="AI1524" t="s">
        <v>59</v>
      </c>
      <c r="AL1524" t="s">
        <v>87</v>
      </c>
      <c r="AN1524" s="3">
        <v>46071.743055555555</v>
      </c>
      <c r="AO1524" t="s">
        <v>3999</v>
      </c>
    </row>
    <row r="1525" spans="1:41" x14ac:dyDescent="0.3">
      <c r="A1525" t="s">
        <v>41</v>
      </c>
      <c r="B1525" t="s">
        <v>1452</v>
      </c>
      <c r="D1525" t="s">
        <v>246</v>
      </c>
      <c r="E1525" s="1">
        <v>46071</v>
      </c>
      <c r="F1525" t="s">
        <v>44</v>
      </c>
      <c r="G1525" t="s">
        <v>45</v>
      </c>
      <c r="H1525" s="2">
        <v>0.29166666666666669</v>
      </c>
      <c r="I1525" s="2">
        <v>0.64583333333333337</v>
      </c>
      <c r="J1525" t="s">
        <v>296</v>
      </c>
      <c r="L1525" t="s">
        <v>1453</v>
      </c>
      <c r="M1525" t="s">
        <v>1454</v>
      </c>
      <c r="N1525" t="s">
        <v>1455</v>
      </c>
      <c r="O1525">
        <v>5951941</v>
      </c>
      <c r="Q1525" t="s">
        <v>1456</v>
      </c>
      <c r="R1525" t="s">
        <v>1457</v>
      </c>
      <c r="S1525" t="s">
        <v>52</v>
      </c>
      <c r="T1525" t="s">
        <v>252</v>
      </c>
      <c r="U1525">
        <v>891622</v>
      </c>
      <c r="V1525" s="3">
        <v>46077.590277777781</v>
      </c>
      <c r="W1525" t="s">
        <v>1457</v>
      </c>
      <c r="X1525" t="s">
        <v>1458</v>
      </c>
      <c r="Y1525" t="str">
        <f>"0413847722"</f>
        <v>0413847722</v>
      </c>
      <c r="Z1525" t="s">
        <v>84</v>
      </c>
      <c r="AA1525" s="1">
        <v>46097</v>
      </c>
      <c r="AB1525" t="s">
        <v>1459</v>
      </c>
      <c r="AD1525" t="s">
        <v>41</v>
      </c>
      <c r="AE1525" t="s">
        <v>1460</v>
      </c>
      <c r="AF1525">
        <v>4740</v>
      </c>
      <c r="AG1525" t="s">
        <v>4001</v>
      </c>
      <c r="AI1525" t="s">
        <v>59</v>
      </c>
      <c r="AJ1525" t="str">
        <f>"0050076628"</f>
        <v>0050076628</v>
      </c>
      <c r="AN1525" s="3">
        <v>46077.590277777781</v>
      </c>
      <c r="AO1525" t="s">
        <v>1457</v>
      </c>
    </row>
    <row r="1526" spans="1:41" x14ac:dyDescent="0.3">
      <c r="A1526" t="s">
        <v>41</v>
      </c>
      <c r="B1526" t="s">
        <v>965</v>
      </c>
      <c r="C1526" t="s">
        <v>43</v>
      </c>
      <c r="D1526" t="s">
        <v>966</v>
      </c>
      <c r="E1526" s="1">
        <v>46071</v>
      </c>
      <c r="F1526" t="s">
        <v>44</v>
      </c>
      <c r="G1526" t="s">
        <v>45</v>
      </c>
      <c r="H1526" s="2">
        <v>0.29166666666666669</v>
      </c>
      <c r="I1526" s="2">
        <v>0.64583333333333337</v>
      </c>
      <c r="J1526" t="s">
        <v>101</v>
      </c>
      <c r="L1526" t="s">
        <v>967</v>
      </c>
      <c r="M1526" t="s">
        <v>968</v>
      </c>
      <c r="N1526" t="s">
        <v>969</v>
      </c>
      <c r="O1526">
        <v>5952467</v>
      </c>
      <c r="Q1526" t="s">
        <v>1471</v>
      </c>
      <c r="R1526" t="s">
        <v>1472</v>
      </c>
      <c r="S1526" t="s">
        <v>52</v>
      </c>
      <c r="U1526">
        <v>890987</v>
      </c>
      <c r="V1526" s="3">
        <v>46063.439583333333</v>
      </c>
      <c r="W1526" t="s">
        <v>970</v>
      </c>
      <c r="X1526" t="s">
        <v>971</v>
      </c>
      <c r="Y1526" t="str">
        <f>"0433979184"</f>
        <v>0433979184</v>
      </c>
      <c r="Z1526" t="s">
        <v>2000</v>
      </c>
      <c r="AB1526" t="s">
        <v>972</v>
      </c>
      <c r="AD1526" t="s">
        <v>41</v>
      </c>
      <c r="AE1526" t="s">
        <v>973</v>
      </c>
      <c r="AF1526">
        <v>4068</v>
      </c>
      <c r="AG1526" t="s">
        <v>1471</v>
      </c>
      <c r="AI1526" t="s">
        <v>59</v>
      </c>
      <c r="AL1526" t="s">
        <v>3513</v>
      </c>
      <c r="AN1526" s="3">
        <v>46071.70208333333</v>
      </c>
      <c r="AO1526" t="s">
        <v>970</v>
      </c>
    </row>
    <row r="1527" spans="1:41" x14ac:dyDescent="0.3">
      <c r="A1527" t="s">
        <v>168</v>
      </c>
      <c r="B1527" t="s">
        <v>1205</v>
      </c>
      <c r="C1527" t="s">
        <v>43</v>
      </c>
      <c r="D1527" t="s">
        <v>127</v>
      </c>
      <c r="E1527" s="1">
        <v>46071</v>
      </c>
      <c r="F1527" t="s">
        <v>44</v>
      </c>
      <c r="G1527" t="s">
        <v>45</v>
      </c>
      <c r="H1527" s="2">
        <v>0.29166666666666669</v>
      </c>
      <c r="I1527" s="2">
        <v>0.54166666666666663</v>
      </c>
      <c r="J1527" t="s">
        <v>185</v>
      </c>
      <c r="K1527" t="s">
        <v>686</v>
      </c>
      <c r="L1527" t="s">
        <v>186</v>
      </c>
      <c r="M1527" t="s">
        <v>369</v>
      </c>
      <c r="N1527" t="s">
        <v>412</v>
      </c>
      <c r="O1527">
        <v>21476</v>
      </c>
      <c r="Q1527" t="s">
        <v>1208</v>
      </c>
      <c r="R1527" t="s">
        <v>500</v>
      </c>
      <c r="S1527" t="s">
        <v>52</v>
      </c>
      <c r="U1527">
        <v>890974</v>
      </c>
      <c r="V1527" s="3">
        <v>46056.927083333336</v>
      </c>
      <c r="W1527" t="s">
        <v>2836</v>
      </c>
      <c r="X1527" t="s">
        <v>2837</v>
      </c>
      <c r="Y1527" t="str">
        <f>"0423201645"</f>
        <v>0423201645</v>
      </c>
      <c r="Z1527" t="s">
        <v>545</v>
      </c>
      <c r="AA1527" s="1">
        <v>46071</v>
      </c>
      <c r="AB1527" t="s">
        <v>1211</v>
      </c>
      <c r="AD1527" t="s">
        <v>168</v>
      </c>
      <c r="AE1527" t="s">
        <v>1212</v>
      </c>
      <c r="AF1527">
        <v>5045</v>
      </c>
      <c r="AG1527" t="s">
        <v>1208</v>
      </c>
      <c r="AI1527" t="s">
        <v>59</v>
      </c>
      <c r="AL1527" t="s">
        <v>4002</v>
      </c>
      <c r="AN1527" s="3">
        <v>46071.609027777777</v>
      </c>
      <c r="AO1527" t="s">
        <v>2836</v>
      </c>
    </row>
    <row r="1528" spans="1:41" x14ac:dyDescent="0.3">
      <c r="A1528" t="s">
        <v>61</v>
      </c>
      <c r="B1528" t="s">
        <v>62</v>
      </c>
      <c r="C1528" t="s">
        <v>43</v>
      </c>
      <c r="D1528" t="s">
        <v>63</v>
      </c>
      <c r="E1528" s="1">
        <v>46071</v>
      </c>
      <c r="F1528" t="s">
        <v>44</v>
      </c>
      <c r="G1528" t="s">
        <v>45</v>
      </c>
      <c r="H1528" s="2">
        <v>0.29166666666666669</v>
      </c>
      <c r="I1528" s="2">
        <v>0.99861111111111112</v>
      </c>
      <c r="J1528" t="s">
        <v>185</v>
      </c>
      <c r="L1528" t="s">
        <v>186</v>
      </c>
      <c r="M1528" t="s">
        <v>1474</v>
      </c>
      <c r="N1528" t="s">
        <v>1475</v>
      </c>
      <c r="O1528">
        <v>22552</v>
      </c>
      <c r="Q1528" t="s">
        <v>66</v>
      </c>
      <c r="R1528" t="s">
        <v>67</v>
      </c>
      <c r="S1528" t="s">
        <v>52</v>
      </c>
      <c r="U1528">
        <v>891012</v>
      </c>
      <c r="V1528" s="3">
        <v>46062.554861111108</v>
      </c>
      <c r="W1528" t="s">
        <v>1476</v>
      </c>
      <c r="X1528" t="s">
        <v>1477</v>
      </c>
      <c r="Y1528" t="str">
        <f>"0421669341"</f>
        <v>0421669341</v>
      </c>
      <c r="Z1528" t="s">
        <v>70</v>
      </c>
      <c r="AB1528" t="s">
        <v>71</v>
      </c>
      <c r="AD1528" t="s">
        <v>61</v>
      </c>
      <c r="AE1528" t="s">
        <v>72</v>
      </c>
      <c r="AF1528">
        <v>2747</v>
      </c>
      <c r="AG1528" t="s">
        <v>73</v>
      </c>
      <c r="AI1528" t="s">
        <v>59</v>
      </c>
      <c r="AL1528" t="s">
        <v>3994</v>
      </c>
      <c r="AN1528" s="3">
        <v>46071.8125</v>
      </c>
      <c r="AO1528" t="s">
        <v>1476</v>
      </c>
    </row>
    <row r="1529" spans="1:41" x14ac:dyDescent="0.3">
      <c r="A1529" t="s">
        <v>306</v>
      </c>
      <c r="B1529" t="s">
        <v>528</v>
      </c>
      <c r="C1529" t="s">
        <v>1523</v>
      </c>
      <c r="D1529" t="s">
        <v>63</v>
      </c>
      <c r="E1529" s="1">
        <v>46071</v>
      </c>
      <c r="F1529" t="s">
        <v>44</v>
      </c>
      <c r="G1529" t="s">
        <v>45</v>
      </c>
      <c r="H1529" s="2">
        <v>0.29166666666666669</v>
      </c>
      <c r="I1529" s="2">
        <v>0.60416666666666663</v>
      </c>
      <c r="J1529" t="s">
        <v>296</v>
      </c>
      <c r="L1529" t="s">
        <v>1753</v>
      </c>
      <c r="M1529" t="s">
        <v>1754</v>
      </c>
      <c r="N1529" t="s">
        <v>1755</v>
      </c>
      <c r="O1529">
        <v>20486</v>
      </c>
      <c r="Q1529" t="s">
        <v>2757</v>
      </c>
      <c r="R1529" t="s">
        <v>1248</v>
      </c>
      <c r="S1529" t="s">
        <v>52</v>
      </c>
      <c r="U1529">
        <v>890975</v>
      </c>
      <c r="V1529" s="3">
        <v>46067.313888888886</v>
      </c>
      <c r="W1529" t="s">
        <v>1757</v>
      </c>
      <c r="X1529" t="s">
        <v>1758</v>
      </c>
      <c r="Y1529" t="str">
        <f>"0432381966"</f>
        <v>0432381966</v>
      </c>
      <c r="Z1529" t="s">
        <v>70</v>
      </c>
      <c r="AA1529" s="1">
        <v>46071</v>
      </c>
      <c r="AB1529" t="s">
        <v>537</v>
      </c>
      <c r="AD1529" t="s">
        <v>306</v>
      </c>
      <c r="AE1529" t="s">
        <v>538</v>
      </c>
      <c r="AF1529">
        <v>3152</v>
      </c>
      <c r="AG1529" t="s">
        <v>2757</v>
      </c>
      <c r="AI1529" t="s">
        <v>59</v>
      </c>
      <c r="AL1529" t="s">
        <v>370</v>
      </c>
      <c r="AN1529" s="3">
        <v>46071.613888888889</v>
      </c>
      <c r="AO1529" t="s">
        <v>1757</v>
      </c>
    </row>
    <row r="1530" spans="1:41" x14ac:dyDescent="0.3">
      <c r="A1530" t="s">
        <v>168</v>
      </c>
      <c r="B1530" t="s">
        <v>1021</v>
      </c>
      <c r="C1530" t="s">
        <v>216</v>
      </c>
      <c r="D1530" t="s">
        <v>127</v>
      </c>
      <c r="E1530" s="1">
        <v>46071</v>
      </c>
      <c r="F1530" t="s">
        <v>44</v>
      </c>
      <c r="G1530" t="s">
        <v>45</v>
      </c>
      <c r="H1530" s="2">
        <v>0.29166666666666669</v>
      </c>
      <c r="I1530" s="2">
        <v>0.5</v>
      </c>
      <c r="J1530" t="s">
        <v>101</v>
      </c>
      <c r="L1530" t="s">
        <v>159</v>
      </c>
      <c r="M1530" t="s">
        <v>1033</v>
      </c>
      <c r="N1530" t="s">
        <v>1034</v>
      </c>
      <c r="O1530">
        <v>5952456</v>
      </c>
      <c r="Q1530" t="s">
        <v>4003</v>
      </c>
      <c r="R1530" t="s">
        <v>1026</v>
      </c>
      <c r="S1530" t="s">
        <v>52</v>
      </c>
      <c r="U1530">
        <v>890964</v>
      </c>
      <c r="V1530" s="3">
        <v>46070.680555555555</v>
      </c>
      <c r="W1530" t="s">
        <v>1035</v>
      </c>
      <c r="X1530" t="s">
        <v>1036</v>
      </c>
      <c r="Y1530" t="str">
        <f>"0431375216"</f>
        <v>0431375216</v>
      </c>
      <c r="Z1530" t="s">
        <v>70</v>
      </c>
      <c r="AA1530" s="1">
        <v>46071</v>
      </c>
      <c r="AB1530" t="s">
        <v>1029</v>
      </c>
      <c r="AD1530" t="s">
        <v>168</v>
      </c>
      <c r="AE1530" t="s">
        <v>1030</v>
      </c>
      <c r="AF1530">
        <v>5022</v>
      </c>
      <c r="AI1530" t="s">
        <v>59</v>
      </c>
      <c r="AL1530" t="s">
        <v>4004</v>
      </c>
      <c r="AN1530" s="3">
        <v>46071.517361111109</v>
      </c>
      <c r="AO1530" t="s">
        <v>1035</v>
      </c>
    </row>
    <row r="1531" spans="1:41" x14ac:dyDescent="0.3">
      <c r="A1531" t="s">
        <v>61</v>
      </c>
      <c r="B1531" t="s">
        <v>1408</v>
      </c>
      <c r="C1531" t="s">
        <v>43</v>
      </c>
      <c r="D1531" t="s">
        <v>719</v>
      </c>
      <c r="E1531" s="1">
        <v>46071</v>
      </c>
      <c r="F1531" t="s">
        <v>44</v>
      </c>
      <c r="G1531" t="s">
        <v>45</v>
      </c>
      <c r="H1531" s="2">
        <v>0.29166666666666669</v>
      </c>
      <c r="I1531" s="2">
        <v>0.64583333333333337</v>
      </c>
      <c r="J1531" t="s">
        <v>101</v>
      </c>
      <c r="L1531" t="s">
        <v>159</v>
      </c>
      <c r="M1531" t="s">
        <v>1765</v>
      </c>
      <c r="N1531" t="s">
        <v>1766</v>
      </c>
      <c r="O1531">
        <v>339</v>
      </c>
      <c r="Q1531" t="s">
        <v>1411</v>
      </c>
      <c r="R1531" t="s">
        <v>132</v>
      </c>
      <c r="S1531" t="s">
        <v>52</v>
      </c>
      <c r="U1531">
        <v>890963</v>
      </c>
      <c r="V1531" s="3">
        <v>46063.478472222225</v>
      </c>
      <c r="W1531" t="s">
        <v>1768</v>
      </c>
      <c r="X1531" t="s">
        <v>1769</v>
      </c>
      <c r="Y1531" t="str">
        <f>"0419654987"</f>
        <v>0419654987</v>
      </c>
      <c r="Z1531" t="s">
        <v>70</v>
      </c>
      <c r="AA1531" s="1">
        <v>46071</v>
      </c>
      <c r="AB1531" t="s">
        <v>1414</v>
      </c>
      <c r="AD1531" t="s">
        <v>61</v>
      </c>
      <c r="AE1531" t="s">
        <v>72</v>
      </c>
      <c r="AF1531">
        <v>2747</v>
      </c>
      <c r="AG1531" t="s">
        <v>1415</v>
      </c>
      <c r="AI1531" t="s">
        <v>59</v>
      </c>
      <c r="AL1531" t="s">
        <v>3994</v>
      </c>
      <c r="AN1531" s="3">
        <v>46071.51666666667</v>
      </c>
      <c r="AO1531" t="s">
        <v>1768</v>
      </c>
    </row>
    <row r="1532" spans="1:41" x14ac:dyDescent="0.3">
      <c r="A1532" t="s">
        <v>168</v>
      </c>
      <c r="B1532" t="s">
        <v>441</v>
      </c>
      <c r="C1532" t="s">
        <v>101</v>
      </c>
      <c r="E1532" s="1">
        <v>46071</v>
      </c>
      <c r="F1532" t="s">
        <v>44</v>
      </c>
      <c r="G1532" t="s">
        <v>45</v>
      </c>
      <c r="H1532" s="2">
        <v>0.29166666666666669</v>
      </c>
      <c r="I1532" s="2">
        <v>0.5</v>
      </c>
      <c r="J1532" t="s">
        <v>101</v>
      </c>
      <c r="L1532" t="s">
        <v>743</v>
      </c>
      <c r="M1532" t="s">
        <v>744</v>
      </c>
      <c r="N1532" t="s">
        <v>745</v>
      </c>
      <c r="O1532">
        <v>5951894</v>
      </c>
      <c r="P1532" t="s">
        <v>3522</v>
      </c>
      <c r="Q1532" t="s">
        <v>944</v>
      </c>
      <c r="R1532" t="s">
        <v>556</v>
      </c>
      <c r="S1532" t="s">
        <v>52</v>
      </c>
      <c r="U1532">
        <v>890992</v>
      </c>
      <c r="V1532" s="3">
        <v>46050.944444444445</v>
      </c>
      <c r="W1532" t="s">
        <v>746</v>
      </c>
      <c r="X1532" t="s">
        <v>747</v>
      </c>
      <c r="Y1532" t="str">
        <f>"0420536678"</f>
        <v>0420536678</v>
      </c>
      <c r="Z1532" t="s">
        <v>70</v>
      </c>
      <c r="AB1532" t="s">
        <v>448</v>
      </c>
      <c r="AD1532" t="s">
        <v>168</v>
      </c>
      <c r="AE1532" t="s">
        <v>180</v>
      </c>
      <c r="AF1532">
        <v>5063</v>
      </c>
      <c r="AG1532" t="s">
        <v>944</v>
      </c>
      <c r="AI1532" t="s">
        <v>59</v>
      </c>
      <c r="AL1532" t="s">
        <v>4005</v>
      </c>
      <c r="AN1532" s="3">
        <v>46071.71597222222</v>
      </c>
      <c r="AO1532" t="s">
        <v>746</v>
      </c>
    </row>
    <row r="1533" spans="1:41" x14ac:dyDescent="0.3">
      <c r="A1533" t="s">
        <v>168</v>
      </c>
      <c r="B1533" t="s">
        <v>169</v>
      </c>
      <c r="C1533" t="s">
        <v>170</v>
      </c>
      <c r="D1533" t="s">
        <v>127</v>
      </c>
      <c r="E1533" s="1">
        <v>46071</v>
      </c>
      <c r="F1533" t="s">
        <v>44</v>
      </c>
      <c r="G1533" t="s">
        <v>45</v>
      </c>
      <c r="H1533" s="2">
        <v>0.29166666666666669</v>
      </c>
      <c r="I1533" s="2">
        <v>0.54166666666666663</v>
      </c>
      <c r="J1533" t="s">
        <v>170</v>
      </c>
      <c r="L1533" t="s">
        <v>159</v>
      </c>
      <c r="M1533" t="s">
        <v>228</v>
      </c>
      <c r="N1533" t="s">
        <v>229</v>
      </c>
      <c r="O1533">
        <v>21017</v>
      </c>
      <c r="Q1533" t="s">
        <v>3502</v>
      </c>
      <c r="R1533" t="s">
        <v>176</v>
      </c>
      <c r="S1533" t="s">
        <v>52</v>
      </c>
      <c r="U1533">
        <v>890953</v>
      </c>
      <c r="V1533" s="3">
        <v>46056.717361111114</v>
      </c>
      <c r="W1533" t="s">
        <v>232</v>
      </c>
      <c r="X1533" t="s">
        <v>233</v>
      </c>
      <c r="Y1533" t="str">
        <f>"0409900497"</f>
        <v>0409900497</v>
      </c>
      <c r="Z1533" t="s">
        <v>55</v>
      </c>
      <c r="AA1533" s="1">
        <v>46071</v>
      </c>
      <c r="AB1533" t="s">
        <v>179</v>
      </c>
      <c r="AD1533" t="s">
        <v>168</v>
      </c>
      <c r="AE1533" t="s">
        <v>180</v>
      </c>
      <c r="AF1533">
        <v>5063</v>
      </c>
      <c r="AG1533" t="s">
        <v>175</v>
      </c>
      <c r="AI1533" t="s">
        <v>59</v>
      </c>
      <c r="AL1533" t="s">
        <v>4006</v>
      </c>
      <c r="AN1533" s="3">
        <v>46071.474305555559</v>
      </c>
      <c r="AO1533" t="s">
        <v>232</v>
      </c>
    </row>
    <row r="1534" spans="1:41" x14ac:dyDescent="0.3">
      <c r="A1534" t="s">
        <v>168</v>
      </c>
      <c r="B1534" t="s">
        <v>1205</v>
      </c>
      <c r="C1534" t="s">
        <v>43</v>
      </c>
      <c r="D1534" t="s">
        <v>127</v>
      </c>
      <c r="E1534" s="1">
        <v>46071</v>
      </c>
      <c r="F1534" t="s">
        <v>44</v>
      </c>
      <c r="G1534" t="s">
        <v>45</v>
      </c>
      <c r="H1534" s="2">
        <v>0.29166666666666669</v>
      </c>
      <c r="I1534" s="2">
        <v>0.54166666666666663</v>
      </c>
      <c r="J1534" t="s">
        <v>185</v>
      </c>
      <c r="K1534" t="s">
        <v>4007</v>
      </c>
      <c r="L1534" t="s">
        <v>186</v>
      </c>
      <c r="M1534" t="s">
        <v>1401</v>
      </c>
      <c r="N1534" t="s">
        <v>4008</v>
      </c>
      <c r="O1534">
        <v>22404</v>
      </c>
      <c r="Q1534" t="s">
        <v>1208</v>
      </c>
      <c r="R1534" t="s">
        <v>500</v>
      </c>
      <c r="S1534" t="s">
        <v>52</v>
      </c>
      <c r="U1534">
        <v>890955</v>
      </c>
      <c r="V1534" s="3">
        <v>46056.927083333336</v>
      </c>
      <c r="W1534" t="s">
        <v>4009</v>
      </c>
      <c r="X1534" t="s">
        <v>4010</v>
      </c>
      <c r="Y1534" t="str">
        <f>"0402226777"</f>
        <v>0402226777</v>
      </c>
      <c r="Z1534" t="s">
        <v>550</v>
      </c>
      <c r="AB1534" t="s">
        <v>1211</v>
      </c>
      <c r="AD1534" t="s">
        <v>168</v>
      </c>
      <c r="AE1534" t="s">
        <v>1212</v>
      </c>
      <c r="AF1534">
        <v>5045</v>
      </c>
      <c r="AG1534" t="s">
        <v>1208</v>
      </c>
      <c r="AI1534" t="s">
        <v>59</v>
      </c>
      <c r="AL1534" t="s">
        <v>4002</v>
      </c>
      <c r="AN1534" s="3">
        <v>46071.488194444442</v>
      </c>
      <c r="AO1534" t="s">
        <v>4009</v>
      </c>
    </row>
    <row r="1535" spans="1:41" x14ac:dyDescent="0.3">
      <c r="A1535" t="s">
        <v>61</v>
      </c>
      <c r="B1535" t="s">
        <v>655</v>
      </c>
      <c r="C1535" t="s">
        <v>43</v>
      </c>
      <c r="D1535" t="s">
        <v>656</v>
      </c>
      <c r="E1535" s="1">
        <v>46071</v>
      </c>
      <c r="F1535" t="s">
        <v>44</v>
      </c>
      <c r="G1535" t="s">
        <v>45</v>
      </c>
      <c r="H1535" s="2">
        <v>0.30208333333333331</v>
      </c>
      <c r="I1535" s="2">
        <v>0.99861111111111112</v>
      </c>
      <c r="J1535" t="s">
        <v>101</v>
      </c>
      <c r="L1535" t="s">
        <v>47</v>
      </c>
      <c r="M1535" t="s">
        <v>785</v>
      </c>
      <c r="N1535" t="s">
        <v>905</v>
      </c>
      <c r="O1535">
        <v>5950885</v>
      </c>
      <c r="Q1535" t="s">
        <v>665</v>
      </c>
      <c r="R1535" t="s">
        <v>67</v>
      </c>
      <c r="S1535" t="s">
        <v>52</v>
      </c>
      <c r="U1535">
        <v>890983</v>
      </c>
      <c r="V1535" s="3">
        <v>46042.432638888888</v>
      </c>
      <c r="W1535" t="s">
        <v>906</v>
      </c>
      <c r="X1535" t="s">
        <v>907</v>
      </c>
      <c r="Y1535" t="str">
        <f>"0421650139"</f>
        <v>0421650139</v>
      </c>
      <c r="Z1535" t="s">
        <v>2298</v>
      </c>
      <c r="AB1535" t="s">
        <v>662</v>
      </c>
      <c r="AC1535" t="s">
        <v>663</v>
      </c>
      <c r="AD1535" t="s">
        <v>61</v>
      </c>
      <c r="AE1535" t="s">
        <v>664</v>
      </c>
      <c r="AF1535">
        <v>2067</v>
      </c>
      <c r="AG1535" t="s">
        <v>665</v>
      </c>
      <c r="AI1535" t="s">
        <v>59</v>
      </c>
      <c r="AL1535" t="s">
        <v>4011</v>
      </c>
      <c r="AN1535" s="3">
        <v>46071.663194444445</v>
      </c>
      <c r="AO1535" t="s">
        <v>906</v>
      </c>
    </row>
    <row r="1536" spans="1:41" x14ac:dyDescent="0.3">
      <c r="A1536" t="s">
        <v>306</v>
      </c>
      <c r="B1536" t="s">
        <v>820</v>
      </c>
      <c r="C1536" t="s">
        <v>100</v>
      </c>
      <c r="D1536" t="s">
        <v>127</v>
      </c>
      <c r="E1536" s="1">
        <v>46071</v>
      </c>
      <c r="F1536" t="s">
        <v>44</v>
      </c>
      <c r="G1536" t="s">
        <v>45</v>
      </c>
      <c r="H1536" s="2">
        <v>0.3125</v>
      </c>
      <c r="I1536" s="2">
        <v>0.72916666666666663</v>
      </c>
      <c r="J1536" t="s">
        <v>451</v>
      </c>
      <c r="L1536" t="s">
        <v>452</v>
      </c>
      <c r="M1536" t="s">
        <v>821</v>
      </c>
      <c r="N1536" t="s">
        <v>822</v>
      </c>
      <c r="O1536">
        <v>20712</v>
      </c>
      <c r="Q1536" t="s">
        <v>823</v>
      </c>
      <c r="R1536" t="s">
        <v>476</v>
      </c>
      <c r="S1536" t="s">
        <v>52</v>
      </c>
      <c r="U1536">
        <v>890976</v>
      </c>
      <c r="V1536" s="3">
        <v>46062.576388888891</v>
      </c>
      <c r="W1536" t="s">
        <v>824</v>
      </c>
      <c r="X1536" t="s">
        <v>825</v>
      </c>
      <c r="Y1536" t="str">
        <f>"0439419256"</f>
        <v>0439419256</v>
      </c>
      <c r="Z1536" t="s">
        <v>70</v>
      </c>
      <c r="AA1536" s="1">
        <v>46071</v>
      </c>
      <c r="AB1536" t="s">
        <v>826</v>
      </c>
      <c r="AD1536" t="s">
        <v>306</v>
      </c>
      <c r="AE1536" t="s">
        <v>827</v>
      </c>
      <c r="AF1536">
        <v>3181</v>
      </c>
      <c r="AG1536" t="s">
        <v>823</v>
      </c>
      <c r="AI1536" t="s">
        <v>59</v>
      </c>
      <c r="AL1536" t="s">
        <v>87</v>
      </c>
      <c r="AN1536" s="3">
        <v>46071.638888888891</v>
      </c>
      <c r="AO1536" t="s">
        <v>824</v>
      </c>
    </row>
    <row r="1537" spans="1:41" x14ac:dyDescent="0.3">
      <c r="A1537" t="s">
        <v>168</v>
      </c>
      <c r="B1537" t="s">
        <v>689</v>
      </c>
      <c r="C1537" t="s">
        <v>43</v>
      </c>
      <c r="D1537" t="s">
        <v>268</v>
      </c>
      <c r="E1537" s="1">
        <v>46071</v>
      </c>
      <c r="F1537" t="s">
        <v>44</v>
      </c>
      <c r="G1537" t="s">
        <v>45</v>
      </c>
      <c r="H1537" s="2">
        <v>0.3125</v>
      </c>
      <c r="I1537" s="2">
        <v>0.66666666666666663</v>
      </c>
      <c r="J1537" t="s">
        <v>101</v>
      </c>
      <c r="L1537" t="s">
        <v>159</v>
      </c>
      <c r="M1537" t="s">
        <v>690</v>
      </c>
      <c r="N1537" t="s">
        <v>691</v>
      </c>
      <c r="O1537">
        <v>5950774</v>
      </c>
      <c r="P1537" t="s">
        <v>249</v>
      </c>
      <c r="Q1537" t="s">
        <v>692</v>
      </c>
      <c r="R1537" t="s">
        <v>693</v>
      </c>
      <c r="S1537" t="s">
        <v>52</v>
      </c>
      <c r="T1537" t="s">
        <v>252</v>
      </c>
      <c r="U1537">
        <v>891400</v>
      </c>
      <c r="V1537" s="3">
        <v>46075.970138888886</v>
      </c>
      <c r="W1537" t="s">
        <v>693</v>
      </c>
      <c r="X1537" t="s">
        <v>694</v>
      </c>
      <c r="Y1537" t="str">
        <f>"0404019300"</f>
        <v>0404019300</v>
      </c>
      <c r="Z1537" t="s">
        <v>345</v>
      </c>
      <c r="AA1537" s="1">
        <v>46117</v>
      </c>
      <c r="AB1537" t="s">
        <v>695</v>
      </c>
      <c r="AD1537" t="s">
        <v>168</v>
      </c>
      <c r="AE1537" t="s">
        <v>696</v>
      </c>
      <c r="AF1537">
        <v>5606</v>
      </c>
      <c r="AG1537" t="s">
        <v>3023</v>
      </c>
      <c r="AI1537" t="s">
        <v>59</v>
      </c>
      <c r="AJ1537" t="str">
        <f>"0020188040"</f>
        <v>0020188040</v>
      </c>
      <c r="AM1537" t="s">
        <v>3024</v>
      </c>
      <c r="AN1537" s="3">
        <v>46075.970138888886</v>
      </c>
      <c r="AO1537" t="s">
        <v>693</v>
      </c>
    </row>
    <row r="1538" spans="1:41" x14ac:dyDescent="0.3">
      <c r="A1538" t="s">
        <v>61</v>
      </c>
      <c r="B1538" t="s">
        <v>655</v>
      </c>
      <c r="C1538" t="s">
        <v>43</v>
      </c>
      <c r="D1538" t="s">
        <v>656</v>
      </c>
      <c r="E1538" s="1">
        <v>46071</v>
      </c>
      <c r="F1538" t="s">
        <v>44</v>
      </c>
      <c r="G1538" t="s">
        <v>45</v>
      </c>
      <c r="H1538" s="2">
        <v>0.3125</v>
      </c>
      <c r="I1538" s="2">
        <v>0.99861111111111112</v>
      </c>
      <c r="J1538" t="s">
        <v>185</v>
      </c>
      <c r="K1538" t="s">
        <v>327</v>
      </c>
      <c r="L1538" t="s">
        <v>186</v>
      </c>
      <c r="M1538" t="s">
        <v>2588</v>
      </c>
      <c r="N1538" t="s">
        <v>2589</v>
      </c>
      <c r="O1538">
        <v>5951854</v>
      </c>
      <c r="Q1538" t="s">
        <v>2590</v>
      </c>
      <c r="R1538" t="s">
        <v>132</v>
      </c>
      <c r="S1538" t="s">
        <v>52</v>
      </c>
      <c r="U1538">
        <v>890958</v>
      </c>
      <c r="V1538" s="3">
        <v>46028.415277777778</v>
      </c>
      <c r="W1538" t="s">
        <v>2591</v>
      </c>
      <c r="X1538" t="s">
        <v>2592</v>
      </c>
      <c r="Y1538" t="str">
        <f>"0452497186"</f>
        <v>0452497186</v>
      </c>
      <c r="Z1538" t="s">
        <v>4012</v>
      </c>
      <c r="AB1538" t="s">
        <v>662</v>
      </c>
      <c r="AC1538" t="s">
        <v>663</v>
      </c>
      <c r="AD1538" t="s">
        <v>61</v>
      </c>
      <c r="AE1538" t="s">
        <v>664</v>
      </c>
      <c r="AF1538">
        <v>2067</v>
      </c>
      <c r="AG1538" t="s">
        <v>665</v>
      </c>
      <c r="AI1538" t="s">
        <v>59</v>
      </c>
      <c r="AL1538" t="s">
        <v>3994</v>
      </c>
      <c r="AN1538" s="3">
        <v>46071.499305555553</v>
      </c>
      <c r="AO1538" t="s">
        <v>2591</v>
      </c>
    </row>
    <row r="1539" spans="1:41" x14ac:dyDescent="0.3">
      <c r="A1539" t="s">
        <v>75</v>
      </c>
      <c r="B1539" t="s">
        <v>2210</v>
      </c>
      <c r="C1539" t="s">
        <v>2211</v>
      </c>
      <c r="D1539" t="s">
        <v>2212</v>
      </c>
      <c r="E1539" s="1">
        <v>46071</v>
      </c>
      <c r="F1539" t="s">
        <v>44</v>
      </c>
      <c r="G1539" t="s">
        <v>45</v>
      </c>
      <c r="H1539" s="2">
        <v>0.3125</v>
      </c>
      <c r="I1539" s="2">
        <v>0.72916666666666663</v>
      </c>
      <c r="J1539" t="s">
        <v>101</v>
      </c>
      <c r="L1539" t="s">
        <v>159</v>
      </c>
      <c r="M1539" t="s">
        <v>1051</v>
      </c>
      <c r="N1539" t="s">
        <v>2213</v>
      </c>
      <c r="O1539">
        <v>22543</v>
      </c>
      <c r="Q1539" t="s">
        <v>3286</v>
      </c>
      <c r="R1539" t="s">
        <v>556</v>
      </c>
      <c r="S1539" t="s">
        <v>52</v>
      </c>
      <c r="U1539">
        <v>891016</v>
      </c>
      <c r="V1539" s="3">
        <v>46064.039583333331</v>
      </c>
      <c r="W1539" t="s">
        <v>2215</v>
      </c>
      <c r="X1539" t="s">
        <v>2216</v>
      </c>
      <c r="Y1539" t="str">
        <f>"0433875003"</f>
        <v>0433875003</v>
      </c>
      <c r="Z1539" t="s">
        <v>70</v>
      </c>
      <c r="AA1539" s="1">
        <v>46071</v>
      </c>
      <c r="AB1539" t="s">
        <v>2217</v>
      </c>
      <c r="AD1539" t="s">
        <v>75</v>
      </c>
      <c r="AE1539" t="s">
        <v>903</v>
      </c>
      <c r="AF1539">
        <v>6009</v>
      </c>
      <c r="AG1539" t="s">
        <v>2214</v>
      </c>
      <c r="AI1539" t="s">
        <v>59</v>
      </c>
      <c r="AL1539" t="s">
        <v>4013</v>
      </c>
      <c r="AN1539" s="3">
        <v>46071.837500000001</v>
      </c>
      <c r="AO1539" t="s">
        <v>2215</v>
      </c>
    </row>
    <row r="1540" spans="1:41" x14ac:dyDescent="0.3">
      <c r="A1540" t="s">
        <v>75</v>
      </c>
      <c r="B1540" t="s">
        <v>358</v>
      </c>
      <c r="C1540" t="s">
        <v>43</v>
      </c>
      <c r="D1540" t="s">
        <v>184</v>
      </c>
      <c r="E1540" s="1">
        <v>46071</v>
      </c>
      <c r="F1540" t="s">
        <v>44</v>
      </c>
      <c r="G1540" t="s">
        <v>45</v>
      </c>
      <c r="H1540" s="2">
        <v>0.3125</v>
      </c>
      <c r="I1540" s="2">
        <v>0.5625</v>
      </c>
      <c r="J1540" t="s">
        <v>185</v>
      </c>
      <c r="L1540" t="s">
        <v>186</v>
      </c>
      <c r="M1540" t="s">
        <v>1897</v>
      </c>
      <c r="N1540" t="s">
        <v>1898</v>
      </c>
      <c r="O1540">
        <v>5951775</v>
      </c>
      <c r="Q1540" t="s">
        <v>4014</v>
      </c>
      <c r="R1540" t="s">
        <v>926</v>
      </c>
      <c r="S1540" t="s">
        <v>52</v>
      </c>
      <c r="U1540">
        <v>890979</v>
      </c>
      <c r="V1540" s="3">
        <v>46070.720138888886</v>
      </c>
      <c r="W1540" t="s">
        <v>1900</v>
      </c>
      <c r="X1540" t="s">
        <v>1901</v>
      </c>
      <c r="Y1540" t="str">
        <f>"0459104328"</f>
        <v>0459104328</v>
      </c>
      <c r="Z1540" t="s">
        <v>70</v>
      </c>
      <c r="AA1540" s="1">
        <v>46071</v>
      </c>
      <c r="AB1540" t="s">
        <v>367</v>
      </c>
      <c r="AD1540" t="s">
        <v>75</v>
      </c>
      <c r="AE1540" t="s">
        <v>368</v>
      </c>
      <c r="AF1540">
        <v>6027</v>
      </c>
      <c r="AG1540" t="s">
        <v>4015</v>
      </c>
      <c r="AI1540" t="s">
        <v>59</v>
      </c>
      <c r="AL1540" t="s">
        <v>4016</v>
      </c>
      <c r="AN1540" s="3">
        <v>46071.644444444442</v>
      </c>
      <c r="AO1540" t="s">
        <v>1900</v>
      </c>
    </row>
    <row r="1541" spans="1:41" x14ac:dyDescent="0.3">
      <c r="A1541" t="s">
        <v>75</v>
      </c>
      <c r="B1541" t="s">
        <v>358</v>
      </c>
      <c r="C1541" t="s">
        <v>43</v>
      </c>
      <c r="D1541" t="s">
        <v>184</v>
      </c>
      <c r="E1541" s="1">
        <v>46071</v>
      </c>
      <c r="F1541" t="s">
        <v>44</v>
      </c>
      <c r="G1541" t="s">
        <v>45</v>
      </c>
      <c r="H1541" s="2">
        <v>0.3125</v>
      </c>
      <c r="I1541" s="2">
        <v>0.5625</v>
      </c>
      <c r="J1541" t="s">
        <v>185</v>
      </c>
      <c r="L1541" t="s">
        <v>186</v>
      </c>
      <c r="M1541" t="s">
        <v>1070</v>
      </c>
      <c r="N1541" t="s">
        <v>1071</v>
      </c>
      <c r="O1541">
        <v>5951604</v>
      </c>
      <c r="Q1541" t="s">
        <v>4017</v>
      </c>
      <c r="R1541" t="s">
        <v>926</v>
      </c>
      <c r="S1541" t="s">
        <v>52</v>
      </c>
      <c r="U1541">
        <v>890973</v>
      </c>
      <c r="V1541" s="3">
        <v>46070.722222222219</v>
      </c>
      <c r="W1541" t="s">
        <v>1072</v>
      </c>
      <c r="X1541" t="s">
        <v>1073</v>
      </c>
      <c r="Y1541" t="str">
        <f>"0410139992"</f>
        <v>0410139992</v>
      </c>
      <c r="Z1541" t="s">
        <v>70</v>
      </c>
      <c r="AB1541" t="s">
        <v>367</v>
      </c>
      <c r="AD1541" t="s">
        <v>75</v>
      </c>
      <c r="AE1541" t="s">
        <v>368</v>
      </c>
      <c r="AF1541">
        <v>6027</v>
      </c>
      <c r="AG1541" t="s">
        <v>4018</v>
      </c>
      <c r="AI1541" t="s">
        <v>59</v>
      </c>
      <c r="AL1541" t="s">
        <v>87</v>
      </c>
      <c r="AN1541" s="3">
        <v>46071.599305555559</v>
      </c>
      <c r="AO1541" t="s">
        <v>1072</v>
      </c>
    </row>
    <row r="1542" spans="1:41" x14ac:dyDescent="0.3">
      <c r="A1542" t="s">
        <v>75</v>
      </c>
      <c r="B1542" t="s">
        <v>1972</v>
      </c>
      <c r="C1542" t="s">
        <v>3409</v>
      </c>
      <c r="D1542" t="s">
        <v>700</v>
      </c>
      <c r="E1542" s="1">
        <v>46071</v>
      </c>
      <c r="F1542" t="s">
        <v>44</v>
      </c>
      <c r="G1542" t="s">
        <v>45</v>
      </c>
      <c r="H1542" s="2">
        <v>0.3125</v>
      </c>
      <c r="I1542" s="2">
        <v>0.75</v>
      </c>
      <c r="J1542" t="s">
        <v>185</v>
      </c>
      <c r="L1542" t="s">
        <v>186</v>
      </c>
      <c r="M1542" t="s">
        <v>1094</v>
      </c>
      <c r="N1542" t="s">
        <v>518</v>
      </c>
      <c r="O1542">
        <v>5952404</v>
      </c>
      <c r="Q1542" t="s">
        <v>4019</v>
      </c>
      <c r="R1542" t="s">
        <v>476</v>
      </c>
      <c r="S1542" t="s">
        <v>52</v>
      </c>
      <c r="U1542">
        <v>891019</v>
      </c>
      <c r="V1542" s="3">
        <v>46071.402083333334</v>
      </c>
      <c r="W1542" t="s">
        <v>1095</v>
      </c>
      <c r="X1542" t="s">
        <v>1096</v>
      </c>
      <c r="Y1542" t="str">
        <f>"0416821298"</f>
        <v>0416821298</v>
      </c>
      <c r="Z1542" t="s">
        <v>70</v>
      </c>
      <c r="AA1542" s="1">
        <v>46071</v>
      </c>
      <c r="AB1542" t="s">
        <v>811</v>
      </c>
      <c r="AC1542" t="s">
        <v>1992</v>
      </c>
      <c r="AD1542" t="s">
        <v>75</v>
      </c>
      <c r="AE1542" t="s">
        <v>1993</v>
      </c>
      <c r="AF1542">
        <v>6008</v>
      </c>
      <c r="AG1542" t="s">
        <v>4020</v>
      </c>
      <c r="AI1542" t="s">
        <v>59</v>
      </c>
      <c r="AL1542" t="s">
        <v>87</v>
      </c>
      <c r="AN1542" s="3">
        <v>46071.853472222225</v>
      </c>
      <c r="AO1542" t="s">
        <v>1095</v>
      </c>
    </row>
    <row r="1543" spans="1:41" x14ac:dyDescent="0.3">
      <c r="A1543" t="s">
        <v>168</v>
      </c>
      <c r="B1543" t="s">
        <v>282</v>
      </c>
      <c r="C1543" t="s">
        <v>43</v>
      </c>
      <c r="D1543" t="s">
        <v>283</v>
      </c>
      <c r="E1543" s="1">
        <v>46071</v>
      </c>
      <c r="F1543" t="s">
        <v>44</v>
      </c>
      <c r="G1543" t="s">
        <v>45</v>
      </c>
      <c r="H1543" s="2">
        <v>0.32291666666666669</v>
      </c>
      <c r="I1543" s="2">
        <v>0.48958333333333331</v>
      </c>
      <c r="J1543" t="s">
        <v>185</v>
      </c>
      <c r="K1543" t="s">
        <v>1442</v>
      </c>
      <c r="L1543" t="s">
        <v>186</v>
      </c>
      <c r="M1543" t="s">
        <v>285</v>
      </c>
      <c r="N1543" t="s">
        <v>286</v>
      </c>
      <c r="O1543">
        <v>5951416</v>
      </c>
      <c r="Q1543" t="s">
        <v>287</v>
      </c>
      <c r="R1543" t="s">
        <v>1248</v>
      </c>
      <c r="S1543" t="s">
        <v>52</v>
      </c>
      <c r="U1543">
        <v>890962</v>
      </c>
      <c r="V1543" s="3">
        <v>46069.773611111108</v>
      </c>
      <c r="W1543" t="s">
        <v>288</v>
      </c>
      <c r="X1543" t="s">
        <v>289</v>
      </c>
      <c r="Y1543" t="str">
        <f>"0423562542"</f>
        <v>0423562542</v>
      </c>
      <c r="Z1543" t="s">
        <v>70</v>
      </c>
      <c r="AA1543" s="1">
        <v>46071</v>
      </c>
      <c r="AB1543" t="s">
        <v>291</v>
      </c>
      <c r="AC1543" t="s">
        <v>292</v>
      </c>
      <c r="AD1543" t="s">
        <v>168</v>
      </c>
      <c r="AE1543" t="s">
        <v>293</v>
      </c>
      <c r="AF1543">
        <v>5037</v>
      </c>
      <c r="AG1543" t="s">
        <v>287</v>
      </c>
      <c r="AI1543" t="s">
        <v>59</v>
      </c>
      <c r="AL1543" t="s">
        <v>4021</v>
      </c>
      <c r="AN1543" s="3">
        <v>46071.511111111111</v>
      </c>
      <c r="AO1543" t="s">
        <v>288</v>
      </c>
    </row>
    <row r="1544" spans="1:41" x14ac:dyDescent="0.3">
      <c r="A1544" t="s">
        <v>61</v>
      </c>
      <c r="B1544" t="s">
        <v>1462</v>
      </c>
      <c r="C1544" t="s">
        <v>296</v>
      </c>
      <c r="D1544" t="s">
        <v>90</v>
      </c>
      <c r="E1544" s="1">
        <v>46071</v>
      </c>
      <c r="F1544" t="s">
        <v>44</v>
      </c>
      <c r="G1544" t="s">
        <v>45</v>
      </c>
      <c r="H1544" s="2">
        <v>0.3263888888888889</v>
      </c>
      <c r="I1544" s="2">
        <v>0.91666666666666663</v>
      </c>
      <c r="J1544" t="s">
        <v>464</v>
      </c>
      <c r="L1544" t="s">
        <v>1996</v>
      </c>
      <c r="M1544" t="s">
        <v>1997</v>
      </c>
      <c r="N1544" t="s">
        <v>933</v>
      </c>
      <c r="O1544">
        <v>5952317</v>
      </c>
      <c r="Q1544" t="s">
        <v>541</v>
      </c>
      <c r="R1544" t="s">
        <v>132</v>
      </c>
      <c r="S1544" t="s">
        <v>119</v>
      </c>
      <c r="T1544" t="s">
        <v>1619</v>
      </c>
      <c r="U1544">
        <v>891612</v>
      </c>
      <c r="V1544" s="3">
        <v>46070.476388888892</v>
      </c>
      <c r="W1544" t="s">
        <v>1998</v>
      </c>
      <c r="X1544" t="s">
        <v>1999</v>
      </c>
      <c r="Y1544" t="str">
        <f>"1111111111"</f>
        <v>1111111111</v>
      </c>
      <c r="Z1544" t="s">
        <v>503</v>
      </c>
      <c r="AA1544" s="1">
        <v>46071</v>
      </c>
      <c r="AB1544" t="s">
        <v>1468</v>
      </c>
      <c r="AD1544" t="s">
        <v>61</v>
      </c>
      <c r="AE1544" t="s">
        <v>1469</v>
      </c>
      <c r="AF1544">
        <v>2060</v>
      </c>
      <c r="AG1544" t="s">
        <v>541</v>
      </c>
      <c r="AI1544" t="s">
        <v>59</v>
      </c>
      <c r="AL1544" t="s">
        <v>4022</v>
      </c>
      <c r="AN1544" s="3">
        <v>46071.493750000001</v>
      </c>
      <c r="AO1544" t="s">
        <v>67</v>
      </c>
    </row>
    <row r="1545" spans="1:41" x14ac:dyDescent="0.3">
      <c r="A1545" t="s">
        <v>41</v>
      </c>
      <c r="B1545" t="s">
        <v>138</v>
      </c>
      <c r="C1545" t="s">
        <v>139</v>
      </c>
      <c r="D1545" t="s">
        <v>127</v>
      </c>
      <c r="E1545" s="1">
        <v>46071</v>
      </c>
      <c r="F1545" t="s">
        <v>44</v>
      </c>
      <c r="G1545" t="s">
        <v>45</v>
      </c>
      <c r="H1545" s="2">
        <v>0.33333333333333331</v>
      </c>
      <c r="I1545" s="2">
        <v>0.64583333333333337</v>
      </c>
      <c r="J1545" t="s">
        <v>140</v>
      </c>
      <c r="L1545" t="s">
        <v>141</v>
      </c>
      <c r="M1545" t="s">
        <v>142</v>
      </c>
      <c r="N1545" t="s">
        <v>143</v>
      </c>
      <c r="O1545">
        <v>22649</v>
      </c>
      <c r="Q1545" t="s">
        <v>3419</v>
      </c>
      <c r="R1545" t="s">
        <v>723</v>
      </c>
      <c r="S1545" t="s">
        <v>52</v>
      </c>
      <c r="U1545">
        <v>890985</v>
      </c>
      <c r="V1545" s="3">
        <v>46064.688888888886</v>
      </c>
      <c r="W1545" t="s">
        <v>146</v>
      </c>
      <c r="X1545" t="s">
        <v>147</v>
      </c>
      <c r="Y1545" t="str">
        <f>"0407039143"</f>
        <v>0407039143</v>
      </c>
      <c r="Z1545" t="s">
        <v>123</v>
      </c>
      <c r="AB1545" t="s">
        <v>148</v>
      </c>
      <c r="AC1545" t="s">
        <v>149</v>
      </c>
      <c r="AD1545" t="s">
        <v>41</v>
      </c>
      <c r="AE1545" t="s">
        <v>150</v>
      </c>
      <c r="AF1545">
        <v>4000</v>
      </c>
      <c r="AG1545" t="s">
        <v>151</v>
      </c>
      <c r="AI1545" t="s">
        <v>59</v>
      </c>
      <c r="AL1545" t="s">
        <v>4023</v>
      </c>
      <c r="AN1545" s="3">
        <v>46071.68472222222</v>
      </c>
      <c r="AO1545" t="s">
        <v>146</v>
      </c>
    </row>
    <row r="1546" spans="1:41" x14ac:dyDescent="0.3">
      <c r="A1546" t="s">
        <v>306</v>
      </c>
      <c r="B1546" t="s">
        <v>4024</v>
      </c>
      <c r="C1546" t="s">
        <v>4024</v>
      </c>
      <c r="E1546" s="1">
        <v>46071</v>
      </c>
      <c r="F1546" t="s">
        <v>44</v>
      </c>
      <c r="G1546" t="s">
        <v>45</v>
      </c>
      <c r="H1546" s="2">
        <v>0.33333333333333331</v>
      </c>
      <c r="I1546" s="2">
        <v>0.6875</v>
      </c>
      <c r="J1546" t="s">
        <v>101</v>
      </c>
      <c r="K1546" t="s">
        <v>750</v>
      </c>
      <c r="L1546" t="s">
        <v>4025</v>
      </c>
      <c r="M1546" t="s">
        <v>2670</v>
      </c>
      <c r="N1546" t="s">
        <v>4026</v>
      </c>
      <c r="O1546">
        <v>5951530</v>
      </c>
      <c r="Q1546" t="s">
        <v>4027</v>
      </c>
      <c r="R1546" t="s">
        <v>1763</v>
      </c>
      <c r="S1546" t="s">
        <v>119</v>
      </c>
      <c r="T1546" t="s">
        <v>414</v>
      </c>
      <c r="U1546">
        <v>891638</v>
      </c>
      <c r="V1546" s="3">
        <v>46070.695833333331</v>
      </c>
      <c r="W1546" t="s">
        <v>4028</v>
      </c>
      <c r="X1546" t="s">
        <v>4029</v>
      </c>
      <c r="Y1546" t="str">
        <f>"0478414100"</f>
        <v>0478414100</v>
      </c>
      <c r="Z1546" t="s">
        <v>70</v>
      </c>
      <c r="AA1546" s="1">
        <v>46071</v>
      </c>
      <c r="AB1546" t="s">
        <v>4030</v>
      </c>
      <c r="AD1546" t="s">
        <v>306</v>
      </c>
      <c r="AE1546" t="s">
        <v>4031</v>
      </c>
      <c r="AF1546">
        <v>3305</v>
      </c>
      <c r="AG1546" t="s">
        <v>4032</v>
      </c>
      <c r="AI1546" t="s">
        <v>59</v>
      </c>
      <c r="AN1546" s="3">
        <v>46070.699305555558</v>
      </c>
      <c r="AO1546" t="s">
        <v>1763</v>
      </c>
    </row>
    <row r="1547" spans="1:41" x14ac:dyDescent="0.3">
      <c r="A1547" t="s">
        <v>61</v>
      </c>
      <c r="B1547" t="s">
        <v>126</v>
      </c>
      <c r="C1547" t="s">
        <v>43</v>
      </c>
      <c r="D1547" t="s">
        <v>127</v>
      </c>
      <c r="E1547" s="1">
        <v>46071</v>
      </c>
      <c r="F1547" t="s">
        <v>44</v>
      </c>
      <c r="G1547" t="s">
        <v>45</v>
      </c>
      <c r="H1547" s="2">
        <v>0.33333333333333331</v>
      </c>
      <c r="I1547" s="2">
        <v>0.99861111111111112</v>
      </c>
      <c r="J1547" t="s">
        <v>100</v>
      </c>
      <c r="L1547" t="s">
        <v>100</v>
      </c>
      <c r="M1547" t="s">
        <v>153</v>
      </c>
      <c r="N1547" t="s">
        <v>154</v>
      </c>
      <c r="O1547">
        <v>21936</v>
      </c>
      <c r="Q1547" t="s">
        <v>131</v>
      </c>
      <c r="R1547" t="s">
        <v>132</v>
      </c>
      <c r="S1547" t="s">
        <v>52</v>
      </c>
      <c r="U1547">
        <v>890989</v>
      </c>
      <c r="V1547" s="3">
        <v>46042.632638888892</v>
      </c>
      <c r="W1547" t="s">
        <v>155</v>
      </c>
      <c r="X1547" t="s">
        <v>156</v>
      </c>
      <c r="Y1547" t="str">
        <f>"0425175454"</f>
        <v>0425175454</v>
      </c>
      <c r="Z1547" t="s">
        <v>4033</v>
      </c>
      <c r="AB1547" t="s">
        <v>136</v>
      </c>
      <c r="AD1547" t="s">
        <v>61</v>
      </c>
      <c r="AE1547" t="s">
        <v>137</v>
      </c>
      <c r="AF1547">
        <v>2032</v>
      </c>
      <c r="AG1547" t="s">
        <v>131</v>
      </c>
      <c r="AI1547" t="s">
        <v>59</v>
      </c>
      <c r="AL1547" t="s">
        <v>3994</v>
      </c>
      <c r="AN1547" s="3">
        <v>46071.705555555556</v>
      </c>
      <c r="AO1547" t="s">
        <v>155</v>
      </c>
    </row>
    <row r="1548" spans="1:41" x14ac:dyDescent="0.3">
      <c r="A1548" t="s">
        <v>168</v>
      </c>
      <c r="B1548" t="s">
        <v>847</v>
      </c>
      <c r="C1548" t="s">
        <v>848</v>
      </c>
      <c r="D1548" t="s">
        <v>268</v>
      </c>
      <c r="E1548" s="1">
        <v>46071</v>
      </c>
      <c r="F1548" t="s">
        <v>44</v>
      </c>
      <c r="G1548" t="s">
        <v>45</v>
      </c>
      <c r="H1548" s="2">
        <v>0.35416666666666669</v>
      </c>
      <c r="I1548" s="2">
        <v>0.70833333333333337</v>
      </c>
      <c r="J1548" t="s">
        <v>101</v>
      </c>
      <c r="K1548" t="s">
        <v>849</v>
      </c>
      <c r="L1548" t="s">
        <v>159</v>
      </c>
      <c r="M1548" t="s">
        <v>1552</v>
      </c>
      <c r="N1548" t="s">
        <v>1553</v>
      </c>
      <c r="O1548">
        <v>5951790</v>
      </c>
      <c r="Q1548" t="s">
        <v>857</v>
      </c>
      <c r="R1548" t="s">
        <v>231</v>
      </c>
      <c r="S1548" t="s">
        <v>52</v>
      </c>
      <c r="U1548">
        <v>890994</v>
      </c>
      <c r="V1548" s="3">
        <v>46035.579861111109</v>
      </c>
      <c r="W1548" t="s">
        <v>1554</v>
      </c>
      <c r="X1548" t="s">
        <v>1555</v>
      </c>
      <c r="Y1548" t="str">
        <f>"0402115073"</f>
        <v>0402115073</v>
      </c>
      <c r="Z1548" t="s">
        <v>2531</v>
      </c>
      <c r="AB1548" t="s">
        <v>847</v>
      </c>
      <c r="AC1548" t="s">
        <v>855</v>
      </c>
      <c r="AD1548" t="s">
        <v>168</v>
      </c>
      <c r="AE1548" t="s">
        <v>856</v>
      </c>
      <c r="AF1548">
        <v>5112</v>
      </c>
      <c r="AG1548" t="s">
        <v>857</v>
      </c>
      <c r="AI1548" t="s">
        <v>59</v>
      </c>
      <c r="AL1548" t="s">
        <v>1556</v>
      </c>
      <c r="AN1548" s="3">
        <v>46071.722222222219</v>
      </c>
      <c r="AO1548" t="s">
        <v>1554</v>
      </c>
    </row>
    <row r="1549" spans="1:41" x14ac:dyDescent="0.3">
      <c r="A1549" t="s">
        <v>75</v>
      </c>
      <c r="B1549" t="s">
        <v>1891</v>
      </c>
      <c r="C1549" t="s">
        <v>43</v>
      </c>
      <c r="D1549" t="s">
        <v>719</v>
      </c>
      <c r="E1549" s="1">
        <v>46071</v>
      </c>
      <c r="F1549" t="s">
        <v>44</v>
      </c>
      <c r="G1549" t="s">
        <v>45</v>
      </c>
      <c r="H1549" s="2">
        <v>0.35416666666666669</v>
      </c>
      <c r="I1549" s="2">
        <v>0.60416666666666663</v>
      </c>
      <c r="J1549" t="s">
        <v>46</v>
      </c>
      <c r="L1549" t="s">
        <v>47</v>
      </c>
      <c r="M1549" t="s">
        <v>954</v>
      </c>
      <c r="N1549" t="s">
        <v>955</v>
      </c>
      <c r="O1549">
        <v>5952037</v>
      </c>
      <c r="Q1549" t="s">
        <v>1892</v>
      </c>
      <c r="R1549" t="s">
        <v>208</v>
      </c>
      <c r="S1549" t="s">
        <v>52</v>
      </c>
      <c r="U1549">
        <v>890991</v>
      </c>
      <c r="V1549" s="3">
        <v>46070.830555555556</v>
      </c>
      <c r="W1549" t="s">
        <v>957</v>
      </c>
      <c r="X1549" t="s">
        <v>958</v>
      </c>
      <c r="Y1549" t="str">
        <f>"0452457162"</f>
        <v>0452457162</v>
      </c>
      <c r="Z1549" t="s">
        <v>70</v>
      </c>
      <c r="AA1549" s="1">
        <v>46071</v>
      </c>
      <c r="AB1549" t="s">
        <v>1893</v>
      </c>
      <c r="AD1549" t="s">
        <v>75</v>
      </c>
      <c r="AE1549" t="s">
        <v>1894</v>
      </c>
      <c r="AF1549">
        <v>6007</v>
      </c>
      <c r="AG1549" t="s">
        <v>1892</v>
      </c>
      <c r="AI1549" t="s">
        <v>59</v>
      </c>
      <c r="AL1549" t="s">
        <v>87</v>
      </c>
      <c r="AN1549" s="3">
        <v>46071.710416666669</v>
      </c>
      <c r="AO1549" t="s">
        <v>957</v>
      </c>
    </row>
    <row r="1550" spans="1:41" x14ac:dyDescent="0.3">
      <c r="A1550" t="s">
        <v>61</v>
      </c>
      <c r="B1550" t="s">
        <v>62</v>
      </c>
      <c r="C1550" t="s">
        <v>43</v>
      </c>
      <c r="D1550" t="s">
        <v>63</v>
      </c>
      <c r="E1550" s="1">
        <v>46071</v>
      </c>
      <c r="F1550" t="s">
        <v>44</v>
      </c>
      <c r="G1550" t="s">
        <v>45</v>
      </c>
      <c r="H1550" s="2">
        <v>0.35416666666666669</v>
      </c>
      <c r="I1550" s="2">
        <v>0.99861111111111112</v>
      </c>
      <c r="J1550" t="s">
        <v>46</v>
      </c>
      <c r="L1550" t="s">
        <v>47</v>
      </c>
      <c r="M1550" t="s">
        <v>64</v>
      </c>
      <c r="N1550" t="s">
        <v>65</v>
      </c>
      <c r="O1550">
        <v>22580</v>
      </c>
      <c r="Q1550" t="s">
        <v>66</v>
      </c>
      <c r="R1550" t="s">
        <v>67</v>
      </c>
      <c r="S1550" t="s">
        <v>52</v>
      </c>
      <c r="U1550">
        <v>890988</v>
      </c>
      <c r="V1550" s="3">
        <v>46062.550694444442</v>
      </c>
      <c r="W1550" t="s">
        <v>68</v>
      </c>
      <c r="X1550" t="s">
        <v>69</v>
      </c>
      <c r="Y1550" t="str">
        <f>"0414449015"</f>
        <v>0414449015</v>
      </c>
      <c r="Z1550" t="s">
        <v>2486</v>
      </c>
      <c r="AB1550" t="s">
        <v>71</v>
      </c>
      <c r="AD1550" t="s">
        <v>61</v>
      </c>
      <c r="AE1550" t="s">
        <v>72</v>
      </c>
      <c r="AF1550">
        <v>2747</v>
      </c>
      <c r="AG1550" t="s">
        <v>73</v>
      </c>
      <c r="AI1550" t="s">
        <v>59</v>
      </c>
      <c r="AL1550" t="s">
        <v>4034</v>
      </c>
      <c r="AN1550" s="3">
        <v>46071.703472222223</v>
      </c>
      <c r="AO1550" t="s">
        <v>68</v>
      </c>
    </row>
    <row r="1551" spans="1:41" x14ac:dyDescent="0.3">
      <c r="A1551" t="s">
        <v>61</v>
      </c>
      <c r="B1551" t="s">
        <v>655</v>
      </c>
      <c r="C1551" t="s">
        <v>43</v>
      </c>
      <c r="D1551" t="s">
        <v>656</v>
      </c>
      <c r="E1551" s="1">
        <v>46071</v>
      </c>
      <c r="F1551" t="s">
        <v>44</v>
      </c>
      <c r="G1551" t="s">
        <v>45</v>
      </c>
      <c r="H1551" s="2">
        <v>0.35416666666666669</v>
      </c>
      <c r="I1551" s="2">
        <v>0.70833333333333337</v>
      </c>
      <c r="J1551" t="s">
        <v>100</v>
      </c>
      <c r="L1551" t="s">
        <v>100</v>
      </c>
      <c r="M1551" t="s">
        <v>1566</v>
      </c>
      <c r="N1551" t="s">
        <v>1567</v>
      </c>
      <c r="O1551">
        <v>20900</v>
      </c>
      <c r="Q1551" t="s">
        <v>665</v>
      </c>
      <c r="R1551" t="s">
        <v>145</v>
      </c>
      <c r="S1551" t="s">
        <v>52</v>
      </c>
      <c r="U1551">
        <v>890986</v>
      </c>
      <c r="V1551" s="3">
        <v>46037.762499999997</v>
      </c>
      <c r="W1551" t="s">
        <v>1569</v>
      </c>
      <c r="X1551" t="s">
        <v>1570</v>
      </c>
      <c r="Y1551" t="str">
        <f>"0411393136"</f>
        <v>0411393136</v>
      </c>
      <c r="Z1551" t="s">
        <v>4035</v>
      </c>
      <c r="AB1551" t="s">
        <v>662</v>
      </c>
      <c r="AC1551" t="s">
        <v>663</v>
      </c>
      <c r="AD1551" t="s">
        <v>61</v>
      </c>
      <c r="AE1551" t="s">
        <v>664</v>
      </c>
      <c r="AF1551">
        <v>2067</v>
      </c>
      <c r="AG1551" t="s">
        <v>1571</v>
      </c>
      <c r="AI1551" t="s">
        <v>59</v>
      </c>
      <c r="AL1551" t="s">
        <v>3994</v>
      </c>
      <c r="AN1551" s="3">
        <v>46071.685416666667</v>
      </c>
      <c r="AO1551" t="s">
        <v>1569</v>
      </c>
    </row>
    <row r="1552" spans="1:41" x14ac:dyDescent="0.3">
      <c r="A1552" t="s">
        <v>168</v>
      </c>
      <c r="B1552" t="s">
        <v>266</v>
      </c>
      <c r="C1552" t="s">
        <v>1150</v>
      </c>
      <c r="D1552" t="s">
        <v>268</v>
      </c>
      <c r="E1552" s="1">
        <v>46071</v>
      </c>
      <c r="F1552" t="s">
        <v>44</v>
      </c>
      <c r="G1552" t="s">
        <v>45</v>
      </c>
      <c r="H1552" s="2">
        <v>0.35416666666666669</v>
      </c>
      <c r="I1552" s="2">
        <v>0.70833333333333337</v>
      </c>
      <c r="J1552" t="s">
        <v>101</v>
      </c>
      <c r="L1552" t="s">
        <v>159</v>
      </c>
      <c r="M1552" t="s">
        <v>3549</v>
      </c>
      <c r="N1552" t="s">
        <v>836</v>
      </c>
      <c r="O1552">
        <v>22052</v>
      </c>
      <c r="Q1552" t="s">
        <v>2860</v>
      </c>
      <c r="R1552" t="s">
        <v>231</v>
      </c>
      <c r="S1552" t="s">
        <v>52</v>
      </c>
      <c r="U1552">
        <v>890996</v>
      </c>
      <c r="V1552" s="3">
        <v>46070.634027777778</v>
      </c>
      <c r="W1552" t="s">
        <v>3550</v>
      </c>
      <c r="X1552" t="s">
        <v>3551</v>
      </c>
      <c r="Y1552" t="str">
        <f>"0435486127"</f>
        <v>0435486127</v>
      </c>
      <c r="Z1552" t="s">
        <v>70</v>
      </c>
      <c r="AA1552" s="1">
        <v>46071</v>
      </c>
      <c r="AB1552" t="s">
        <v>277</v>
      </c>
      <c r="AC1552" t="s">
        <v>278</v>
      </c>
      <c r="AD1552" t="s">
        <v>168</v>
      </c>
      <c r="AE1552" t="s">
        <v>279</v>
      </c>
      <c r="AF1552">
        <v>5092</v>
      </c>
      <c r="AG1552" t="s">
        <v>1090</v>
      </c>
      <c r="AI1552" t="s">
        <v>59</v>
      </c>
      <c r="AL1552" t="s">
        <v>4036</v>
      </c>
      <c r="AM1552" t="s">
        <v>4037</v>
      </c>
      <c r="AN1552" s="3">
        <v>46071.729861111111</v>
      </c>
      <c r="AO1552" t="s">
        <v>3550</v>
      </c>
    </row>
    <row r="1553" spans="1:41" x14ac:dyDescent="0.3">
      <c r="A1553" t="s">
        <v>874</v>
      </c>
      <c r="B1553" t="s">
        <v>875</v>
      </c>
      <c r="D1553" t="s">
        <v>388</v>
      </c>
      <c r="E1553" s="1">
        <v>46071</v>
      </c>
      <c r="F1553" t="s">
        <v>44</v>
      </c>
      <c r="G1553" t="s">
        <v>45</v>
      </c>
      <c r="H1553" s="2">
        <v>0.35416666666666669</v>
      </c>
      <c r="I1553" s="2">
        <v>0.70833333333333337</v>
      </c>
      <c r="J1553" t="s">
        <v>876</v>
      </c>
      <c r="L1553" t="s">
        <v>877</v>
      </c>
      <c r="M1553" t="s">
        <v>878</v>
      </c>
      <c r="N1553" t="s">
        <v>879</v>
      </c>
      <c r="O1553">
        <v>5951689</v>
      </c>
      <c r="P1553" t="s">
        <v>249</v>
      </c>
      <c r="Q1553" t="s">
        <v>880</v>
      </c>
      <c r="R1553" t="s">
        <v>392</v>
      </c>
      <c r="S1553" t="s">
        <v>52</v>
      </c>
      <c r="T1553" t="s">
        <v>252</v>
      </c>
      <c r="U1553">
        <v>891245</v>
      </c>
      <c r="V1553" s="3">
        <v>46073.466666666667</v>
      </c>
      <c r="W1553" t="s">
        <v>881</v>
      </c>
      <c r="X1553" t="s">
        <v>882</v>
      </c>
      <c r="Y1553" t="str">
        <f>"0474765680"</f>
        <v>0474765680</v>
      </c>
      <c r="Z1553" t="s">
        <v>345</v>
      </c>
      <c r="AA1553" s="1">
        <v>46110</v>
      </c>
      <c r="AB1553" t="s">
        <v>883</v>
      </c>
      <c r="AD1553" t="s">
        <v>397</v>
      </c>
      <c r="AE1553" t="s">
        <v>884</v>
      </c>
      <c r="AG1553" t="s">
        <v>880</v>
      </c>
      <c r="AI1553" t="s">
        <v>59</v>
      </c>
      <c r="AJ1553" t="str">
        <f>"0090000061"</f>
        <v>0090000061</v>
      </c>
      <c r="AN1553" s="3">
        <v>46073.466666666667</v>
      </c>
      <c r="AO1553" t="s">
        <v>392</v>
      </c>
    </row>
    <row r="1554" spans="1:41" x14ac:dyDescent="0.3">
      <c r="A1554" t="s">
        <v>61</v>
      </c>
      <c r="B1554" t="s">
        <v>4038</v>
      </c>
      <c r="C1554" t="s">
        <v>43</v>
      </c>
      <c r="D1554" t="s">
        <v>4039</v>
      </c>
      <c r="E1554" s="1">
        <v>46071</v>
      </c>
      <c r="F1554" t="s">
        <v>44</v>
      </c>
      <c r="G1554" t="s">
        <v>45</v>
      </c>
      <c r="H1554" s="2">
        <v>0.36458333333333331</v>
      </c>
      <c r="I1554" s="2">
        <v>0.99861111111111112</v>
      </c>
      <c r="J1554" t="s">
        <v>46</v>
      </c>
      <c r="L1554" t="s">
        <v>159</v>
      </c>
      <c r="M1554" t="s">
        <v>1409</v>
      </c>
      <c r="N1554" t="s">
        <v>1410</v>
      </c>
      <c r="O1554">
        <v>5952321</v>
      </c>
      <c r="Q1554" t="s">
        <v>4040</v>
      </c>
      <c r="R1554" t="s">
        <v>67</v>
      </c>
      <c r="S1554" t="s">
        <v>52</v>
      </c>
      <c r="U1554">
        <v>890956</v>
      </c>
      <c r="V1554" s="3">
        <v>46066.475694444445</v>
      </c>
      <c r="W1554" t="s">
        <v>1412</v>
      </c>
      <c r="X1554" t="s">
        <v>1413</v>
      </c>
      <c r="Y1554" t="str">
        <f>"0420269827"</f>
        <v>0420269827</v>
      </c>
      <c r="Z1554" t="s">
        <v>70</v>
      </c>
      <c r="AA1554" s="1">
        <v>46071</v>
      </c>
      <c r="AB1554" t="s">
        <v>4041</v>
      </c>
      <c r="AD1554" t="s">
        <v>61</v>
      </c>
      <c r="AE1554" t="s">
        <v>2233</v>
      </c>
      <c r="AF1554">
        <v>2000</v>
      </c>
      <c r="AG1554" t="s">
        <v>4042</v>
      </c>
      <c r="AI1554" t="s">
        <v>59</v>
      </c>
      <c r="AL1554" t="s">
        <v>3994</v>
      </c>
      <c r="AN1554" s="3">
        <v>46071.492361111108</v>
      </c>
      <c r="AO1554" t="s">
        <v>1412</v>
      </c>
    </row>
    <row r="1555" spans="1:41" x14ac:dyDescent="0.3">
      <c r="A1555" t="s">
        <v>41</v>
      </c>
      <c r="B1555" t="s">
        <v>244</v>
      </c>
      <c r="C1555" t="s">
        <v>245</v>
      </c>
      <c r="D1555" t="s">
        <v>246</v>
      </c>
      <c r="E1555" s="1">
        <v>46071</v>
      </c>
      <c r="F1555" t="s">
        <v>44</v>
      </c>
      <c r="G1555" t="s">
        <v>45</v>
      </c>
      <c r="H1555" s="2">
        <v>0.375</v>
      </c>
      <c r="I1555" s="2">
        <v>0.72916666666666663</v>
      </c>
      <c r="J1555" t="s">
        <v>100</v>
      </c>
      <c r="L1555" t="s">
        <v>452</v>
      </c>
      <c r="M1555" t="s">
        <v>1122</v>
      </c>
      <c r="N1555" t="s">
        <v>1123</v>
      </c>
      <c r="O1555">
        <v>5951585</v>
      </c>
      <c r="P1555" t="s">
        <v>249</v>
      </c>
      <c r="Q1555" t="s">
        <v>250</v>
      </c>
      <c r="R1555" t="s">
        <v>1124</v>
      </c>
      <c r="S1555" t="s">
        <v>52</v>
      </c>
      <c r="T1555" t="s">
        <v>252</v>
      </c>
      <c r="U1555">
        <v>891476</v>
      </c>
      <c r="V1555" s="3">
        <v>46076.592361111114</v>
      </c>
      <c r="W1555" t="s">
        <v>1124</v>
      </c>
      <c r="X1555" t="s">
        <v>1125</v>
      </c>
      <c r="Y1555" t="str">
        <f>"0406622986"</f>
        <v>0406622986</v>
      </c>
      <c r="Z1555" t="s">
        <v>2417</v>
      </c>
      <c r="AA1555" s="1">
        <v>46082</v>
      </c>
      <c r="AB1555" t="s">
        <v>255</v>
      </c>
      <c r="AD1555" t="s">
        <v>41</v>
      </c>
      <c r="AE1555" t="s">
        <v>256</v>
      </c>
      <c r="AF1555">
        <v>4655</v>
      </c>
      <c r="AG1555" t="s">
        <v>3449</v>
      </c>
      <c r="AI1555" t="s">
        <v>59</v>
      </c>
      <c r="AJ1555" t="str">
        <f>"0050076953"</f>
        <v>0050076953</v>
      </c>
      <c r="AN1555" s="3">
        <v>46076.592361111114</v>
      </c>
      <c r="AO1555" t="s">
        <v>1124</v>
      </c>
    </row>
    <row r="1556" spans="1:41" x14ac:dyDescent="0.3">
      <c r="A1556" t="s">
        <v>306</v>
      </c>
      <c r="B1556" t="s">
        <v>1060</v>
      </c>
      <c r="C1556" t="s">
        <v>2166</v>
      </c>
      <c r="D1556" t="s">
        <v>184</v>
      </c>
      <c r="E1556" s="1">
        <v>46071</v>
      </c>
      <c r="F1556" t="s">
        <v>44</v>
      </c>
      <c r="G1556" t="s">
        <v>45</v>
      </c>
      <c r="H1556" s="2">
        <v>0.375</v>
      </c>
      <c r="I1556" s="2">
        <v>0.8125</v>
      </c>
      <c r="J1556" t="s">
        <v>1837</v>
      </c>
      <c r="L1556" t="s">
        <v>1327</v>
      </c>
      <c r="M1556" t="s">
        <v>1328</v>
      </c>
      <c r="N1556" t="s">
        <v>1329</v>
      </c>
      <c r="O1556">
        <v>20185</v>
      </c>
      <c r="Q1556" t="s">
        <v>705</v>
      </c>
      <c r="R1556" t="s">
        <v>500</v>
      </c>
      <c r="S1556" t="s">
        <v>119</v>
      </c>
      <c r="T1556" t="s">
        <v>1356</v>
      </c>
      <c r="U1556">
        <v>891437</v>
      </c>
      <c r="V1556" s="3">
        <v>46069.799305555556</v>
      </c>
      <c r="W1556" t="s">
        <v>1331</v>
      </c>
      <c r="X1556" t="s">
        <v>1332</v>
      </c>
      <c r="Y1556" t="str">
        <f>"0422616195"</f>
        <v>0422616195</v>
      </c>
      <c r="Z1556" t="s">
        <v>70</v>
      </c>
      <c r="AB1556" t="s">
        <v>1066</v>
      </c>
      <c r="AD1556" t="s">
        <v>306</v>
      </c>
      <c r="AE1556" t="s">
        <v>1067</v>
      </c>
      <c r="AF1556">
        <v>3084</v>
      </c>
      <c r="AI1556" t="s">
        <v>59</v>
      </c>
      <c r="AL1556" t="s">
        <v>4043</v>
      </c>
      <c r="AM1556" t="s">
        <v>4044</v>
      </c>
      <c r="AN1556" s="3">
        <v>46069.804166666669</v>
      </c>
      <c r="AO1556" t="s">
        <v>1331</v>
      </c>
    </row>
    <row r="1557" spans="1:41" x14ac:dyDescent="0.3">
      <c r="A1557" t="s">
        <v>168</v>
      </c>
      <c r="B1557" t="s">
        <v>266</v>
      </c>
      <c r="C1557" t="s">
        <v>202</v>
      </c>
      <c r="D1557" t="s">
        <v>268</v>
      </c>
      <c r="E1557" s="1">
        <v>46071</v>
      </c>
      <c r="F1557" t="s">
        <v>44</v>
      </c>
      <c r="G1557" t="s">
        <v>45</v>
      </c>
      <c r="H1557" s="2">
        <v>0.375</v>
      </c>
      <c r="I1557" s="2">
        <v>0.72916666666666663</v>
      </c>
      <c r="J1557" t="s">
        <v>46</v>
      </c>
      <c r="K1557" t="s">
        <v>849</v>
      </c>
      <c r="L1557" t="s">
        <v>47</v>
      </c>
      <c r="M1557" t="s">
        <v>1089</v>
      </c>
      <c r="N1557" t="s">
        <v>1024</v>
      </c>
      <c r="O1557">
        <v>20963</v>
      </c>
      <c r="Q1557" t="s">
        <v>4045</v>
      </c>
      <c r="R1557" t="s">
        <v>231</v>
      </c>
      <c r="S1557" t="s">
        <v>52</v>
      </c>
      <c r="U1557">
        <v>891001</v>
      </c>
      <c r="V1557" s="3">
        <v>46070.636111111111</v>
      </c>
      <c r="W1557" t="s">
        <v>1091</v>
      </c>
      <c r="X1557" t="s">
        <v>1092</v>
      </c>
      <c r="Y1557" t="str">
        <f>"0430222501"</f>
        <v>0430222501</v>
      </c>
      <c r="Z1557" t="s">
        <v>70</v>
      </c>
      <c r="AA1557" s="1">
        <v>46071</v>
      </c>
      <c r="AB1557" t="s">
        <v>277</v>
      </c>
      <c r="AC1557" t="s">
        <v>278</v>
      </c>
      <c r="AD1557" t="s">
        <v>168</v>
      </c>
      <c r="AE1557" t="s">
        <v>279</v>
      </c>
      <c r="AF1557">
        <v>5092</v>
      </c>
      <c r="AG1557" t="s">
        <v>1090</v>
      </c>
      <c r="AI1557" t="s">
        <v>59</v>
      </c>
      <c r="AL1557" t="s">
        <v>4046</v>
      </c>
      <c r="AN1557" s="3">
        <v>46071.754166666666</v>
      </c>
      <c r="AO1557" t="s">
        <v>1091</v>
      </c>
    </row>
    <row r="1558" spans="1:41" x14ac:dyDescent="0.3">
      <c r="A1558" t="s">
        <v>168</v>
      </c>
      <c r="B1558" t="s">
        <v>689</v>
      </c>
      <c r="C1558" t="s">
        <v>43</v>
      </c>
      <c r="D1558" t="s">
        <v>268</v>
      </c>
      <c r="E1558" s="1">
        <v>46071</v>
      </c>
      <c r="F1558" t="s">
        <v>44</v>
      </c>
      <c r="G1558" t="s">
        <v>45</v>
      </c>
      <c r="H1558" s="2">
        <v>0.375</v>
      </c>
      <c r="I1558" s="2">
        <v>0.75</v>
      </c>
      <c r="J1558" t="s">
        <v>100</v>
      </c>
      <c r="L1558" t="s">
        <v>100</v>
      </c>
      <c r="M1558" t="s">
        <v>862</v>
      </c>
      <c r="N1558" t="s">
        <v>863</v>
      </c>
      <c r="O1558">
        <v>5952375</v>
      </c>
      <c r="Q1558" t="s">
        <v>692</v>
      </c>
      <c r="R1558" t="s">
        <v>864</v>
      </c>
      <c r="S1558" t="s">
        <v>52</v>
      </c>
      <c r="T1558" t="s">
        <v>252</v>
      </c>
      <c r="U1558">
        <v>891425</v>
      </c>
      <c r="V1558" s="3">
        <v>46076.354166666664</v>
      </c>
      <c r="W1558" t="s">
        <v>864</v>
      </c>
      <c r="X1558" t="s">
        <v>865</v>
      </c>
      <c r="Y1558" t="str">
        <f>"0433092113"</f>
        <v>0433092113</v>
      </c>
      <c r="Z1558" t="s">
        <v>345</v>
      </c>
      <c r="AA1558" s="1">
        <v>46075</v>
      </c>
      <c r="AB1558" t="s">
        <v>695</v>
      </c>
      <c r="AD1558" t="s">
        <v>168</v>
      </c>
      <c r="AE1558" t="s">
        <v>696</v>
      </c>
      <c r="AF1558">
        <v>5606</v>
      </c>
      <c r="AG1558" t="s">
        <v>3045</v>
      </c>
      <c r="AI1558" t="s">
        <v>59</v>
      </c>
      <c r="AJ1558" t="str">
        <f>"0020187960"</f>
        <v>0020187960</v>
      </c>
      <c r="AN1558" s="3">
        <v>46076.354166666664</v>
      </c>
      <c r="AO1558" t="s">
        <v>864</v>
      </c>
    </row>
    <row r="1559" spans="1:41" x14ac:dyDescent="0.3">
      <c r="A1559" t="s">
        <v>61</v>
      </c>
      <c r="B1559" t="s">
        <v>62</v>
      </c>
      <c r="C1559" t="s">
        <v>100</v>
      </c>
      <c r="D1559" t="s">
        <v>63</v>
      </c>
      <c r="E1559" s="1">
        <v>46071</v>
      </c>
      <c r="F1559" t="s">
        <v>44</v>
      </c>
      <c r="G1559" t="s">
        <v>45</v>
      </c>
      <c r="H1559" s="2">
        <v>0.41666666666666669</v>
      </c>
      <c r="I1559" s="2">
        <v>0.77083333333333337</v>
      </c>
      <c r="J1559" t="s">
        <v>100</v>
      </c>
      <c r="L1559" t="s">
        <v>100</v>
      </c>
      <c r="M1559" t="s">
        <v>101</v>
      </c>
      <c r="N1559" t="s">
        <v>102</v>
      </c>
      <c r="O1559">
        <v>27</v>
      </c>
      <c r="Q1559" t="s">
        <v>1051</v>
      </c>
      <c r="R1559" t="s">
        <v>132</v>
      </c>
      <c r="S1559" t="s">
        <v>52</v>
      </c>
      <c r="U1559">
        <v>891002</v>
      </c>
      <c r="V1559" s="3">
        <v>46052.632638888892</v>
      </c>
      <c r="W1559" t="s">
        <v>104</v>
      </c>
      <c r="X1559" t="s">
        <v>105</v>
      </c>
      <c r="Y1559" t="str">
        <f>"0403748369"</f>
        <v>0403748369</v>
      </c>
      <c r="Z1559" t="s">
        <v>3326</v>
      </c>
      <c r="AB1559" t="s">
        <v>71</v>
      </c>
      <c r="AD1559" t="s">
        <v>61</v>
      </c>
      <c r="AE1559" t="s">
        <v>72</v>
      </c>
      <c r="AF1559">
        <v>2747</v>
      </c>
      <c r="AG1559" t="s">
        <v>1051</v>
      </c>
      <c r="AI1559" t="s">
        <v>59</v>
      </c>
      <c r="AL1559" t="s">
        <v>3994</v>
      </c>
      <c r="AN1559" s="3">
        <v>46071.756944444445</v>
      </c>
      <c r="AO1559" t="s">
        <v>104</v>
      </c>
    </row>
    <row r="1560" spans="1:41" x14ac:dyDescent="0.3">
      <c r="A1560" t="s">
        <v>61</v>
      </c>
      <c r="B1560" t="s">
        <v>992</v>
      </c>
      <c r="C1560" t="s">
        <v>993</v>
      </c>
      <c r="D1560" t="s">
        <v>63</v>
      </c>
      <c r="E1560" s="1">
        <v>46071</v>
      </c>
      <c r="F1560" t="s">
        <v>44</v>
      </c>
      <c r="G1560" t="s">
        <v>45</v>
      </c>
      <c r="H1560" s="2">
        <v>0.41666666666666669</v>
      </c>
      <c r="I1560" s="2">
        <v>0.77083333333333337</v>
      </c>
      <c r="J1560" t="s">
        <v>46</v>
      </c>
      <c r="L1560" t="s">
        <v>47</v>
      </c>
      <c r="M1560" t="s">
        <v>4047</v>
      </c>
      <c r="N1560" t="s">
        <v>4048</v>
      </c>
      <c r="O1560">
        <v>585</v>
      </c>
      <c r="Q1560" t="s">
        <v>3393</v>
      </c>
      <c r="R1560" t="s">
        <v>67</v>
      </c>
      <c r="S1560" t="s">
        <v>52</v>
      </c>
      <c r="U1560">
        <v>890981</v>
      </c>
      <c r="V1560" s="3">
        <v>46065.536111111112</v>
      </c>
      <c r="W1560" t="s">
        <v>4049</v>
      </c>
      <c r="X1560" t="s">
        <v>4050</v>
      </c>
      <c r="Y1560" t="str">
        <f>"0415056370"</f>
        <v>0415056370</v>
      </c>
      <c r="Z1560" t="s">
        <v>503</v>
      </c>
      <c r="AB1560" t="s">
        <v>1000</v>
      </c>
      <c r="AD1560" t="s">
        <v>61</v>
      </c>
      <c r="AE1560" t="s">
        <v>1001</v>
      </c>
      <c r="AF1560">
        <v>2560</v>
      </c>
      <c r="AG1560" t="s">
        <v>1384</v>
      </c>
      <c r="AI1560" t="s">
        <v>59</v>
      </c>
      <c r="AL1560" t="s">
        <v>3994</v>
      </c>
      <c r="AN1560" s="3">
        <v>46071.661805555559</v>
      </c>
      <c r="AO1560" t="s">
        <v>4049</v>
      </c>
    </row>
    <row r="1561" spans="1:41" x14ac:dyDescent="0.3">
      <c r="A1561" t="s">
        <v>168</v>
      </c>
      <c r="B1561" t="s">
        <v>441</v>
      </c>
      <c r="C1561" t="s">
        <v>202</v>
      </c>
      <c r="E1561" s="1">
        <v>46071</v>
      </c>
      <c r="F1561" t="s">
        <v>44</v>
      </c>
      <c r="G1561" t="s">
        <v>45</v>
      </c>
      <c r="H1561" s="2">
        <v>0.41666666666666669</v>
      </c>
      <c r="I1561" s="2">
        <v>0.70833333333333337</v>
      </c>
      <c r="J1561" t="s">
        <v>46</v>
      </c>
      <c r="L1561" t="s">
        <v>204</v>
      </c>
      <c r="M1561" t="s">
        <v>205</v>
      </c>
      <c r="N1561" t="s">
        <v>206</v>
      </c>
      <c r="O1561">
        <v>21706</v>
      </c>
      <c r="Q1561" t="s">
        <v>944</v>
      </c>
      <c r="R1561" t="s">
        <v>231</v>
      </c>
      <c r="S1561" t="s">
        <v>52</v>
      </c>
      <c r="U1561">
        <v>890995</v>
      </c>
      <c r="V1561" s="3">
        <v>46071.361111111109</v>
      </c>
      <c r="W1561" t="s">
        <v>209</v>
      </c>
      <c r="X1561" t="s">
        <v>210</v>
      </c>
      <c r="Y1561" t="str">
        <f>"0415862070"</f>
        <v>0415862070</v>
      </c>
      <c r="Z1561" t="s">
        <v>123</v>
      </c>
      <c r="AA1561" s="1">
        <v>46071</v>
      </c>
      <c r="AB1561" t="s">
        <v>448</v>
      </c>
      <c r="AD1561" t="s">
        <v>168</v>
      </c>
      <c r="AE1561" t="s">
        <v>180</v>
      </c>
      <c r="AF1561">
        <v>5063</v>
      </c>
      <c r="AG1561" t="s">
        <v>944</v>
      </c>
      <c r="AI1561" t="s">
        <v>59</v>
      </c>
      <c r="AL1561" t="s">
        <v>4051</v>
      </c>
      <c r="AN1561" s="3">
        <v>46071.726388888892</v>
      </c>
      <c r="AO1561" t="s">
        <v>209</v>
      </c>
    </row>
    <row r="1562" spans="1:41" x14ac:dyDescent="0.3">
      <c r="A1562" t="s">
        <v>168</v>
      </c>
      <c r="B1562" t="s">
        <v>441</v>
      </c>
      <c r="C1562" t="s">
        <v>43</v>
      </c>
      <c r="E1562" s="1">
        <v>46071</v>
      </c>
      <c r="F1562" t="s">
        <v>44</v>
      </c>
      <c r="G1562" t="s">
        <v>128</v>
      </c>
      <c r="H1562" s="2">
        <v>0.41666666666666669</v>
      </c>
      <c r="I1562" s="2">
        <v>0.75</v>
      </c>
      <c r="J1562" t="s">
        <v>258</v>
      </c>
      <c r="K1562" t="s">
        <v>259</v>
      </c>
      <c r="L1562" t="s">
        <v>784</v>
      </c>
      <c r="M1562" t="s">
        <v>1611</v>
      </c>
      <c r="N1562" t="s">
        <v>1612</v>
      </c>
      <c r="O1562">
        <v>22896</v>
      </c>
      <c r="Q1562" t="s">
        <v>944</v>
      </c>
      <c r="R1562" t="s">
        <v>556</v>
      </c>
      <c r="S1562" t="s">
        <v>52</v>
      </c>
      <c r="U1562">
        <v>890990</v>
      </c>
      <c r="V1562" s="3">
        <v>46051.081250000003</v>
      </c>
      <c r="W1562" t="s">
        <v>1613</v>
      </c>
      <c r="X1562" t="s">
        <v>1614</v>
      </c>
      <c r="Y1562" t="str">
        <f>"0417823460"</f>
        <v>0417823460</v>
      </c>
      <c r="Z1562" t="s">
        <v>70</v>
      </c>
      <c r="AA1562" s="1">
        <v>46071</v>
      </c>
      <c r="AB1562" t="s">
        <v>448</v>
      </c>
      <c r="AD1562" t="s">
        <v>168</v>
      </c>
      <c r="AE1562" t="s">
        <v>180</v>
      </c>
      <c r="AF1562">
        <v>5063</v>
      </c>
      <c r="AG1562" t="s">
        <v>944</v>
      </c>
      <c r="AI1562" t="s">
        <v>59</v>
      </c>
      <c r="AL1562" t="s">
        <v>4052</v>
      </c>
      <c r="AM1562" t="s">
        <v>4053</v>
      </c>
      <c r="AN1562" s="3">
        <v>46071.709027777775</v>
      </c>
      <c r="AO1562" t="s">
        <v>1613</v>
      </c>
    </row>
    <row r="1563" spans="1:41" x14ac:dyDescent="0.3">
      <c r="A1563" t="s">
        <v>61</v>
      </c>
      <c r="B1563" t="s">
        <v>912</v>
      </c>
      <c r="C1563" t="s">
        <v>913</v>
      </c>
      <c r="D1563" t="s">
        <v>184</v>
      </c>
      <c r="E1563" s="1">
        <v>46071</v>
      </c>
      <c r="F1563" t="s">
        <v>44</v>
      </c>
      <c r="G1563" t="s">
        <v>45</v>
      </c>
      <c r="H1563" s="2">
        <v>0.4375</v>
      </c>
      <c r="I1563" s="2">
        <v>0.99861111111111112</v>
      </c>
      <c r="J1563" t="s">
        <v>46</v>
      </c>
      <c r="L1563" t="s">
        <v>47</v>
      </c>
      <c r="M1563" t="s">
        <v>91</v>
      </c>
      <c r="N1563" t="s">
        <v>92</v>
      </c>
      <c r="O1563">
        <v>5950650</v>
      </c>
      <c r="Q1563" t="s">
        <v>916</v>
      </c>
      <c r="R1563" t="s">
        <v>132</v>
      </c>
      <c r="S1563" t="s">
        <v>52</v>
      </c>
      <c r="U1563">
        <v>891139</v>
      </c>
      <c r="V1563" s="3">
        <v>46058.480555555558</v>
      </c>
      <c r="W1563" t="s">
        <v>94</v>
      </c>
      <c r="X1563" t="s">
        <v>95</v>
      </c>
      <c r="Y1563" t="str">
        <f>"0493332534"</f>
        <v>0493332534</v>
      </c>
      <c r="Z1563" t="s">
        <v>2595</v>
      </c>
      <c r="AA1563" s="1">
        <v>46071</v>
      </c>
      <c r="AB1563" t="s">
        <v>920</v>
      </c>
      <c r="AC1563" t="s">
        <v>921</v>
      </c>
      <c r="AD1563" t="s">
        <v>61</v>
      </c>
      <c r="AE1563" t="s">
        <v>922</v>
      </c>
      <c r="AF1563">
        <v>2228</v>
      </c>
      <c r="AG1563" t="s">
        <v>923</v>
      </c>
      <c r="AI1563" t="s">
        <v>59</v>
      </c>
      <c r="AL1563" t="s">
        <v>3994</v>
      </c>
      <c r="AN1563" s="3">
        <v>46072.743055555555</v>
      </c>
      <c r="AO1563" t="s">
        <v>94</v>
      </c>
    </row>
    <row r="1564" spans="1:41" x14ac:dyDescent="0.3">
      <c r="A1564" t="s">
        <v>306</v>
      </c>
      <c r="B1564" t="s">
        <v>1060</v>
      </c>
      <c r="C1564" t="s">
        <v>100</v>
      </c>
      <c r="D1564" t="s">
        <v>184</v>
      </c>
      <c r="E1564" s="1">
        <v>46071</v>
      </c>
      <c r="F1564" t="s">
        <v>44</v>
      </c>
      <c r="G1564" t="s">
        <v>45</v>
      </c>
      <c r="H1564" s="2">
        <v>0.45833333333333331</v>
      </c>
      <c r="I1564" s="2">
        <v>0.89583333333333337</v>
      </c>
      <c r="J1564" t="s">
        <v>1061</v>
      </c>
      <c r="L1564" t="s">
        <v>452</v>
      </c>
      <c r="M1564" t="s">
        <v>2556</v>
      </c>
      <c r="N1564" t="s">
        <v>2557</v>
      </c>
      <c r="O1564">
        <v>5952058</v>
      </c>
      <c r="Q1564" t="s">
        <v>413</v>
      </c>
      <c r="R1564" t="s">
        <v>476</v>
      </c>
      <c r="S1564" t="s">
        <v>119</v>
      </c>
      <c r="T1564" t="s">
        <v>414</v>
      </c>
      <c r="U1564">
        <v>891390</v>
      </c>
      <c r="V1564" s="3">
        <v>46070.539583333331</v>
      </c>
      <c r="W1564" t="s">
        <v>2558</v>
      </c>
      <c r="X1564" t="s">
        <v>2559</v>
      </c>
      <c r="Y1564" t="str">
        <f>"0423409018"</f>
        <v>0423409018</v>
      </c>
      <c r="Z1564" t="s">
        <v>70</v>
      </c>
      <c r="AB1564" t="s">
        <v>1066</v>
      </c>
      <c r="AD1564" t="s">
        <v>306</v>
      </c>
      <c r="AE1564" t="s">
        <v>1067</v>
      </c>
      <c r="AF1564">
        <v>3084</v>
      </c>
      <c r="AI1564" t="s">
        <v>59</v>
      </c>
      <c r="AL1564" t="s">
        <v>1068</v>
      </c>
      <c r="AM1564" t="s">
        <v>4054</v>
      </c>
      <c r="AN1564" s="3">
        <v>46070.542361111111</v>
      </c>
      <c r="AO1564" t="s">
        <v>476</v>
      </c>
    </row>
    <row r="1565" spans="1:41" x14ac:dyDescent="0.3">
      <c r="A1565" t="s">
        <v>61</v>
      </c>
      <c r="B1565" t="s">
        <v>912</v>
      </c>
      <c r="C1565" t="s">
        <v>913</v>
      </c>
      <c r="D1565" t="s">
        <v>184</v>
      </c>
      <c r="E1565" s="1">
        <v>46071</v>
      </c>
      <c r="F1565" t="s">
        <v>44</v>
      </c>
      <c r="G1565" t="s">
        <v>45</v>
      </c>
      <c r="H1565" s="2">
        <v>0.47916666666666669</v>
      </c>
      <c r="I1565" s="2">
        <v>0.99861111111111112</v>
      </c>
      <c r="J1565" t="s">
        <v>46</v>
      </c>
      <c r="L1565" t="s">
        <v>47</v>
      </c>
      <c r="M1565" t="s">
        <v>1578</v>
      </c>
      <c r="N1565" t="s">
        <v>1803</v>
      </c>
      <c r="O1565">
        <v>5950668</v>
      </c>
      <c r="Q1565" t="s">
        <v>4055</v>
      </c>
      <c r="R1565" t="s">
        <v>132</v>
      </c>
      <c r="S1565" t="s">
        <v>52</v>
      </c>
      <c r="U1565">
        <v>891010</v>
      </c>
      <c r="V1565" s="3">
        <v>46065.484027777777</v>
      </c>
      <c r="W1565" t="s">
        <v>1804</v>
      </c>
      <c r="X1565" t="s">
        <v>1805</v>
      </c>
      <c r="Y1565" t="str">
        <f>"0429048174"</f>
        <v>0429048174</v>
      </c>
      <c r="Z1565" t="s">
        <v>545</v>
      </c>
      <c r="AA1565" s="1">
        <v>46071</v>
      </c>
      <c r="AB1565" t="s">
        <v>920</v>
      </c>
      <c r="AC1565" t="s">
        <v>921</v>
      </c>
      <c r="AD1565" t="s">
        <v>61</v>
      </c>
      <c r="AE1565" t="s">
        <v>922</v>
      </c>
      <c r="AF1565">
        <v>2228</v>
      </c>
      <c r="AG1565" t="s">
        <v>1807</v>
      </c>
      <c r="AI1565" t="s">
        <v>59</v>
      </c>
      <c r="AL1565" t="s">
        <v>3994</v>
      </c>
      <c r="AN1565" s="3">
        <v>46071.807638888888</v>
      </c>
      <c r="AO1565" t="s">
        <v>1804</v>
      </c>
    </row>
    <row r="1566" spans="1:41" x14ac:dyDescent="0.3">
      <c r="A1566" t="s">
        <v>61</v>
      </c>
      <c r="B1566" t="s">
        <v>88</v>
      </c>
      <c r="C1566" t="s">
        <v>89</v>
      </c>
      <c r="D1566" t="s">
        <v>90</v>
      </c>
      <c r="E1566" s="1">
        <v>46071</v>
      </c>
      <c r="F1566" t="s">
        <v>44</v>
      </c>
      <c r="G1566" t="s">
        <v>45</v>
      </c>
      <c r="H1566" s="2">
        <v>0.47916666666666669</v>
      </c>
      <c r="I1566" s="2">
        <v>0.83333333333333337</v>
      </c>
      <c r="J1566" t="s">
        <v>46</v>
      </c>
      <c r="L1566" t="s">
        <v>298</v>
      </c>
      <c r="M1566" t="s">
        <v>960</v>
      </c>
      <c r="N1566" t="s">
        <v>961</v>
      </c>
      <c r="O1566">
        <v>5952208</v>
      </c>
      <c r="Q1566" t="s">
        <v>1245</v>
      </c>
      <c r="R1566" t="s">
        <v>208</v>
      </c>
      <c r="S1566" t="s">
        <v>52</v>
      </c>
      <c r="U1566">
        <v>891014</v>
      </c>
      <c r="V1566" s="3">
        <v>46070.776388888888</v>
      </c>
      <c r="W1566" t="s">
        <v>962</v>
      </c>
      <c r="X1566" t="s">
        <v>963</v>
      </c>
      <c r="Y1566" t="str">
        <f>"0427301257"</f>
        <v>0427301257</v>
      </c>
      <c r="Z1566" t="s">
        <v>70</v>
      </c>
      <c r="AA1566" s="1">
        <v>46071</v>
      </c>
      <c r="AB1566" t="s">
        <v>96</v>
      </c>
      <c r="AD1566" t="s">
        <v>61</v>
      </c>
      <c r="AE1566" t="s">
        <v>97</v>
      </c>
      <c r="AF1566">
        <v>2010</v>
      </c>
      <c r="AG1566" t="s">
        <v>3432</v>
      </c>
      <c r="AI1566" t="s">
        <v>59</v>
      </c>
      <c r="AN1566" s="3">
        <v>46071.832638888889</v>
      </c>
      <c r="AO1566" t="s">
        <v>962</v>
      </c>
    </row>
    <row r="1567" spans="1:41" x14ac:dyDescent="0.3">
      <c r="A1567" t="s">
        <v>61</v>
      </c>
      <c r="B1567" t="s">
        <v>62</v>
      </c>
      <c r="C1567" t="s">
        <v>43</v>
      </c>
      <c r="D1567" t="s">
        <v>63</v>
      </c>
      <c r="E1567" s="1">
        <v>46071</v>
      </c>
      <c r="F1567" t="s">
        <v>44</v>
      </c>
      <c r="G1567" t="s">
        <v>128</v>
      </c>
      <c r="H1567" s="2">
        <v>0.5</v>
      </c>
      <c r="I1567" s="2">
        <v>0.99861111111111112</v>
      </c>
      <c r="J1567" t="s">
        <v>101</v>
      </c>
      <c r="L1567" t="s">
        <v>159</v>
      </c>
      <c r="M1567" t="s">
        <v>645</v>
      </c>
      <c r="N1567" t="s">
        <v>646</v>
      </c>
      <c r="O1567">
        <v>5950942</v>
      </c>
      <c r="Q1567" t="s">
        <v>73</v>
      </c>
      <c r="R1567" t="s">
        <v>132</v>
      </c>
      <c r="S1567" t="s">
        <v>52</v>
      </c>
      <c r="U1567">
        <v>891006</v>
      </c>
      <c r="V1567" s="3">
        <v>46062.446527777778</v>
      </c>
      <c r="W1567" t="s">
        <v>647</v>
      </c>
      <c r="X1567" t="s">
        <v>648</v>
      </c>
      <c r="Y1567" t="str">
        <f>"0411463760"</f>
        <v>0411463760</v>
      </c>
      <c r="Z1567" t="s">
        <v>345</v>
      </c>
      <c r="AB1567" t="s">
        <v>71</v>
      </c>
      <c r="AD1567" t="s">
        <v>61</v>
      </c>
      <c r="AE1567" t="s">
        <v>72</v>
      </c>
      <c r="AF1567">
        <v>2747</v>
      </c>
      <c r="AG1567" t="s">
        <v>73</v>
      </c>
      <c r="AI1567" t="s">
        <v>59</v>
      </c>
      <c r="AL1567" t="s">
        <v>4056</v>
      </c>
      <c r="AN1567" s="3">
        <v>46071.780555555553</v>
      </c>
      <c r="AO1567" t="s">
        <v>647</v>
      </c>
    </row>
    <row r="1568" spans="1:41" x14ac:dyDescent="0.3">
      <c r="A1568" t="s">
        <v>75</v>
      </c>
      <c r="B1568" t="s">
        <v>895</v>
      </c>
      <c r="C1568" t="s">
        <v>1621</v>
      </c>
      <c r="D1568" t="s">
        <v>184</v>
      </c>
      <c r="E1568" s="1">
        <v>46071</v>
      </c>
      <c r="F1568" t="s">
        <v>44</v>
      </c>
      <c r="G1568" t="s">
        <v>128</v>
      </c>
      <c r="H1568" s="2">
        <v>0.5</v>
      </c>
      <c r="I1568" s="2">
        <v>0.91666666666666663</v>
      </c>
      <c r="J1568" t="s">
        <v>296</v>
      </c>
      <c r="L1568" t="s">
        <v>1453</v>
      </c>
      <c r="M1568" t="s">
        <v>1622</v>
      </c>
      <c r="N1568" t="s">
        <v>1623</v>
      </c>
      <c r="O1568">
        <v>5952211</v>
      </c>
      <c r="Q1568" t="s">
        <v>2159</v>
      </c>
      <c r="R1568" t="s">
        <v>81</v>
      </c>
      <c r="S1568" t="s">
        <v>52</v>
      </c>
      <c r="U1568">
        <v>891385</v>
      </c>
      <c r="V1568" s="3">
        <v>46062.489583333336</v>
      </c>
      <c r="W1568" t="s">
        <v>1624</v>
      </c>
      <c r="X1568" t="s">
        <v>1625</v>
      </c>
      <c r="Y1568" t="str">
        <f>"0494406921"</f>
        <v>0494406921</v>
      </c>
      <c r="Z1568" t="s">
        <v>1013</v>
      </c>
      <c r="AB1568" t="s">
        <v>902</v>
      </c>
      <c r="AD1568" t="s">
        <v>75</v>
      </c>
      <c r="AE1568" t="s">
        <v>903</v>
      </c>
      <c r="AF1568">
        <v>6009</v>
      </c>
      <c r="AG1568" t="s">
        <v>2159</v>
      </c>
      <c r="AI1568" t="s">
        <v>59</v>
      </c>
      <c r="AL1568" t="s">
        <v>4057</v>
      </c>
      <c r="AN1568" s="3">
        <v>46075.738888888889</v>
      </c>
      <c r="AO1568" t="s">
        <v>1624</v>
      </c>
    </row>
    <row r="1569" spans="1:41" x14ac:dyDescent="0.3">
      <c r="A1569" t="s">
        <v>75</v>
      </c>
      <c r="B1569" t="s">
        <v>76</v>
      </c>
      <c r="C1569" t="s">
        <v>43</v>
      </c>
      <c r="D1569" t="s">
        <v>63</v>
      </c>
      <c r="E1569" s="1">
        <v>46071</v>
      </c>
      <c r="F1569" t="s">
        <v>44</v>
      </c>
      <c r="G1569" t="s">
        <v>128</v>
      </c>
      <c r="H1569" s="2">
        <v>0.5</v>
      </c>
      <c r="I1569" s="2">
        <v>0.89583333333333337</v>
      </c>
      <c r="J1569" t="s">
        <v>46</v>
      </c>
      <c r="K1569" t="s">
        <v>77</v>
      </c>
      <c r="L1569" t="s">
        <v>47</v>
      </c>
      <c r="M1569" t="s">
        <v>64</v>
      </c>
      <c r="N1569" t="s">
        <v>1055</v>
      </c>
      <c r="O1569">
        <v>5951519</v>
      </c>
      <c r="Q1569" t="s">
        <v>1056</v>
      </c>
      <c r="R1569" t="s">
        <v>926</v>
      </c>
      <c r="S1569" t="s">
        <v>52</v>
      </c>
      <c r="U1569">
        <v>891056</v>
      </c>
      <c r="V1569" s="3">
        <v>46071.435416666667</v>
      </c>
      <c r="W1569" t="s">
        <v>1057</v>
      </c>
      <c r="X1569" t="s">
        <v>1058</v>
      </c>
      <c r="Y1569" t="str">
        <f>"0432063806"</f>
        <v>0432063806</v>
      </c>
      <c r="Z1569" t="s">
        <v>70</v>
      </c>
      <c r="AA1569" s="1">
        <v>46071</v>
      </c>
      <c r="AB1569" t="s">
        <v>85</v>
      </c>
      <c r="AD1569" t="s">
        <v>75</v>
      </c>
      <c r="AE1569" t="s">
        <v>86</v>
      </c>
      <c r="AF1569">
        <v>6000</v>
      </c>
      <c r="AG1569" t="s">
        <v>1059</v>
      </c>
      <c r="AI1569" t="s">
        <v>59</v>
      </c>
      <c r="AL1569" t="s">
        <v>87</v>
      </c>
      <c r="AN1569" s="3">
        <v>46072.00277777778</v>
      </c>
      <c r="AO1569" t="s">
        <v>1057</v>
      </c>
    </row>
    <row r="1570" spans="1:41" x14ac:dyDescent="0.3">
      <c r="A1570" t="s">
        <v>61</v>
      </c>
      <c r="B1570" t="s">
        <v>912</v>
      </c>
      <c r="C1570" t="s">
        <v>913</v>
      </c>
      <c r="D1570" t="s">
        <v>184</v>
      </c>
      <c r="E1570" s="1">
        <v>46071</v>
      </c>
      <c r="F1570" t="s">
        <v>44</v>
      </c>
      <c r="G1570" t="s">
        <v>128</v>
      </c>
      <c r="H1570" s="2">
        <v>0.5</v>
      </c>
      <c r="I1570" s="2">
        <v>0.99861111111111112</v>
      </c>
      <c r="J1570" t="s">
        <v>185</v>
      </c>
      <c r="K1570" t="s">
        <v>284</v>
      </c>
      <c r="L1570" t="s">
        <v>186</v>
      </c>
      <c r="M1570" t="s">
        <v>1395</v>
      </c>
      <c r="N1570" t="s">
        <v>1396</v>
      </c>
      <c r="O1570">
        <v>758</v>
      </c>
      <c r="Q1570" t="s">
        <v>923</v>
      </c>
      <c r="R1570" t="s">
        <v>132</v>
      </c>
      <c r="S1570" t="s">
        <v>52</v>
      </c>
      <c r="U1570">
        <v>891021</v>
      </c>
      <c r="V1570" s="3">
        <v>46058.480555555558</v>
      </c>
      <c r="W1570" t="s">
        <v>1397</v>
      </c>
      <c r="X1570" t="s">
        <v>1398</v>
      </c>
      <c r="Y1570" t="str">
        <f>"0402403886"</f>
        <v>0402403886</v>
      </c>
      <c r="Z1570" t="s">
        <v>980</v>
      </c>
      <c r="AA1570" s="1">
        <v>46071</v>
      </c>
      <c r="AB1570" t="s">
        <v>920</v>
      </c>
      <c r="AC1570" t="s">
        <v>921</v>
      </c>
      <c r="AD1570" t="s">
        <v>61</v>
      </c>
      <c r="AE1570" t="s">
        <v>922</v>
      </c>
      <c r="AF1570">
        <v>2228</v>
      </c>
      <c r="AG1570" t="s">
        <v>1807</v>
      </c>
      <c r="AI1570" t="s">
        <v>59</v>
      </c>
      <c r="AL1570" t="s">
        <v>3994</v>
      </c>
      <c r="AN1570" s="3">
        <v>46071.864583333336</v>
      </c>
      <c r="AO1570" t="s">
        <v>1397</v>
      </c>
    </row>
    <row r="1571" spans="1:41" x14ac:dyDescent="0.3">
      <c r="A1571" t="s">
        <v>61</v>
      </c>
      <c r="B1571" t="s">
        <v>992</v>
      </c>
      <c r="C1571" t="s">
        <v>993</v>
      </c>
      <c r="D1571" t="s">
        <v>63</v>
      </c>
      <c r="E1571" s="1">
        <v>46071</v>
      </c>
      <c r="F1571" t="s">
        <v>44</v>
      </c>
      <c r="G1571" t="s">
        <v>128</v>
      </c>
      <c r="H1571" s="2">
        <v>0.5</v>
      </c>
      <c r="I1571" s="2">
        <v>0.64583333333333337</v>
      </c>
      <c r="J1571" t="s">
        <v>101</v>
      </c>
      <c r="L1571" t="s">
        <v>159</v>
      </c>
      <c r="M1571" t="s">
        <v>994</v>
      </c>
      <c r="N1571" t="s">
        <v>995</v>
      </c>
      <c r="O1571">
        <v>5951207</v>
      </c>
      <c r="R1571" t="s">
        <v>759</v>
      </c>
      <c r="S1571" t="s">
        <v>119</v>
      </c>
      <c r="T1571" t="s">
        <v>760</v>
      </c>
      <c r="U1571" t="s">
        <v>4058</v>
      </c>
      <c r="V1571" s="3">
        <v>46090.597916666666</v>
      </c>
      <c r="W1571" t="s">
        <v>997</v>
      </c>
      <c r="X1571" t="s">
        <v>998</v>
      </c>
      <c r="Y1571" t="str">
        <f>"0428557393"</f>
        <v>0428557393</v>
      </c>
      <c r="Z1571" t="s">
        <v>70</v>
      </c>
      <c r="AB1571" t="s">
        <v>1000</v>
      </c>
      <c r="AD1571" t="s">
        <v>61</v>
      </c>
      <c r="AE1571" t="s">
        <v>1001</v>
      </c>
      <c r="AF1571">
        <v>2560</v>
      </c>
      <c r="AI1571" t="s">
        <v>59</v>
      </c>
      <c r="AM1571" t="s">
        <v>4059</v>
      </c>
      <c r="AN1571" s="3">
        <v>46090.597916666666</v>
      </c>
      <c r="AO1571" t="s">
        <v>759</v>
      </c>
    </row>
    <row r="1572" spans="1:41" x14ac:dyDescent="0.3">
      <c r="A1572" t="s">
        <v>61</v>
      </c>
      <c r="B1572" t="s">
        <v>992</v>
      </c>
      <c r="C1572" t="s">
        <v>993</v>
      </c>
      <c r="D1572" t="s">
        <v>63</v>
      </c>
      <c r="E1572" s="1">
        <v>46071</v>
      </c>
      <c r="F1572" t="s">
        <v>44</v>
      </c>
      <c r="G1572" t="s">
        <v>128</v>
      </c>
      <c r="H1572" s="2">
        <v>0.5</v>
      </c>
      <c r="I1572" s="2">
        <v>0.64583333333333337</v>
      </c>
      <c r="J1572" t="s">
        <v>101</v>
      </c>
      <c r="L1572" t="s">
        <v>159</v>
      </c>
      <c r="M1572" t="s">
        <v>994</v>
      </c>
      <c r="N1572" t="s">
        <v>995</v>
      </c>
      <c r="O1572">
        <v>5951207</v>
      </c>
      <c r="R1572" t="s">
        <v>759</v>
      </c>
      <c r="S1572" t="s">
        <v>119</v>
      </c>
      <c r="T1572" t="s">
        <v>760</v>
      </c>
      <c r="U1572" t="s">
        <v>4060</v>
      </c>
      <c r="V1572" s="3">
        <v>46090.597916666666</v>
      </c>
      <c r="W1572" t="s">
        <v>997</v>
      </c>
      <c r="X1572" t="s">
        <v>998</v>
      </c>
      <c r="Y1572" t="str">
        <f>"0428557393"</f>
        <v>0428557393</v>
      </c>
      <c r="Z1572" t="s">
        <v>70</v>
      </c>
      <c r="AB1572" t="s">
        <v>1000</v>
      </c>
      <c r="AD1572" t="s">
        <v>61</v>
      </c>
      <c r="AE1572" t="s">
        <v>1001</v>
      </c>
      <c r="AF1572">
        <v>2560</v>
      </c>
      <c r="AI1572" t="s">
        <v>59</v>
      </c>
      <c r="AM1572" t="s">
        <v>4059</v>
      </c>
      <c r="AN1572" s="3">
        <v>46090.597916666666</v>
      </c>
      <c r="AO1572" t="s">
        <v>759</v>
      </c>
    </row>
    <row r="1573" spans="1:41" x14ac:dyDescent="0.3">
      <c r="A1573" t="s">
        <v>61</v>
      </c>
      <c r="B1573" t="s">
        <v>992</v>
      </c>
      <c r="C1573" t="s">
        <v>993</v>
      </c>
      <c r="D1573" t="s">
        <v>63</v>
      </c>
      <c r="E1573" s="1">
        <v>46071</v>
      </c>
      <c r="F1573" t="s">
        <v>44</v>
      </c>
      <c r="G1573" t="s">
        <v>128</v>
      </c>
      <c r="H1573" s="2">
        <v>0.5</v>
      </c>
      <c r="I1573" s="2">
        <v>0.64583333333333337</v>
      </c>
      <c r="J1573" t="s">
        <v>101</v>
      </c>
      <c r="L1573" t="s">
        <v>159</v>
      </c>
      <c r="M1573" t="s">
        <v>994</v>
      </c>
      <c r="N1573" t="s">
        <v>995</v>
      </c>
      <c r="O1573">
        <v>5951207</v>
      </c>
      <c r="R1573" t="s">
        <v>759</v>
      </c>
      <c r="S1573" t="s">
        <v>119</v>
      </c>
      <c r="T1573" t="s">
        <v>760</v>
      </c>
      <c r="U1573" t="s">
        <v>4061</v>
      </c>
      <c r="V1573" s="3">
        <v>46084.811805555553</v>
      </c>
      <c r="W1573" t="s">
        <v>997</v>
      </c>
      <c r="X1573" t="s">
        <v>998</v>
      </c>
      <c r="Y1573" t="str">
        <f>"0428557393"</f>
        <v>0428557393</v>
      </c>
      <c r="Z1573" t="s">
        <v>70</v>
      </c>
      <c r="AB1573" t="s">
        <v>1000</v>
      </c>
      <c r="AD1573" t="s">
        <v>61</v>
      </c>
      <c r="AE1573" t="s">
        <v>1001</v>
      </c>
      <c r="AF1573">
        <v>2560</v>
      </c>
      <c r="AI1573" t="s">
        <v>59</v>
      </c>
      <c r="AM1573" t="s">
        <v>4059</v>
      </c>
      <c r="AN1573" s="3">
        <v>46084.811805555553</v>
      </c>
      <c r="AO1573" t="s">
        <v>759</v>
      </c>
    </row>
    <row r="1574" spans="1:41" x14ac:dyDescent="0.3">
      <c r="A1574" t="s">
        <v>61</v>
      </c>
      <c r="B1574" t="s">
        <v>992</v>
      </c>
      <c r="C1574" t="s">
        <v>993</v>
      </c>
      <c r="D1574" t="s">
        <v>63</v>
      </c>
      <c r="E1574" s="1">
        <v>46071</v>
      </c>
      <c r="F1574" t="s">
        <v>44</v>
      </c>
      <c r="G1574" t="s">
        <v>128</v>
      </c>
      <c r="H1574" s="2">
        <v>0.5</v>
      </c>
      <c r="I1574" s="2">
        <v>0.66666666666666663</v>
      </c>
      <c r="J1574" t="s">
        <v>101</v>
      </c>
      <c r="L1574" t="s">
        <v>159</v>
      </c>
      <c r="M1574" t="s">
        <v>994</v>
      </c>
      <c r="N1574" t="s">
        <v>995</v>
      </c>
      <c r="O1574">
        <v>5951207</v>
      </c>
      <c r="R1574" t="s">
        <v>759</v>
      </c>
      <c r="S1574" t="s">
        <v>119</v>
      </c>
      <c r="T1574" t="s">
        <v>760</v>
      </c>
      <c r="U1574" t="s">
        <v>4062</v>
      </c>
      <c r="V1574" s="3">
        <v>46084.811805555553</v>
      </c>
      <c r="W1574" t="s">
        <v>997</v>
      </c>
      <c r="X1574" t="s">
        <v>998</v>
      </c>
      <c r="Y1574" t="str">
        <f>"0428557393"</f>
        <v>0428557393</v>
      </c>
      <c r="Z1574" t="s">
        <v>70</v>
      </c>
      <c r="AB1574" t="s">
        <v>1000</v>
      </c>
      <c r="AD1574" t="s">
        <v>61</v>
      </c>
      <c r="AE1574" t="s">
        <v>1001</v>
      </c>
      <c r="AF1574">
        <v>2560</v>
      </c>
      <c r="AI1574" t="s">
        <v>59</v>
      </c>
      <c r="AM1574" t="s">
        <v>4059</v>
      </c>
      <c r="AN1574" s="3">
        <v>46084.811805555553</v>
      </c>
      <c r="AO1574" t="s">
        <v>759</v>
      </c>
    </row>
    <row r="1575" spans="1:41" x14ac:dyDescent="0.3">
      <c r="A1575" t="s">
        <v>61</v>
      </c>
      <c r="B1575" t="s">
        <v>992</v>
      </c>
      <c r="C1575" t="s">
        <v>993</v>
      </c>
      <c r="D1575" t="s">
        <v>63</v>
      </c>
      <c r="E1575" s="1">
        <v>46071</v>
      </c>
      <c r="F1575" t="s">
        <v>44</v>
      </c>
      <c r="G1575" t="s">
        <v>128</v>
      </c>
      <c r="H1575" s="2">
        <v>0.5</v>
      </c>
      <c r="I1575" s="2">
        <v>0.99861111111111112</v>
      </c>
      <c r="J1575" t="s">
        <v>101</v>
      </c>
      <c r="L1575" t="s">
        <v>159</v>
      </c>
      <c r="M1575" t="s">
        <v>994</v>
      </c>
      <c r="N1575" t="s">
        <v>995</v>
      </c>
      <c r="O1575">
        <v>5951207</v>
      </c>
      <c r="Q1575" t="s">
        <v>996</v>
      </c>
      <c r="R1575" t="s">
        <v>500</v>
      </c>
      <c r="S1575" t="s">
        <v>52</v>
      </c>
      <c r="U1575">
        <v>890977</v>
      </c>
      <c r="V1575" s="3">
        <v>46060.6875</v>
      </c>
      <c r="W1575" t="s">
        <v>997</v>
      </c>
      <c r="X1575" t="s">
        <v>998</v>
      </c>
      <c r="Y1575" t="str">
        <f>"0428557393"</f>
        <v>0428557393</v>
      </c>
      <c r="Z1575" t="s">
        <v>4063</v>
      </c>
      <c r="AB1575" t="s">
        <v>1000</v>
      </c>
      <c r="AD1575" t="s">
        <v>61</v>
      </c>
      <c r="AE1575" t="s">
        <v>1001</v>
      </c>
      <c r="AF1575">
        <v>2560</v>
      </c>
      <c r="AG1575" t="s">
        <v>996</v>
      </c>
      <c r="AI1575" t="s">
        <v>59</v>
      </c>
      <c r="AL1575" t="s">
        <v>3994</v>
      </c>
      <c r="AN1575" s="3">
        <v>46071.63958333333</v>
      </c>
      <c r="AO1575" t="s">
        <v>997</v>
      </c>
    </row>
    <row r="1576" spans="1:41" x14ac:dyDescent="0.3">
      <c r="A1576" t="s">
        <v>168</v>
      </c>
      <c r="B1576" t="s">
        <v>441</v>
      </c>
      <c r="C1576" t="s">
        <v>202</v>
      </c>
      <c r="E1576" s="1">
        <v>46071</v>
      </c>
      <c r="F1576" t="s">
        <v>44</v>
      </c>
      <c r="G1576" t="s">
        <v>128</v>
      </c>
      <c r="H1576" s="2">
        <v>0.5</v>
      </c>
      <c r="I1576" s="2">
        <v>0.83333333333333337</v>
      </c>
      <c r="J1576" t="s">
        <v>46</v>
      </c>
      <c r="L1576" t="s">
        <v>47</v>
      </c>
      <c r="M1576" t="s">
        <v>1401</v>
      </c>
      <c r="N1576" t="s">
        <v>1944</v>
      </c>
      <c r="O1576">
        <v>22123</v>
      </c>
      <c r="Q1576" t="s">
        <v>944</v>
      </c>
      <c r="R1576" t="s">
        <v>231</v>
      </c>
      <c r="S1576" t="s">
        <v>52</v>
      </c>
      <c r="U1576">
        <v>891008</v>
      </c>
      <c r="V1576" s="3">
        <v>46071.361111111109</v>
      </c>
      <c r="W1576" t="s">
        <v>1945</v>
      </c>
      <c r="X1576" t="s">
        <v>1946</v>
      </c>
      <c r="Y1576" t="str">
        <f>"0439908622"</f>
        <v>0439908622</v>
      </c>
      <c r="Z1576" t="s">
        <v>55</v>
      </c>
      <c r="AB1576" t="s">
        <v>448</v>
      </c>
      <c r="AD1576" t="s">
        <v>168</v>
      </c>
      <c r="AE1576" t="s">
        <v>180</v>
      </c>
      <c r="AF1576">
        <v>5063</v>
      </c>
      <c r="AG1576" t="s">
        <v>944</v>
      </c>
      <c r="AI1576" t="s">
        <v>59</v>
      </c>
      <c r="AL1576" t="s">
        <v>4064</v>
      </c>
      <c r="AN1576" s="3">
        <v>46071.801388888889</v>
      </c>
      <c r="AO1576" t="s">
        <v>1945</v>
      </c>
    </row>
    <row r="1577" spans="1:41" x14ac:dyDescent="0.3">
      <c r="A1577" t="s">
        <v>168</v>
      </c>
      <c r="B1577" t="s">
        <v>441</v>
      </c>
      <c r="C1577" t="s">
        <v>100</v>
      </c>
      <c r="E1577" s="1">
        <v>46071</v>
      </c>
      <c r="F1577" t="s">
        <v>44</v>
      </c>
      <c r="G1577" t="s">
        <v>128</v>
      </c>
      <c r="H1577" s="2">
        <v>0.5</v>
      </c>
      <c r="I1577" s="2">
        <v>0.83333333333333337</v>
      </c>
      <c r="J1577" t="s">
        <v>100</v>
      </c>
      <c r="L1577" t="s">
        <v>100</v>
      </c>
      <c r="M1577" t="s">
        <v>402</v>
      </c>
      <c r="N1577" t="s">
        <v>403</v>
      </c>
      <c r="O1577">
        <v>21398</v>
      </c>
      <c r="Q1577" t="s">
        <v>981</v>
      </c>
      <c r="R1577" t="s">
        <v>231</v>
      </c>
      <c r="S1577" t="s">
        <v>52</v>
      </c>
      <c r="U1577">
        <v>891018</v>
      </c>
      <c r="V1577" s="3">
        <v>46050.411805555559</v>
      </c>
      <c r="W1577" t="s">
        <v>405</v>
      </c>
      <c r="X1577" t="s">
        <v>406</v>
      </c>
      <c r="Y1577" t="str">
        <f>"0423877972"</f>
        <v>0423877972</v>
      </c>
      <c r="Z1577" t="s">
        <v>366</v>
      </c>
      <c r="AB1577" t="s">
        <v>448</v>
      </c>
      <c r="AD1577" t="s">
        <v>168</v>
      </c>
      <c r="AE1577" t="s">
        <v>180</v>
      </c>
      <c r="AF1577">
        <v>5063</v>
      </c>
      <c r="AG1577" t="s">
        <v>981</v>
      </c>
      <c r="AI1577" t="s">
        <v>59</v>
      </c>
      <c r="AL1577" t="s">
        <v>1121</v>
      </c>
      <c r="AN1577" s="3">
        <v>46071.850694444445</v>
      </c>
      <c r="AO1577" t="s">
        <v>405</v>
      </c>
    </row>
    <row r="1578" spans="1:41" x14ac:dyDescent="0.3">
      <c r="A1578" t="s">
        <v>168</v>
      </c>
      <c r="B1578" t="s">
        <v>441</v>
      </c>
      <c r="C1578" t="s">
        <v>101</v>
      </c>
      <c r="E1578" s="1">
        <v>46071</v>
      </c>
      <c r="F1578" t="s">
        <v>44</v>
      </c>
      <c r="G1578" t="s">
        <v>128</v>
      </c>
      <c r="H1578" s="2">
        <v>0.50069444444444444</v>
      </c>
      <c r="I1578" s="2">
        <v>0.75</v>
      </c>
      <c r="J1578" t="s">
        <v>101</v>
      </c>
      <c r="L1578" t="s">
        <v>743</v>
      </c>
      <c r="M1578" t="s">
        <v>744</v>
      </c>
      <c r="N1578" t="s">
        <v>745</v>
      </c>
      <c r="O1578">
        <v>5951894</v>
      </c>
      <c r="P1578" t="s">
        <v>3522</v>
      </c>
      <c r="Q1578" t="s">
        <v>944</v>
      </c>
      <c r="R1578" t="s">
        <v>231</v>
      </c>
      <c r="S1578" t="s">
        <v>52</v>
      </c>
      <c r="U1578">
        <v>890993</v>
      </c>
      <c r="V1578" s="3">
        <v>46071.356249999997</v>
      </c>
      <c r="W1578" t="s">
        <v>746</v>
      </c>
      <c r="X1578" t="s">
        <v>747</v>
      </c>
      <c r="Y1578" t="str">
        <f>"0420536678"</f>
        <v>0420536678</v>
      </c>
      <c r="Z1578" t="s">
        <v>70</v>
      </c>
      <c r="AA1578" s="1">
        <v>46071</v>
      </c>
      <c r="AB1578" t="s">
        <v>448</v>
      </c>
      <c r="AD1578" t="s">
        <v>168</v>
      </c>
      <c r="AE1578" t="s">
        <v>180</v>
      </c>
      <c r="AF1578">
        <v>5063</v>
      </c>
      <c r="AG1578" t="s">
        <v>944</v>
      </c>
      <c r="AI1578" t="s">
        <v>59</v>
      </c>
      <c r="AL1578" t="s">
        <v>4065</v>
      </c>
      <c r="AN1578" s="3">
        <v>46071.717361111114</v>
      </c>
      <c r="AO1578" t="s">
        <v>746</v>
      </c>
    </row>
    <row r="1579" spans="1:41" x14ac:dyDescent="0.3">
      <c r="A1579" t="s">
        <v>61</v>
      </c>
      <c r="B1579" t="s">
        <v>158</v>
      </c>
      <c r="C1579" t="s">
        <v>43</v>
      </c>
      <c r="D1579" t="s">
        <v>127</v>
      </c>
      <c r="E1579" s="1">
        <v>46071</v>
      </c>
      <c r="F1579" t="s">
        <v>44</v>
      </c>
      <c r="G1579" t="s">
        <v>128</v>
      </c>
      <c r="H1579" s="2">
        <v>0.52083333333333337</v>
      </c>
      <c r="I1579" s="2">
        <v>0.99861111111111112</v>
      </c>
      <c r="J1579" t="s">
        <v>101</v>
      </c>
      <c r="L1579" t="s">
        <v>159</v>
      </c>
      <c r="M1579" t="s">
        <v>160</v>
      </c>
      <c r="N1579" t="s">
        <v>161</v>
      </c>
      <c r="O1579">
        <v>5952008</v>
      </c>
      <c r="Q1579" t="s">
        <v>162</v>
      </c>
      <c r="R1579" t="s">
        <v>208</v>
      </c>
      <c r="S1579" t="s">
        <v>52</v>
      </c>
      <c r="U1579">
        <v>891044</v>
      </c>
      <c r="V1579" s="3">
        <v>46064.870833333334</v>
      </c>
      <c r="W1579" t="s">
        <v>163</v>
      </c>
      <c r="X1579" t="s">
        <v>164</v>
      </c>
      <c r="Y1579" t="str">
        <f>"0482375205"</f>
        <v>0482375205</v>
      </c>
      <c r="Z1579" t="s">
        <v>2392</v>
      </c>
      <c r="AB1579" t="s">
        <v>166</v>
      </c>
      <c r="AD1579" t="s">
        <v>61</v>
      </c>
      <c r="AE1579" t="s">
        <v>167</v>
      </c>
      <c r="AF1579">
        <v>2011</v>
      </c>
      <c r="AG1579" t="s">
        <v>162</v>
      </c>
      <c r="AI1579" t="s">
        <v>59</v>
      </c>
      <c r="AL1579" t="s">
        <v>3994</v>
      </c>
      <c r="AN1579" s="3">
        <v>46071.948611111111</v>
      </c>
      <c r="AO1579" t="s">
        <v>163</v>
      </c>
    </row>
    <row r="1580" spans="1:41" x14ac:dyDescent="0.3">
      <c r="A1580" t="s">
        <v>61</v>
      </c>
      <c r="B1580" t="s">
        <v>1079</v>
      </c>
      <c r="C1580" t="s">
        <v>43</v>
      </c>
      <c r="D1580" t="s">
        <v>63</v>
      </c>
      <c r="E1580" s="1">
        <v>46071</v>
      </c>
      <c r="F1580" t="s">
        <v>44</v>
      </c>
      <c r="G1580" t="s">
        <v>128</v>
      </c>
      <c r="H1580" s="2">
        <v>0.52083333333333337</v>
      </c>
      <c r="I1580" s="2">
        <v>0.99861111111111112</v>
      </c>
      <c r="J1580" t="s">
        <v>185</v>
      </c>
      <c r="L1580" t="s">
        <v>186</v>
      </c>
      <c r="M1580" t="s">
        <v>187</v>
      </c>
      <c r="N1580" t="s">
        <v>188</v>
      </c>
      <c r="O1580">
        <v>21902</v>
      </c>
      <c r="Q1580" t="s">
        <v>4066</v>
      </c>
      <c r="R1580" t="s">
        <v>132</v>
      </c>
      <c r="S1580" t="s">
        <v>52</v>
      </c>
      <c r="U1580">
        <v>891015</v>
      </c>
      <c r="V1580" s="3">
        <v>46070.594444444447</v>
      </c>
      <c r="W1580" t="s">
        <v>190</v>
      </c>
      <c r="X1580" t="s">
        <v>191</v>
      </c>
      <c r="Y1580" t="str">
        <f>"0432479777"</f>
        <v>0432479777</v>
      </c>
      <c r="Z1580" t="s">
        <v>70</v>
      </c>
      <c r="AA1580" s="1">
        <v>46071</v>
      </c>
      <c r="AB1580" t="s">
        <v>1085</v>
      </c>
      <c r="AD1580" t="s">
        <v>61</v>
      </c>
      <c r="AE1580" t="s">
        <v>1086</v>
      </c>
      <c r="AF1580">
        <v>2031</v>
      </c>
      <c r="AG1580" t="s">
        <v>4067</v>
      </c>
      <c r="AI1580" t="s">
        <v>59</v>
      </c>
      <c r="AL1580" t="s">
        <v>370</v>
      </c>
      <c r="AN1580" s="3">
        <v>46071.833333333336</v>
      </c>
      <c r="AO1580" t="s">
        <v>190</v>
      </c>
    </row>
    <row r="1581" spans="1:41" x14ac:dyDescent="0.3">
      <c r="A1581" t="s">
        <v>61</v>
      </c>
      <c r="B1581" t="s">
        <v>126</v>
      </c>
      <c r="C1581" t="s">
        <v>43</v>
      </c>
      <c r="D1581" t="s">
        <v>127</v>
      </c>
      <c r="E1581" s="1">
        <v>46071</v>
      </c>
      <c r="F1581" t="s">
        <v>44</v>
      </c>
      <c r="G1581" t="s">
        <v>128</v>
      </c>
      <c r="H1581" s="2">
        <v>0.52083333333333337</v>
      </c>
      <c r="I1581" s="2">
        <v>0.99861111111111112</v>
      </c>
      <c r="J1581" t="s">
        <v>258</v>
      </c>
      <c r="L1581" t="s">
        <v>186</v>
      </c>
      <c r="M1581" t="s">
        <v>1206</v>
      </c>
      <c r="N1581" t="s">
        <v>1882</v>
      </c>
      <c r="O1581">
        <v>21051</v>
      </c>
      <c r="Q1581" t="s">
        <v>4068</v>
      </c>
      <c r="R1581" t="s">
        <v>208</v>
      </c>
      <c r="S1581" t="s">
        <v>52</v>
      </c>
      <c r="U1581">
        <v>890998</v>
      </c>
      <c r="V1581" s="3">
        <v>46070.788888888892</v>
      </c>
      <c r="W1581" t="s">
        <v>1883</v>
      </c>
      <c r="X1581" t="s">
        <v>1884</v>
      </c>
      <c r="Y1581" t="str">
        <f>"0403904564"</f>
        <v>0403904564</v>
      </c>
      <c r="Z1581" t="s">
        <v>70</v>
      </c>
      <c r="AA1581" s="1">
        <v>46071</v>
      </c>
      <c r="AB1581" t="s">
        <v>136</v>
      </c>
      <c r="AD1581" t="s">
        <v>61</v>
      </c>
      <c r="AE1581" t="s">
        <v>137</v>
      </c>
      <c r="AF1581">
        <v>2032</v>
      </c>
      <c r="AG1581" t="s">
        <v>4068</v>
      </c>
      <c r="AI1581" t="s">
        <v>59</v>
      </c>
      <c r="AN1581" s="3">
        <v>46071.738888888889</v>
      </c>
      <c r="AO1581" t="s">
        <v>1883</v>
      </c>
    </row>
    <row r="1582" spans="1:41" x14ac:dyDescent="0.3">
      <c r="A1582" t="s">
        <v>168</v>
      </c>
      <c r="B1582" t="s">
        <v>376</v>
      </c>
      <c r="C1582" t="s">
        <v>43</v>
      </c>
      <c r="D1582" t="s">
        <v>127</v>
      </c>
      <c r="E1582" s="1">
        <v>46071</v>
      </c>
      <c r="F1582" t="s">
        <v>44</v>
      </c>
      <c r="G1582" t="s">
        <v>128</v>
      </c>
      <c r="H1582" s="2">
        <v>0.52083333333333337</v>
      </c>
      <c r="I1582" s="2">
        <v>0.85416666666666663</v>
      </c>
      <c r="J1582" t="s">
        <v>185</v>
      </c>
      <c r="K1582" t="s">
        <v>2136</v>
      </c>
      <c r="L1582" t="s">
        <v>186</v>
      </c>
      <c r="M1582" t="s">
        <v>835</v>
      </c>
      <c r="N1582" t="s">
        <v>836</v>
      </c>
      <c r="O1582">
        <v>22947</v>
      </c>
      <c r="Q1582" t="s">
        <v>670</v>
      </c>
      <c r="R1582" t="s">
        <v>231</v>
      </c>
      <c r="S1582" t="s">
        <v>52</v>
      </c>
      <c r="U1582">
        <v>891005</v>
      </c>
      <c r="V1582" s="3">
        <v>46044.386111111111</v>
      </c>
      <c r="W1582" t="s">
        <v>837</v>
      </c>
      <c r="X1582" t="s">
        <v>838</v>
      </c>
      <c r="Y1582" t="str">
        <f>"0415626656"</f>
        <v>0415626656</v>
      </c>
      <c r="Z1582" t="s">
        <v>366</v>
      </c>
      <c r="AB1582" t="s">
        <v>383</v>
      </c>
      <c r="AD1582" t="s">
        <v>168</v>
      </c>
      <c r="AE1582" t="s">
        <v>384</v>
      </c>
      <c r="AF1582">
        <v>5000</v>
      </c>
      <c r="AG1582" t="s">
        <v>2997</v>
      </c>
      <c r="AI1582" t="s">
        <v>59</v>
      </c>
      <c r="AL1582" t="s">
        <v>4069</v>
      </c>
      <c r="AN1582" s="3">
        <v>46071.776388888888</v>
      </c>
      <c r="AO1582" t="s">
        <v>837</v>
      </c>
    </row>
    <row r="1583" spans="1:41" x14ac:dyDescent="0.3">
      <c r="A1583" t="s">
        <v>61</v>
      </c>
      <c r="B1583" t="s">
        <v>182</v>
      </c>
      <c r="C1583" t="s">
        <v>183</v>
      </c>
      <c r="D1583" t="s">
        <v>184</v>
      </c>
      <c r="E1583" s="1">
        <v>46071</v>
      </c>
      <c r="F1583" t="s">
        <v>44</v>
      </c>
      <c r="G1583" t="s">
        <v>128</v>
      </c>
      <c r="H1583" s="2">
        <v>0.52083333333333337</v>
      </c>
      <c r="I1583" s="2">
        <v>0.99861111111111112</v>
      </c>
      <c r="J1583" t="s">
        <v>185</v>
      </c>
      <c r="L1583" t="s">
        <v>186</v>
      </c>
      <c r="M1583" t="s">
        <v>436</v>
      </c>
      <c r="N1583" t="s">
        <v>437</v>
      </c>
      <c r="O1583">
        <v>5951773</v>
      </c>
      <c r="Q1583" t="s">
        <v>189</v>
      </c>
      <c r="R1583" t="s">
        <v>132</v>
      </c>
      <c r="S1583" t="s">
        <v>52</v>
      </c>
      <c r="U1583">
        <v>891011</v>
      </c>
      <c r="V1583" s="3">
        <v>46064.443055555559</v>
      </c>
      <c r="W1583" t="s">
        <v>438</v>
      </c>
      <c r="X1583" t="s">
        <v>439</v>
      </c>
      <c r="Y1583" t="str">
        <f>"0405762113"</f>
        <v>0405762113</v>
      </c>
      <c r="Z1583" t="s">
        <v>4070</v>
      </c>
      <c r="AB1583" t="s">
        <v>193</v>
      </c>
      <c r="AD1583" t="s">
        <v>61</v>
      </c>
      <c r="AE1583" t="s">
        <v>194</v>
      </c>
      <c r="AF1583">
        <v>2229</v>
      </c>
      <c r="AG1583" t="s">
        <v>189</v>
      </c>
      <c r="AI1583" t="s">
        <v>59</v>
      </c>
      <c r="AL1583" t="s">
        <v>3994</v>
      </c>
      <c r="AN1583" s="3">
        <v>46071.809027777781</v>
      </c>
      <c r="AO1583" t="s">
        <v>438</v>
      </c>
    </row>
    <row r="1584" spans="1:41" x14ac:dyDescent="0.3">
      <c r="A1584" t="s">
        <v>41</v>
      </c>
      <c r="B1584" t="s">
        <v>462</v>
      </c>
      <c r="C1584" t="s">
        <v>296</v>
      </c>
      <c r="D1584" t="s">
        <v>63</v>
      </c>
      <c r="E1584" s="1">
        <v>46071</v>
      </c>
      <c r="F1584" t="s">
        <v>44</v>
      </c>
      <c r="G1584" t="s">
        <v>128</v>
      </c>
      <c r="H1584" s="2">
        <v>0.52083333333333337</v>
      </c>
      <c r="I1584" s="2">
        <v>0.875</v>
      </c>
      <c r="J1584" t="s">
        <v>464</v>
      </c>
      <c r="L1584" t="s">
        <v>464</v>
      </c>
      <c r="M1584" t="s">
        <v>465</v>
      </c>
      <c r="N1584" t="s">
        <v>466</v>
      </c>
      <c r="O1584">
        <v>401722</v>
      </c>
      <c r="Q1584" t="s">
        <v>4071</v>
      </c>
      <c r="R1584" t="s">
        <v>1472</v>
      </c>
      <c r="S1584" t="s">
        <v>52</v>
      </c>
      <c r="U1584">
        <v>891038</v>
      </c>
      <c r="V1584" s="3">
        <v>46070.440972222219</v>
      </c>
      <c r="W1584" t="s">
        <v>468</v>
      </c>
      <c r="X1584" t="s">
        <v>469</v>
      </c>
      <c r="Y1584" t="str">
        <f>"0423030872"</f>
        <v>0423030872</v>
      </c>
      <c r="Z1584" t="s">
        <v>70</v>
      </c>
      <c r="AA1584" s="1">
        <v>46071</v>
      </c>
      <c r="AB1584" t="s">
        <v>470</v>
      </c>
      <c r="AD1584" t="s">
        <v>41</v>
      </c>
      <c r="AE1584" t="s">
        <v>471</v>
      </c>
      <c r="AF1584">
        <v>4000</v>
      </c>
      <c r="AG1584" t="s">
        <v>4071</v>
      </c>
      <c r="AI1584" t="s">
        <v>59</v>
      </c>
      <c r="AL1584" t="s">
        <v>4072</v>
      </c>
      <c r="AN1584" s="3">
        <v>46071.910416666666</v>
      </c>
      <c r="AO1584" t="s">
        <v>468</v>
      </c>
    </row>
    <row r="1585" spans="1:41" x14ac:dyDescent="0.3">
      <c r="A1585" t="s">
        <v>61</v>
      </c>
      <c r="B1585" t="s">
        <v>158</v>
      </c>
      <c r="C1585" t="s">
        <v>43</v>
      </c>
      <c r="D1585" t="s">
        <v>127</v>
      </c>
      <c r="E1585" s="1">
        <v>46071</v>
      </c>
      <c r="F1585" t="s">
        <v>44</v>
      </c>
      <c r="G1585" t="s">
        <v>128</v>
      </c>
      <c r="H1585" s="2">
        <v>0.52083333333333337</v>
      </c>
      <c r="I1585" s="2">
        <v>0.99861111111111112</v>
      </c>
      <c r="J1585" t="s">
        <v>101</v>
      </c>
      <c r="L1585" t="s">
        <v>159</v>
      </c>
      <c r="M1585" t="s">
        <v>1502</v>
      </c>
      <c r="N1585" t="s">
        <v>1503</v>
      </c>
      <c r="O1585">
        <v>21662</v>
      </c>
      <c r="Q1585" t="s">
        <v>162</v>
      </c>
      <c r="R1585" t="s">
        <v>208</v>
      </c>
      <c r="S1585" t="s">
        <v>52</v>
      </c>
      <c r="U1585">
        <v>891009</v>
      </c>
      <c r="V1585" s="3">
        <v>46064.870833333334</v>
      </c>
      <c r="W1585" t="s">
        <v>1504</v>
      </c>
      <c r="X1585" t="s">
        <v>1505</v>
      </c>
      <c r="Y1585" t="str">
        <f>"0424896869"</f>
        <v>0424896869</v>
      </c>
      <c r="Z1585" t="s">
        <v>1935</v>
      </c>
      <c r="AB1585" t="s">
        <v>166</v>
      </c>
      <c r="AD1585" t="s">
        <v>61</v>
      </c>
      <c r="AE1585" t="s">
        <v>167</v>
      </c>
      <c r="AF1585">
        <v>2011</v>
      </c>
      <c r="AG1585" t="s">
        <v>162</v>
      </c>
      <c r="AI1585" t="s">
        <v>59</v>
      </c>
      <c r="AL1585" t="s">
        <v>4073</v>
      </c>
      <c r="AN1585" s="3">
        <v>46071.802777777775</v>
      </c>
      <c r="AO1585" t="s">
        <v>1504</v>
      </c>
    </row>
    <row r="1586" spans="1:41" x14ac:dyDescent="0.3">
      <c r="A1586" t="s">
        <v>168</v>
      </c>
      <c r="B1586" t="s">
        <v>441</v>
      </c>
      <c r="C1586" t="s">
        <v>43</v>
      </c>
      <c r="E1586" s="1">
        <v>46071</v>
      </c>
      <c r="F1586" t="s">
        <v>44</v>
      </c>
      <c r="G1586" t="s">
        <v>128</v>
      </c>
      <c r="H1586" s="2">
        <v>0.52083333333333337</v>
      </c>
      <c r="I1586" s="2">
        <v>0.85416666666666663</v>
      </c>
      <c r="J1586" t="s">
        <v>185</v>
      </c>
      <c r="K1586" t="s">
        <v>678</v>
      </c>
      <c r="L1586" t="s">
        <v>186</v>
      </c>
      <c r="M1586" t="s">
        <v>798</v>
      </c>
      <c r="N1586" t="s">
        <v>799</v>
      </c>
      <c r="O1586">
        <v>20875</v>
      </c>
      <c r="Q1586" t="s">
        <v>944</v>
      </c>
      <c r="R1586" t="s">
        <v>556</v>
      </c>
      <c r="S1586" t="s">
        <v>52</v>
      </c>
      <c r="U1586">
        <v>891003</v>
      </c>
      <c r="V1586" s="3">
        <v>46051.083333333336</v>
      </c>
      <c r="W1586" t="s">
        <v>800</v>
      </c>
      <c r="X1586" t="s">
        <v>801</v>
      </c>
      <c r="Y1586" t="str">
        <f>"0417001267"</f>
        <v>0417001267</v>
      </c>
      <c r="Z1586" t="s">
        <v>70</v>
      </c>
      <c r="AA1586" s="1">
        <v>46071</v>
      </c>
      <c r="AB1586" t="s">
        <v>448</v>
      </c>
      <c r="AD1586" t="s">
        <v>168</v>
      </c>
      <c r="AE1586" t="s">
        <v>180</v>
      </c>
      <c r="AF1586">
        <v>5063</v>
      </c>
      <c r="AG1586" t="s">
        <v>944</v>
      </c>
      <c r="AI1586" t="s">
        <v>59</v>
      </c>
      <c r="AL1586" t="s">
        <v>1121</v>
      </c>
      <c r="AN1586" s="3">
        <v>46071.770138888889</v>
      </c>
      <c r="AO1586" t="s">
        <v>800</v>
      </c>
    </row>
    <row r="1587" spans="1:41" x14ac:dyDescent="0.3">
      <c r="A1587" t="s">
        <v>168</v>
      </c>
      <c r="B1587" t="s">
        <v>215</v>
      </c>
      <c r="C1587" t="s">
        <v>43</v>
      </c>
      <c r="D1587" t="s">
        <v>127</v>
      </c>
      <c r="E1587" s="1">
        <v>46071</v>
      </c>
      <c r="F1587" t="s">
        <v>44</v>
      </c>
      <c r="G1587" t="s">
        <v>128</v>
      </c>
      <c r="H1587" s="2">
        <v>0.52083333333333337</v>
      </c>
      <c r="I1587" s="2">
        <v>0.83333333333333337</v>
      </c>
      <c r="J1587" t="s">
        <v>1011</v>
      </c>
      <c r="K1587" t="s">
        <v>1012</v>
      </c>
      <c r="L1587" t="s">
        <v>186</v>
      </c>
      <c r="M1587" t="s">
        <v>651</v>
      </c>
      <c r="N1587" t="s">
        <v>412</v>
      </c>
      <c r="O1587">
        <v>21855</v>
      </c>
      <c r="Q1587" t="s">
        <v>219</v>
      </c>
      <c r="R1587" t="s">
        <v>556</v>
      </c>
      <c r="S1587" t="s">
        <v>52</v>
      </c>
      <c r="U1587">
        <v>891004</v>
      </c>
      <c r="V1587" s="3">
        <v>46057.04583333333</v>
      </c>
      <c r="W1587" t="s">
        <v>652</v>
      </c>
      <c r="X1587" t="s">
        <v>653</v>
      </c>
      <c r="Y1587" t="str">
        <f>"0407317111"</f>
        <v>0407317111</v>
      </c>
      <c r="Z1587" t="s">
        <v>70</v>
      </c>
      <c r="AA1587" s="1">
        <v>46071</v>
      </c>
      <c r="AB1587" t="s">
        <v>222</v>
      </c>
      <c r="AD1587" t="s">
        <v>168</v>
      </c>
      <c r="AE1587" t="s">
        <v>223</v>
      </c>
      <c r="AF1587">
        <v>5069</v>
      </c>
      <c r="AG1587" t="s">
        <v>219</v>
      </c>
      <c r="AI1587" t="s">
        <v>59</v>
      </c>
      <c r="AL1587" t="s">
        <v>1121</v>
      </c>
      <c r="AN1587" s="3">
        <v>46071.772916666669</v>
      </c>
      <c r="AO1587" t="s">
        <v>652</v>
      </c>
    </row>
    <row r="1588" spans="1:41" x14ac:dyDescent="0.3">
      <c r="A1588" t="s">
        <v>306</v>
      </c>
      <c r="B1588" t="s">
        <v>307</v>
      </c>
      <c r="C1588" t="s">
        <v>308</v>
      </c>
      <c r="D1588" t="s">
        <v>309</v>
      </c>
      <c r="E1588" s="1">
        <v>46071</v>
      </c>
      <c r="F1588" t="s">
        <v>44</v>
      </c>
      <c r="G1588" t="s">
        <v>128</v>
      </c>
      <c r="H1588" s="2">
        <v>0.54166666666666663</v>
      </c>
      <c r="I1588" s="2">
        <v>0.89583333333333337</v>
      </c>
      <c r="J1588" t="s">
        <v>296</v>
      </c>
      <c r="K1588" t="s">
        <v>2373</v>
      </c>
      <c r="L1588" t="s">
        <v>2374</v>
      </c>
      <c r="M1588" t="s">
        <v>2375</v>
      </c>
      <c r="N1588" t="s">
        <v>2376</v>
      </c>
      <c r="O1588">
        <v>5952415</v>
      </c>
      <c r="Q1588" t="s">
        <v>4074</v>
      </c>
      <c r="R1588" t="s">
        <v>1763</v>
      </c>
      <c r="S1588" t="s">
        <v>52</v>
      </c>
      <c r="U1588">
        <v>891023</v>
      </c>
      <c r="V1588" s="3">
        <v>46069.453472222223</v>
      </c>
      <c r="W1588" t="s">
        <v>2378</v>
      </c>
      <c r="X1588" t="s">
        <v>2379</v>
      </c>
      <c r="Y1588" t="str">
        <f>"0422461185"</f>
        <v>0422461185</v>
      </c>
      <c r="Z1588" t="s">
        <v>70</v>
      </c>
      <c r="AA1588" s="1">
        <v>46071</v>
      </c>
      <c r="AB1588" t="s">
        <v>317</v>
      </c>
      <c r="AD1588" t="s">
        <v>306</v>
      </c>
      <c r="AE1588" t="s">
        <v>318</v>
      </c>
      <c r="AF1588">
        <v>3162</v>
      </c>
      <c r="AG1588" t="s">
        <v>2380</v>
      </c>
      <c r="AI1588" t="s">
        <v>59</v>
      </c>
      <c r="AL1588" t="s">
        <v>87</v>
      </c>
      <c r="AN1588" s="3">
        <v>46071.88958333333</v>
      </c>
      <c r="AO1588" t="s">
        <v>2378</v>
      </c>
    </row>
    <row r="1589" spans="1:41" x14ac:dyDescent="0.3">
      <c r="A1589" t="s">
        <v>61</v>
      </c>
      <c r="B1589" t="s">
        <v>768</v>
      </c>
      <c r="C1589" t="s">
        <v>2308</v>
      </c>
      <c r="D1589" t="s">
        <v>769</v>
      </c>
      <c r="E1589" s="1">
        <v>46071</v>
      </c>
      <c r="F1589" t="s">
        <v>44</v>
      </c>
      <c r="G1589" t="s">
        <v>128</v>
      </c>
      <c r="H1589" s="2">
        <v>0.54166666666666663</v>
      </c>
      <c r="I1589" s="2">
        <v>0.875</v>
      </c>
      <c r="J1589" t="s">
        <v>185</v>
      </c>
      <c r="K1589" t="s">
        <v>805</v>
      </c>
      <c r="L1589" t="s">
        <v>186</v>
      </c>
      <c r="M1589" t="s">
        <v>3630</v>
      </c>
      <c r="N1589" t="s">
        <v>729</v>
      </c>
      <c r="O1589">
        <v>5951913</v>
      </c>
      <c r="Q1589" t="s">
        <v>2311</v>
      </c>
      <c r="R1589" t="s">
        <v>67</v>
      </c>
      <c r="S1589" t="s">
        <v>52</v>
      </c>
      <c r="U1589">
        <v>891017</v>
      </c>
      <c r="V1589" s="3">
        <v>46052.51666666667</v>
      </c>
      <c r="W1589" t="s">
        <v>3631</v>
      </c>
      <c r="X1589" t="s">
        <v>3632</v>
      </c>
      <c r="Y1589" t="str">
        <f>"0430277673"</f>
        <v>0430277673</v>
      </c>
      <c r="Z1589" t="s">
        <v>123</v>
      </c>
      <c r="AA1589" s="1">
        <v>46071</v>
      </c>
      <c r="AB1589" t="s">
        <v>775</v>
      </c>
      <c r="AD1589" t="s">
        <v>61</v>
      </c>
      <c r="AE1589" t="s">
        <v>776</v>
      </c>
      <c r="AF1589">
        <v>2076</v>
      </c>
      <c r="AG1589" t="s">
        <v>2311</v>
      </c>
      <c r="AI1589" t="s">
        <v>59</v>
      </c>
      <c r="AL1589" t="s">
        <v>3994</v>
      </c>
      <c r="AM1589" t="s">
        <v>4075</v>
      </c>
      <c r="AN1589" s="3">
        <v>46071.841666666667</v>
      </c>
      <c r="AO1589" t="s">
        <v>3631</v>
      </c>
    </row>
    <row r="1590" spans="1:41" x14ac:dyDescent="0.3">
      <c r="A1590" t="s">
        <v>168</v>
      </c>
      <c r="B1590" t="s">
        <v>266</v>
      </c>
      <c r="D1590" t="s">
        <v>268</v>
      </c>
      <c r="E1590" s="1">
        <v>46071</v>
      </c>
      <c r="F1590" t="s">
        <v>44</v>
      </c>
      <c r="G1590" t="s">
        <v>128</v>
      </c>
      <c r="H1590" s="2">
        <v>0.54166666666666663</v>
      </c>
      <c r="I1590" s="2">
        <v>0.89583333333333337</v>
      </c>
      <c r="J1590" t="s">
        <v>296</v>
      </c>
      <c r="K1590" t="s">
        <v>297</v>
      </c>
      <c r="L1590" t="s">
        <v>2603</v>
      </c>
      <c r="M1590" t="s">
        <v>1365</v>
      </c>
      <c r="N1590" t="s">
        <v>1365</v>
      </c>
      <c r="O1590">
        <v>22974</v>
      </c>
      <c r="Q1590" t="s">
        <v>274</v>
      </c>
      <c r="R1590" t="s">
        <v>176</v>
      </c>
      <c r="S1590" t="s">
        <v>52</v>
      </c>
      <c r="U1590">
        <v>891040</v>
      </c>
      <c r="V1590" s="3">
        <v>45993.429166666669</v>
      </c>
      <c r="W1590" t="s">
        <v>2604</v>
      </c>
      <c r="X1590" t="s">
        <v>2605</v>
      </c>
      <c r="Y1590" t="str">
        <f>"0426662717"</f>
        <v>0426662717</v>
      </c>
      <c r="Z1590" t="s">
        <v>4076</v>
      </c>
      <c r="AB1590" t="s">
        <v>277</v>
      </c>
      <c r="AC1590" t="s">
        <v>278</v>
      </c>
      <c r="AD1590" t="s">
        <v>168</v>
      </c>
      <c r="AE1590" t="s">
        <v>279</v>
      </c>
      <c r="AF1590">
        <v>5092</v>
      </c>
      <c r="AG1590" t="s">
        <v>274</v>
      </c>
      <c r="AI1590" t="s">
        <v>59</v>
      </c>
      <c r="AL1590" t="s">
        <v>4077</v>
      </c>
      <c r="AM1590" t="s">
        <v>281</v>
      </c>
      <c r="AN1590" s="3">
        <v>46071.920138888891</v>
      </c>
      <c r="AO1590" t="s">
        <v>2604</v>
      </c>
    </row>
    <row r="1591" spans="1:41" x14ac:dyDescent="0.3">
      <c r="A1591" t="s">
        <v>306</v>
      </c>
      <c r="B1591" t="s">
        <v>307</v>
      </c>
      <c r="C1591" t="s">
        <v>308</v>
      </c>
      <c r="D1591" t="s">
        <v>309</v>
      </c>
      <c r="E1591" s="1">
        <v>46071</v>
      </c>
      <c r="F1591" t="s">
        <v>44</v>
      </c>
      <c r="G1591" t="s">
        <v>128</v>
      </c>
      <c r="H1591" s="2">
        <v>0.54166666666666663</v>
      </c>
      <c r="I1591" s="2">
        <v>0.89583333333333337</v>
      </c>
      <c r="J1591" t="s">
        <v>296</v>
      </c>
      <c r="K1591" t="s">
        <v>750</v>
      </c>
      <c r="L1591" t="s">
        <v>1337</v>
      </c>
      <c r="M1591" t="s">
        <v>1338</v>
      </c>
      <c r="N1591" t="s">
        <v>1339</v>
      </c>
      <c r="O1591">
        <v>20818</v>
      </c>
      <c r="Q1591" t="s">
        <v>3590</v>
      </c>
      <c r="R1591" t="s">
        <v>1763</v>
      </c>
      <c r="S1591" t="s">
        <v>119</v>
      </c>
      <c r="T1591" t="s">
        <v>414</v>
      </c>
      <c r="U1591">
        <v>891445</v>
      </c>
      <c r="V1591" s="3">
        <v>46070.488194444442</v>
      </c>
      <c r="W1591" t="s">
        <v>1340</v>
      </c>
      <c r="X1591" t="s">
        <v>1341</v>
      </c>
      <c r="Y1591" t="str">
        <f>"0449240065"</f>
        <v>0449240065</v>
      </c>
      <c r="Z1591" t="s">
        <v>70</v>
      </c>
      <c r="AA1591" s="1">
        <v>46071</v>
      </c>
      <c r="AB1591" t="s">
        <v>317</v>
      </c>
      <c r="AD1591" t="s">
        <v>306</v>
      </c>
      <c r="AE1591" t="s">
        <v>318</v>
      </c>
      <c r="AF1591">
        <v>3162</v>
      </c>
      <c r="AG1591" t="s">
        <v>2380</v>
      </c>
      <c r="AI1591" t="s">
        <v>59</v>
      </c>
      <c r="AL1591" t="s">
        <v>4078</v>
      </c>
      <c r="AN1591" s="3">
        <v>46070.646527777775</v>
      </c>
      <c r="AO1591" t="s">
        <v>1763</v>
      </c>
    </row>
    <row r="1592" spans="1:41" x14ac:dyDescent="0.3">
      <c r="A1592" t="s">
        <v>61</v>
      </c>
      <c r="B1592" t="s">
        <v>768</v>
      </c>
      <c r="C1592" t="s">
        <v>2308</v>
      </c>
      <c r="D1592" t="s">
        <v>769</v>
      </c>
      <c r="E1592" s="1">
        <v>46071</v>
      </c>
      <c r="F1592" t="s">
        <v>44</v>
      </c>
      <c r="G1592" t="s">
        <v>128</v>
      </c>
      <c r="H1592" s="2">
        <v>0.58333333333333337</v>
      </c>
      <c r="I1592" s="2">
        <v>0.99861111111111112</v>
      </c>
      <c r="J1592" t="s">
        <v>185</v>
      </c>
      <c r="L1592" t="s">
        <v>186</v>
      </c>
      <c r="M1592" t="s">
        <v>2309</v>
      </c>
      <c r="N1592" t="s">
        <v>2310</v>
      </c>
      <c r="O1592">
        <v>5952011</v>
      </c>
      <c r="Q1592" t="s">
        <v>2311</v>
      </c>
      <c r="R1592" t="s">
        <v>67</v>
      </c>
      <c r="S1592" t="s">
        <v>52</v>
      </c>
      <c r="U1592">
        <v>891020</v>
      </c>
      <c r="V1592" s="3">
        <v>46071.382638888892</v>
      </c>
      <c r="W1592" t="s">
        <v>2312</v>
      </c>
      <c r="X1592" t="s">
        <v>2313</v>
      </c>
      <c r="Y1592" t="str">
        <f>"0410412022"</f>
        <v>0410412022</v>
      </c>
      <c r="Z1592" t="s">
        <v>550</v>
      </c>
      <c r="AB1592" t="s">
        <v>775</v>
      </c>
      <c r="AD1592" t="s">
        <v>61</v>
      </c>
      <c r="AE1592" t="s">
        <v>776</v>
      </c>
      <c r="AF1592">
        <v>2076</v>
      </c>
      <c r="AG1592" t="s">
        <v>2311</v>
      </c>
      <c r="AI1592" t="s">
        <v>59</v>
      </c>
      <c r="AL1592" t="s">
        <v>87</v>
      </c>
      <c r="AN1592" s="3">
        <v>46071.856249999997</v>
      </c>
      <c r="AO1592" t="s">
        <v>2312</v>
      </c>
    </row>
    <row r="1593" spans="1:41" x14ac:dyDescent="0.3">
      <c r="A1593" t="s">
        <v>168</v>
      </c>
      <c r="B1593" t="s">
        <v>376</v>
      </c>
      <c r="C1593" t="s">
        <v>100</v>
      </c>
      <c r="D1593" t="s">
        <v>127</v>
      </c>
      <c r="E1593" s="1">
        <v>46071</v>
      </c>
      <c r="F1593" t="s">
        <v>44</v>
      </c>
      <c r="G1593" t="s">
        <v>128</v>
      </c>
      <c r="H1593" s="2">
        <v>0.58333333333333337</v>
      </c>
      <c r="I1593" s="2">
        <v>0.875</v>
      </c>
      <c r="J1593" t="s">
        <v>100</v>
      </c>
      <c r="L1593" t="s">
        <v>100</v>
      </c>
      <c r="M1593" t="s">
        <v>377</v>
      </c>
      <c r="N1593" t="s">
        <v>378</v>
      </c>
      <c r="O1593">
        <v>21963</v>
      </c>
      <c r="Q1593" t="s">
        <v>2748</v>
      </c>
      <c r="R1593" t="s">
        <v>380</v>
      </c>
      <c r="S1593" t="s">
        <v>52</v>
      </c>
      <c r="U1593">
        <v>891022</v>
      </c>
      <c r="V1593" s="3">
        <v>46035.349305555559</v>
      </c>
      <c r="W1593" t="s">
        <v>381</v>
      </c>
      <c r="X1593" t="s">
        <v>382</v>
      </c>
      <c r="Y1593" t="str">
        <f>"0438336604"</f>
        <v>0438336604</v>
      </c>
      <c r="Z1593" t="s">
        <v>395</v>
      </c>
      <c r="AB1593" t="s">
        <v>383</v>
      </c>
      <c r="AD1593" t="s">
        <v>168</v>
      </c>
      <c r="AE1593" t="s">
        <v>384</v>
      </c>
      <c r="AF1593">
        <v>5000</v>
      </c>
      <c r="AI1593" t="s">
        <v>59</v>
      </c>
      <c r="AL1593" t="s">
        <v>3956</v>
      </c>
      <c r="AN1593" s="3">
        <v>46071.879166666666</v>
      </c>
      <c r="AO1593" t="s">
        <v>381</v>
      </c>
    </row>
    <row r="1594" spans="1:41" x14ac:dyDescent="0.3">
      <c r="A1594" t="s">
        <v>306</v>
      </c>
      <c r="B1594" t="s">
        <v>386</v>
      </c>
      <c r="C1594" t="s">
        <v>387</v>
      </c>
      <c r="D1594" t="s">
        <v>388</v>
      </c>
      <c r="E1594" s="1">
        <v>46071</v>
      </c>
      <c r="F1594" t="s">
        <v>44</v>
      </c>
      <c r="G1594" t="s">
        <v>128</v>
      </c>
      <c r="H1594" s="2">
        <v>0.58333333333333337</v>
      </c>
      <c r="I1594" s="2">
        <v>0.91666666666666663</v>
      </c>
      <c r="J1594" t="s">
        <v>389</v>
      </c>
      <c r="L1594" t="s">
        <v>298</v>
      </c>
      <c r="M1594" t="s">
        <v>195</v>
      </c>
      <c r="N1594" t="s">
        <v>390</v>
      </c>
      <c r="O1594">
        <v>5951661</v>
      </c>
      <c r="P1594" t="s">
        <v>249</v>
      </c>
      <c r="Q1594" t="s">
        <v>391</v>
      </c>
      <c r="R1594" t="s">
        <v>392</v>
      </c>
      <c r="S1594" t="s">
        <v>52</v>
      </c>
      <c r="T1594" t="s">
        <v>252</v>
      </c>
      <c r="U1594">
        <v>891642</v>
      </c>
      <c r="V1594" s="3">
        <v>46077.668749999997</v>
      </c>
      <c r="W1594" t="s">
        <v>393</v>
      </c>
      <c r="X1594" t="s">
        <v>394</v>
      </c>
      <c r="Y1594" t="str">
        <f>"0427371732"</f>
        <v>0427371732</v>
      </c>
      <c r="Z1594" t="s">
        <v>395</v>
      </c>
      <c r="AA1594" s="1">
        <v>46141</v>
      </c>
      <c r="AB1594" t="s">
        <v>396</v>
      </c>
      <c r="AD1594" t="s">
        <v>397</v>
      </c>
      <c r="AE1594" t="s">
        <v>398</v>
      </c>
      <c r="AF1594">
        <v>7919</v>
      </c>
      <c r="AG1594" t="s">
        <v>399</v>
      </c>
      <c r="AI1594" t="s">
        <v>59</v>
      </c>
      <c r="AJ1594" t="str">
        <f>"0090000067"</f>
        <v>0090000067</v>
      </c>
      <c r="AN1594" s="3">
        <v>46077.668749999997</v>
      </c>
      <c r="AO1594" t="s">
        <v>392</v>
      </c>
    </row>
    <row r="1595" spans="1:41" x14ac:dyDescent="0.3">
      <c r="A1595" t="s">
        <v>168</v>
      </c>
      <c r="B1595" t="s">
        <v>376</v>
      </c>
      <c r="C1595" t="s">
        <v>100</v>
      </c>
      <c r="D1595" t="s">
        <v>127</v>
      </c>
      <c r="E1595" s="1">
        <v>46071</v>
      </c>
      <c r="F1595" t="s">
        <v>44</v>
      </c>
      <c r="G1595" t="s">
        <v>128</v>
      </c>
      <c r="H1595" s="2">
        <v>0.58333333333333337</v>
      </c>
      <c r="I1595" s="2">
        <v>0.91666666666666663</v>
      </c>
      <c r="J1595" t="s">
        <v>100</v>
      </c>
      <c r="L1595" t="s">
        <v>100</v>
      </c>
      <c r="M1595" t="s">
        <v>1253</v>
      </c>
      <c r="N1595" t="s">
        <v>1254</v>
      </c>
      <c r="O1595">
        <v>5951043</v>
      </c>
      <c r="Q1595" t="s">
        <v>379</v>
      </c>
      <c r="R1595" t="s">
        <v>380</v>
      </c>
      <c r="S1595" t="s">
        <v>52</v>
      </c>
      <c r="U1595">
        <v>891042</v>
      </c>
      <c r="V1595" s="3">
        <v>46035.347916666666</v>
      </c>
      <c r="W1595" t="s">
        <v>1256</v>
      </c>
      <c r="X1595" t="s">
        <v>1257</v>
      </c>
      <c r="Y1595" t="str">
        <f>"0431343551"</f>
        <v>0431343551</v>
      </c>
      <c r="Z1595" t="s">
        <v>345</v>
      </c>
      <c r="AB1595" t="s">
        <v>383</v>
      </c>
      <c r="AD1595" t="s">
        <v>168</v>
      </c>
      <c r="AE1595" t="s">
        <v>384</v>
      </c>
      <c r="AF1595">
        <v>5000</v>
      </c>
      <c r="AI1595" t="s">
        <v>59</v>
      </c>
      <c r="AN1595" s="3">
        <v>46071.931250000001</v>
      </c>
      <c r="AO1595" t="s">
        <v>1256</v>
      </c>
    </row>
    <row r="1596" spans="1:41" x14ac:dyDescent="0.3">
      <c r="A1596" t="s">
        <v>168</v>
      </c>
      <c r="B1596" t="s">
        <v>376</v>
      </c>
      <c r="C1596" t="s">
        <v>100</v>
      </c>
      <c r="D1596" t="s">
        <v>127</v>
      </c>
      <c r="E1596" s="1">
        <v>46071</v>
      </c>
      <c r="F1596" t="s">
        <v>44</v>
      </c>
      <c r="G1596" t="s">
        <v>128</v>
      </c>
      <c r="H1596" s="2">
        <v>0.58333333333333337</v>
      </c>
      <c r="I1596" s="2">
        <v>0.875</v>
      </c>
      <c r="J1596" t="s">
        <v>100</v>
      </c>
      <c r="M1596" t="s">
        <v>3840</v>
      </c>
      <c r="N1596" t="s">
        <v>3841</v>
      </c>
      <c r="O1596">
        <v>22503</v>
      </c>
      <c r="Q1596" t="s">
        <v>670</v>
      </c>
      <c r="R1596" t="s">
        <v>380</v>
      </c>
      <c r="S1596" t="s">
        <v>52</v>
      </c>
      <c r="U1596">
        <v>891032</v>
      </c>
      <c r="V1596" s="3">
        <v>46035.348611111112</v>
      </c>
      <c r="W1596" t="s">
        <v>3842</v>
      </c>
      <c r="X1596" t="s">
        <v>3843</v>
      </c>
      <c r="Y1596" t="str">
        <f>"0449100018"</f>
        <v>0449100018</v>
      </c>
      <c r="Z1596" t="s">
        <v>345</v>
      </c>
      <c r="AB1596" t="s">
        <v>383</v>
      </c>
      <c r="AD1596" t="s">
        <v>168</v>
      </c>
      <c r="AE1596" t="s">
        <v>384</v>
      </c>
      <c r="AF1596">
        <v>5000</v>
      </c>
      <c r="AI1596" t="s">
        <v>59</v>
      </c>
      <c r="AL1596" t="s">
        <v>1534</v>
      </c>
      <c r="AM1596" t="s">
        <v>2749</v>
      </c>
      <c r="AN1596" s="3">
        <v>46071.894444444442</v>
      </c>
      <c r="AO1596" t="s">
        <v>3842</v>
      </c>
    </row>
    <row r="1597" spans="1:41" x14ac:dyDescent="0.3">
      <c r="A1597" t="s">
        <v>41</v>
      </c>
      <c r="B1597" t="s">
        <v>1557</v>
      </c>
      <c r="C1597" t="s">
        <v>4079</v>
      </c>
      <c r="D1597" t="s">
        <v>63</v>
      </c>
      <c r="E1597" s="1">
        <v>46071</v>
      </c>
      <c r="F1597" t="s">
        <v>44</v>
      </c>
      <c r="G1597" t="s">
        <v>128</v>
      </c>
      <c r="H1597" s="2">
        <v>0.60416666666666663</v>
      </c>
      <c r="I1597" s="2">
        <v>0.95833333333333337</v>
      </c>
      <c r="J1597" t="s">
        <v>296</v>
      </c>
      <c r="L1597" t="s">
        <v>1169</v>
      </c>
      <c r="M1597" t="s">
        <v>4080</v>
      </c>
      <c r="N1597" t="s">
        <v>4081</v>
      </c>
      <c r="O1597">
        <v>5952237</v>
      </c>
      <c r="Q1597" t="s">
        <v>4082</v>
      </c>
      <c r="R1597" t="s">
        <v>132</v>
      </c>
      <c r="S1597" t="s">
        <v>52</v>
      </c>
      <c r="U1597">
        <v>891054</v>
      </c>
      <c r="V1597" s="3">
        <v>46071.261111111111</v>
      </c>
      <c r="W1597" t="s">
        <v>4083</v>
      </c>
      <c r="X1597" t="s">
        <v>4084</v>
      </c>
      <c r="Y1597" t="str">
        <f>"0488619203"</f>
        <v>0488619203</v>
      </c>
      <c r="Z1597" t="s">
        <v>70</v>
      </c>
      <c r="AA1597" s="1">
        <v>46071</v>
      </c>
      <c r="AB1597" t="s">
        <v>1562</v>
      </c>
      <c r="AD1597" t="s">
        <v>41</v>
      </c>
      <c r="AE1597" t="s">
        <v>1563</v>
      </c>
      <c r="AF1597">
        <v>4109</v>
      </c>
      <c r="AG1597" t="s">
        <v>4085</v>
      </c>
      <c r="AI1597" t="s">
        <v>59</v>
      </c>
      <c r="AL1597" t="s">
        <v>4086</v>
      </c>
      <c r="AN1597" s="3">
        <v>46071.989583333336</v>
      </c>
      <c r="AO1597" t="s">
        <v>4083</v>
      </c>
    </row>
    <row r="1598" spans="1:41" x14ac:dyDescent="0.3">
      <c r="A1598" t="s">
        <v>168</v>
      </c>
      <c r="B1598" t="s">
        <v>1963</v>
      </c>
      <c r="C1598" t="s">
        <v>4087</v>
      </c>
      <c r="D1598" t="s">
        <v>401</v>
      </c>
      <c r="E1598" s="1">
        <v>46071</v>
      </c>
      <c r="F1598" t="s">
        <v>44</v>
      </c>
      <c r="G1598" t="s">
        <v>128</v>
      </c>
      <c r="H1598" s="2">
        <v>0.60416666666666663</v>
      </c>
      <c r="I1598" s="2">
        <v>0.91666666666666663</v>
      </c>
      <c r="J1598" t="s">
        <v>296</v>
      </c>
      <c r="K1598" t="s">
        <v>750</v>
      </c>
      <c r="L1598" t="s">
        <v>271</v>
      </c>
      <c r="M1598" t="s">
        <v>272</v>
      </c>
      <c r="N1598" t="s">
        <v>273</v>
      </c>
      <c r="O1598">
        <v>5951312</v>
      </c>
      <c r="Q1598" t="s">
        <v>1662</v>
      </c>
      <c r="R1598" t="s">
        <v>1248</v>
      </c>
      <c r="S1598" t="s">
        <v>52</v>
      </c>
      <c r="U1598">
        <v>891045</v>
      </c>
      <c r="V1598" s="3">
        <v>46070.751388888886</v>
      </c>
      <c r="W1598" t="s">
        <v>275</v>
      </c>
      <c r="X1598" t="s">
        <v>276</v>
      </c>
      <c r="Y1598" t="str">
        <f>"0451788814"</f>
        <v>0451788814</v>
      </c>
      <c r="Z1598" t="s">
        <v>70</v>
      </c>
      <c r="AA1598" s="1">
        <v>46071</v>
      </c>
      <c r="AB1598" t="s">
        <v>1967</v>
      </c>
      <c r="AD1598" t="s">
        <v>168</v>
      </c>
      <c r="AE1598" t="s">
        <v>1968</v>
      </c>
      <c r="AF1598">
        <v>5000</v>
      </c>
      <c r="AG1598" t="s">
        <v>1969</v>
      </c>
      <c r="AI1598" t="s">
        <v>59</v>
      </c>
      <c r="AL1598" t="s">
        <v>4088</v>
      </c>
      <c r="AN1598" s="3">
        <v>46071.956944444442</v>
      </c>
      <c r="AO1598" t="s">
        <v>275</v>
      </c>
    </row>
    <row r="1599" spans="1:41" x14ac:dyDescent="0.3">
      <c r="A1599" t="s">
        <v>61</v>
      </c>
      <c r="B1599" t="s">
        <v>1462</v>
      </c>
      <c r="C1599" t="s">
        <v>296</v>
      </c>
      <c r="D1599" t="s">
        <v>90</v>
      </c>
      <c r="E1599" s="1">
        <v>46071</v>
      </c>
      <c r="F1599" t="s">
        <v>44</v>
      </c>
      <c r="G1599" t="s">
        <v>128</v>
      </c>
      <c r="H1599" s="2">
        <v>0.60416666666666663</v>
      </c>
      <c r="I1599" s="2">
        <v>0.91666666666666663</v>
      </c>
      <c r="J1599" t="s">
        <v>464</v>
      </c>
      <c r="L1599" t="s">
        <v>47</v>
      </c>
      <c r="M1599" t="s">
        <v>2657</v>
      </c>
      <c r="N1599" t="s">
        <v>933</v>
      </c>
      <c r="O1599">
        <v>5952318</v>
      </c>
      <c r="Q1599" t="s">
        <v>541</v>
      </c>
      <c r="R1599" t="s">
        <v>132</v>
      </c>
      <c r="S1599" t="s">
        <v>119</v>
      </c>
      <c r="U1599">
        <v>891615</v>
      </c>
      <c r="V1599" s="3">
        <v>46070.476388888892</v>
      </c>
      <c r="W1599" t="s">
        <v>2659</v>
      </c>
      <c r="X1599" t="s">
        <v>2660</v>
      </c>
      <c r="Y1599" t="str">
        <f>"1111111111"</f>
        <v>1111111111</v>
      </c>
      <c r="Z1599" t="s">
        <v>545</v>
      </c>
      <c r="AB1599" t="s">
        <v>1468</v>
      </c>
      <c r="AD1599" t="s">
        <v>61</v>
      </c>
      <c r="AE1599" t="s">
        <v>1469</v>
      </c>
      <c r="AF1599">
        <v>2060</v>
      </c>
      <c r="AG1599" t="s">
        <v>541</v>
      </c>
      <c r="AI1599" t="s">
        <v>59</v>
      </c>
      <c r="AL1599" t="s">
        <v>4089</v>
      </c>
      <c r="AN1599" s="3">
        <v>46070.677083333336</v>
      </c>
      <c r="AO1599" t="s">
        <v>132</v>
      </c>
    </row>
    <row r="1600" spans="1:41" x14ac:dyDescent="0.3">
      <c r="A1600" t="s">
        <v>61</v>
      </c>
      <c r="B1600" t="s">
        <v>182</v>
      </c>
      <c r="C1600" t="s">
        <v>183</v>
      </c>
      <c r="D1600" t="s">
        <v>184</v>
      </c>
      <c r="E1600" s="1">
        <v>46071</v>
      </c>
      <c r="F1600" t="s">
        <v>44</v>
      </c>
      <c r="G1600" t="s">
        <v>128</v>
      </c>
      <c r="H1600" s="2">
        <v>0.60416666666666663</v>
      </c>
      <c r="I1600" s="2">
        <v>0.99861111111111112</v>
      </c>
      <c r="J1600" t="s">
        <v>185</v>
      </c>
      <c r="L1600" t="s">
        <v>790</v>
      </c>
      <c r="M1600" t="s">
        <v>791</v>
      </c>
      <c r="N1600" t="s">
        <v>792</v>
      </c>
      <c r="O1600">
        <v>5952334</v>
      </c>
      <c r="Q1600" t="s">
        <v>189</v>
      </c>
      <c r="R1600" t="s">
        <v>132</v>
      </c>
      <c r="S1600" t="s">
        <v>52</v>
      </c>
      <c r="U1600">
        <v>891007</v>
      </c>
      <c r="V1600" s="3">
        <v>46064.443055555559</v>
      </c>
      <c r="W1600" t="s">
        <v>793</v>
      </c>
      <c r="X1600" t="s">
        <v>794</v>
      </c>
      <c r="Y1600" t="str">
        <f>"0422273393"</f>
        <v>0422273393</v>
      </c>
      <c r="Z1600" t="s">
        <v>4090</v>
      </c>
      <c r="AB1600" t="s">
        <v>193</v>
      </c>
      <c r="AD1600" t="s">
        <v>61</v>
      </c>
      <c r="AE1600" t="s">
        <v>194</v>
      </c>
      <c r="AF1600">
        <v>2229</v>
      </c>
      <c r="AG1600" t="s">
        <v>189</v>
      </c>
      <c r="AI1600" t="s">
        <v>59</v>
      </c>
      <c r="AL1600" t="s">
        <v>4091</v>
      </c>
      <c r="AN1600" s="3">
        <v>46071.788194444445</v>
      </c>
      <c r="AO1600" t="s">
        <v>793</v>
      </c>
    </row>
    <row r="1601" spans="1:41" x14ac:dyDescent="0.3">
      <c r="A1601" t="s">
        <v>168</v>
      </c>
      <c r="B1601" t="s">
        <v>441</v>
      </c>
      <c r="C1601" t="s">
        <v>296</v>
      </c>
      <c r="E1601" s="1">
        <v>46071</v>
      </c>
      <c r="F1601" t="s">
        <v>44</v>
      </c>
      <c r="G1601" t="s">
        <v>128</v>
      </c>
      <c r="H1601" s="2">
        <v>0.60416666666666663</v>
      </c>
      <c r="I1601" s="2">
        <v>0.9375</v>
      </c>
      <c r="J1601" t="s">
        <v>296</v>
      </c>
      <c r="K1601" t="s">
        <v>360</v>
      </c>
      <c r="L1601" t="s">
        <v>339</v>
      </c>
      <c r="M1601" t="s">
        <v>340</v>
      </c>
      <c r="N1601" t="s">
        <v>341</v>
      </c>
      <c r="O1601">
        <v>5951711</v>
      </c>
      <c r="Q1601" t="s">
        <v>444</v>
      </c>
      <c r="R1601" t="s">
        <v>445</v>
      </c>
      <c r="S1601" t="s">
        <v>52</v>
      </c>
      <c r="U1601">
        <v>891043</v>
      </c>
      <c r="V1601" s="3">
        <v>46067.538194444445</v>
      </c>
      <c r="W1601" t="s">
        <v>343</v>
      </c>
      <c r="X1601" t="s">
        <v>344</v>
      </c>
      <c r="Y1601" t="str">
        <f>"0422996486"</f>
        <v>0422996486</v>
      </c>
      <c r="Z1601" t="s">
        <v>1635</v>
      </c>
      <c r="AA1601" s="1">
        <v>46071</v>
      </c>
      <c r="AB1601" t="s">
        <v>448</v>
      </c>
      <c r="AD1601" t="s">
        <v>168</v>
      </c>
      <c r="AE1601" t="s">
        <v>180</v>
      </c>
      <c r="AF1601">
        <v>5063</v>
      </c>
      <c r="AI1601" t="s">
        <v>59</v>
      </c>
      <c r="AL1601" t="s">
        <v>1121</v>
      </c>
      <c r="AN1601" s="3">
        <v>46071.943749999999</v>
      </c>
      <c r="AO1601" t="s">
        <v>343</v>
      </c>
    </row>
    <row r="1602" spans="1:41" x14ac:dyDescent="0.3">
      <c r="A1602" t="s">
        <v>306</v>
      </c>
      <c r="B1602" t="s">
        <v>528</v>
      </c>
      <c r="C1602" t="s">
        <v>1523</v>
      </c>
      <c r="D1602" t="s">
        <v>63</v>
      </c>
      <c r="E1602" s="1">
        <v>46071</v>
      </c>
      <c r="F1602" t="s">
        <v>44</v>
      </c>
      <c r="G1602" t="s">
        <v>128</v>
      </c>
      <c r="H1602" s="2">
        <v>0.60416666666666663</v>
      </c>
      <c r="I1602" s="2">
        <v>0.91666666666666663</v>
      </c>
      <c r="J1602" t="s">
        <v>296</v>
      </c>
      <c r="L1602" t="s">
        <v>1260</v>
      </c>
      <c r="M1602" t="s">
        <v>239</v>
      </c>
      <c r="N1602" t="s">
        <v>1261</v>
      </c>
      <c r="O1602">
        <v>5952100</v>
      </c>
      <c r="Q1602" t="s">
        <v>2757</v>
      </c>
      <c r="R1602" t="s">
        <v>1248</v>
      </c>
      <c r="S1602" t="s">
        <v>52</v>
      </c>
      <c r="U1602">
        <v>891041</v>
      </c>
      <c r="V1602" s="3">
        <v>46067.318749999999</v>
      </c>
      <c r="W1602" t="s">
        <v>1262</v>
      </c>
      <c r="X1602" t="s">
        <v>1263</v>
      </c>
      <c r="Y1602" t="str">
        <f>"0420517034"</f>
        <v>0420517034</v>
      </c>
      <c r="Z1602" t="s">
        <v>70</v>
      </c>
      <c r="AA1602" s="1">
        <v>46071</v>
      </c>
      <c r="AB1602" t="s">
        <v>537</v>
      </c>
      <c r="AD1602" t="s">
        <v>306</v>
      </c>
      <c r="AE1602" t="s">
        <v>538</v>
      </c>
      <c r="AF1602">
        <v>3152</v>
      </c>
      <c r="AG1602" t="s">
        <v>2757</v>
      </c>
      <c r="AI1602" t="s">
        <v>59</v>
      </c>
      <c r="AL1602" t="s">
        <v>87</v>
      </c>
      <c r="AN1602" s="3">
        <v>46071.92291666667</v>
      </c>
      <c r="AO1602" t="s">
        <v>1262</v>
      </c>
    </row>
    <row r="1603" spans="1:41" x14ac:dyDescent="0.3">
      <c r="A1603" t="s">
        <v>61</v>
      </c>
      <c r="B1603" t="s">
        <v>1271</v>
      </c>
      <c r="C1603" t="s">
        <v>1272</v>
      </c>
      <c r="D1603" t="s">
        <v>184</v>
      </c>
      <c r="E1603" s="1">
        <v>46081</v>
      </c>
      <c r="F1603" t="s">
        <v>1374</v>
      </c>
      <c r="G1603" t="s">
        <v>128</v>
      </c>
      <c r="H1603" s="2">
        <v>0.29166666666666669</v>
      </c>
      <c r="I1603" s="2">
        <v>0.8125</v>
      </c>
      <c r="J1603" t="s">
        <v>486</v>
      </c>
      <c r="L1603" t="s">
        <v>487</v>
      </c>
      <c r="M1603" t="s">
        <v>1295</v>
      </c>
      <c r="N1603" t="s">
        <v>2176</v>
      </c>
      <c r="O1603">
        <v>5951197</v>
      </c>
      <c r="Q1603" t="s">
        <v>1190</v>
      </c>
      <c r="R1603" t="s">
        <v>67</v>
      </c>
      <c r="S1603" t="s">
        <v>52</v>
      </c>
      <c r="T1603" t="s">
        <v>1437</v>
      </c>
      <c r="U1603">
        <v>892147</v>
      </c>
      <c r="V1603" s="3">
        <v>46070.455555555556</v>
      </c>
      <c r="W1603" t="s">
        <v>2177</v>
      </c>
      <c r="X1603" t="s">
        <v>2178</v>
      </c>
      <c r="Y1603" t="str">
        <f>"0414644229"</f>
        <v>0414644229</v>
      </c>
      <c r="Z1603" t="s">
        <v>55</v>
      </c>
      <c r="AA1603" s="1">
        <v>46081</v>
      </c>
      <c r="AB1603" t="s">
        <v>1278</v>
      </c>
      <c r="AD1603" t="s">
        <v>61</v>
      </c>
      <c r="AE1603" t="s">
        <v>1279</v>
      </c>
      <c r="AF1603">
        <v>2145</v>
      </c>
      <c r="AG1603" t="s">
        <v>2126</v>
      </c>
      <c r="AI1603" t="s">
        <v>59</v>
      </c>
      <c r="AL1603" t="s">
        <v>4092</v>
      </c>
      <c r="AN1603" s="3">
        <v>46082.482638888891</v>
      </c>
      <c r="AO1603" t="s">
        <v>759</v>
      </c>
    </row>
    <row r="1604" spans="1:41" x14ac:dyDescent="0.3">
      <c r="A1604" t="s">
        <v>41</v>
      </c>
      <c r="B1604" t="s">
        <v>1452</v>
      </c>
      <c r="D1604" t="s">
        <v>246</v>
      </c>
      <c r="E1604" s="1">
        <v>46081</v>
      </c>
      <c r="F1604" t="s">
        <v>1374</v>
      </c>
      <c r="G1604" t="s">
        <v>45</v>
      </c>
      <c r="H1604" s="2">
        <v>0.29166666666666669</v>
      </c>
      <c r="I1604" s="2">
        <v>0.64583333333333337</v>
      </c>
      <c r="J1604" t="s">
        <v>296</v>
      </c>
      <c r="L1604" t="s">
        <v>1453</v>
      </c>
      <c r="M1604" t="s">
        <v>1454</v>
      </c>
      <c r="N1604" t="s">
        <v>1455</v>
      </c>
      <c r="O1604">
        <v>5951941</v>
      </c>
      <c r="Q1604" t="s">
        <v>1456</v>
      </c>
      <c r="R1604" t="s">
        <v>1457</v>
      </c>
      <c r="S1604" t="s">
        <v>52</v>
      </c>
      <c r="T1604" t="s">
        <v>252</v>
      </c>
      <c r="U1604">
        <v>892393</v>
      </c>
      <c r="V1604" s="3">
        <v>46084.470138888886</v>
      </c>
      <c r="W1604" t="s">
        <v>1457</v>
      </c>
      <c r="X1604" t="s">
        <v>1458</v>
      </c>
      <c r="Y1604" t="str">
        <f>"0413847722"</f>
        <v>0413847722</v>
      </c>
      <c r="Z1604" t="s">
        <v>1375</v>
      </c>
      <c r="AA1604" s="1">
        <v>46097</v>
      </c>
      <c r="AB1604" t="s">
        <v>1459</v>
      </c>
      <c r="AD1604" t="s">
        <v>41</v>
      </c>
      <c r="AE1604" t="s">
        <v>1460</v>
      </c>
      <c r="AF1604">
        <v>4740</v>
      </c>
      <c r="AG1604" t="s">
        <v>1461</v>
      </c>
      <c r="AI1604" t="s">
        <v>59</v>
      </c>
      <c r="AJ1604" t="str">
        <f>"0050076628"</f>
        <v>0050076628</v>
      </c>
      <c r="AN1604" s="3">
        <v>46084.470138888886</v>
      </c>
      <c r="AO1604" t="s">
        <v>1457</v>
      </c>
    </row>
    <row r="1605" spans="1:41" x14ac:dyDescent="0.3">
      <c r="A1605" t="s">
        <v>61</v>
      </c>
      <c r="B1605" t="s">
        <v>1079</v>
      </c>
      <c r="C1605" t="s">
        <v>43</v>
      </c>
      <c r="D1605" t="s">
        <v>63</v>
      </c>
      <c r="E1605" s="1">
        <v>46081</v>
      </c>
      <c r="F1605" t="s">
        <v>1374</v>
      </c>
      <c r="G1605" t="s">
        <v>45</v>
      </c>
      <c r="H1605" s="2">
        <v>0.29166666666666669</v>
      </c>
      <c r="I1605" s="2">
        <v>0.5625</v>
      </c>
      <c r="J1605" t="s">
        <v>101</v>
      </c>
      <c r="L1605" t="s">
        <v>159</v>
      </c>
      <c r="M1605" t="s">
        <v>4093</v>
      </c>
      <c r="N1605" t="s">
        <v>4094</v>
      </c>
      <c r="O1605">
        <v>21928</v>
      </c>
      <c r="Q1605" t="s">
        <v>3578</v>
      </c>
      <c r="R1605" t="s">
        <v>132</v>
      </c>
      <c r="S1605" t="s">
        <v>52</v>
      </c>
      <c r="U1605">
        <v>892143</v>
      </c>
      <c r="V1605" s="3">
        <v>46079.505555555559</v>
      </c>
      <c r="W1605" t="s">
        <v>4095</v>
      </c>
      <c r="X1605" t="s">
        <v>4096</v>
      </c>
      <c r="Y1605" t="str">
        <f>"0402772511"</f>
        <v>0402772511</v>
      </c>
      <c r="Z1605" t="s">
        <v>345</v>
      </c>
      <c r="AB1605" t="s">
        <v>1085</v>
      </c>
      <c r="AD1605" t="s">
        <v>61</v>
      </c>
      <c r="AE1605" t="s">
        <v>1086</v>
      </c>
      <c r="AF1605">
        <v>2031</v>
      </c>
      <c r="AG1605" t="s">
        <v>3578</v>
      </c>
      <c r="AI1605" t="s">
        <v>59</v>
      </c>
      <c r="AL1605" t="s">
        <v>3796</v>
      </c>
      <c r="AN1605" s="3">
        <v>46081.536111111112</v>
      </c>
      <c r="AO1605" t="s">
        <v>4095</v>
      </c>
    </row>
    <row r="1606" spans="1:41" x14ac:dyDescent="0.3">
      <c r="A1606" t="s">
        <v>306</v>
      </c>
      <c r="B1606" t="s">
        <v>4097</v>
      </c>
      <c r="C1606" t="s">
        <v>3118</v>
      </c>
      <c r="D1606" t="s">
        <v>184</v>
      </c>
      <c r="E1606" s="1">
        <v>46081</v>
      </c>
      <c r="F1606" t="s">
        <v>1374</v>
      </c>
      <c r="G1606" t="s">
        <v>45</v>
      </c>
      <c r="H1606" s="2">
        <v>0.29166666666666669</v>
      </c>
      <c r="I1606" s="2">
        <v>0.5</v>
      </c>
      <c r="J1606" t="s">
        <v>1314</v>
      </c>
      <c r="K1606" t="s">
        <v>3742</v>
      </c>
      <c r="L1606" t="s">
        <v>1753</v>
      </c>
      <c r="M1606" t="s">
        <v>1754</v>
      </c>
      <c r="N1606" t="s">
        <v>1755</v>
      </c>
      <c r="O1606">
        <v>20486</v>
      </c>
      <c r="Q1606" t="s">
        <v>413</v>
      </c>
      <c r="R1606" t="s">
        <v>1302</v>
      </c>
      <c r="S1606" t="s">
        <v>119</v>
      </c>
      <c r="T1606" t="s">
        <v>414</v>
      </c>
      <c r="U1606">
        <v>892219</v>
      </c>
      <c r="V1606" s="3">
        <v>46080.9375</v>
      </c>
      <c r="W1606" t="s">
        <v>1757</v>
      </c>
      <c r="X1606" t="s">
        <v>1758</v>
      </c>
      <c r="Y1606" t="str">
        <f>"0432381966"</f>
        <v>0432381966</v>
      </c>
      <c r="Z1606" t="s">
        <v>70</v>
      </c>
      <c r="AB1606" t="s">
        <v>4098</v>
      </c>
      <c r="AD1606" t="s">
        <v>306</v>
      </c>
      <c r="AE1606" t="s">
        <v>4099</v>
      </c>
      <c r="AF1606">
        <v>3183</v>
      </c>
      <c r="AI1606" t="s">
        <v>59</v>
      </c>
      <c r="AL1606" t="s">
        <v>2686</v>
      </c>
      <c r="AM1606" t="s">
        <v>4100</v>
      </c>
      <c r="AN1606" s="3">
        <v>46080.940972222219</v>
      </c>
      <c r="AO1606" t="s">
        <v>1302</v>
      </c>
    </row>
    <row r="1607" spans="1:41" x14ac:dyDescent="0.3">
      <c r="A1607" t="s">
        <v>306</v>
      </c>
      <c r="B1607" t="s">
        <v>4097</v>
      </c>
      <c r="C1607" t="s">
        <v>3118</v>
      </c>
      <c r="D1607" t="s">
        <v>184</v>
      </c>
      <c r="E1607" s="1">
        <v>46081</v>
      </c>
      <c r="F1607" t="s">
        <v>1374</v>
      </c>
      <c r="G1607" t="s">
        <v>45</v>
      </c>
      <c r="H1607" s="2">
        <v>0.29166666666666669</v>
      </c>
      <c r="I1607" s="2">
        <v>0.45833333333333331</v>
      </c>
      <c r="J1607" t="s">
        <v>296</v>
      </c>
      <c r="K1607" t="s">
        <v>3742</v>
      </c>
      <c r="L1607" t="s">
        <v>1753</v>
      </c>
      <c r="M1607" t="s">
        <v>1754</v>
      </c>
      <c r="N1607" t="s">
        <v>1755</v>
      </c>
      <c r="O1607">
        <v>20486</v>
      </c>
      <c r="Q1607" t="s">
        <v>413</v>
      </c>
      <c r="R1607" t="s">
        <v>759</v>
      </c>
      <c r="S1607" t="s">
        <v>119</v>
      </c>
      <c r="T1607" t="s">
        <v>760</v>
      </c>
      <c r="U1607" t="s">
        <v>4101</v>
      </c>
      <c r="V1607" s="3">
        <v>46098.573611111111</v>
      </c>
      <c r="W1607" t="s">
        <v>1757</v>
      </c>
      <c r="X1607" t="s">
        <v>1758</v>
      </c>
      <c r="Y1607" t="str">
        <f>"0432381966"</f>
        <v>0432381966</v>
      </c>
      <c r="Z1607" t="s">
        <v>70</v>
      </c>
      <c r="AB1607" t="s">
        <v>4098</v>
      </c>
      <c r="AD1607" t="s">
        <v>306</v>
      </c>
      <c r="AE1607" t="s">
        <v>4099</v>
      </c>
      <c r="AF1607">
        <v>3183</v>
      </c>
      <c r="AG1607" t="s">
        <v>413</v>
      </c>
      <c r="AI1607" t="s">
        <v>59</v>
      </c>
      <c r="AM1607" t="s">
        <v>4102</v>
      </c>
      <c r="AN1607" s="3">
        <v>46098.573611111111</v>
      </c>
      <c r="AO1607" t="s">
        <v>759</v>
      </c>
    </row>
    <row r="1608" spans="1:41" x14ac:dyDescent="0.3">
      <c r="A1608" t="s">
        <v>306</v>
      </c>
      <c r="B1608" t="s">
        <v>4097</v>
      </c>
      <c r="C1608" t="s">
        <v>3118</v>
      </c>
      <c r="D1608" t="s">
        <v>184</v>
      </c>
      <c r="E1608" s="1">
        <v>46081</v>
      </c>
      <c r="F1608" t="s">
        <v>1374</v>
      </c>
      <c r="G1608" t="s">
        <v>45</v>
      </c>
      <c r="H1608" s="2">
        <v>0.29166666666666669</v>
      </c>
      <c r="I1608" s="2">
        <v>0.45833333333333331</v>
      </c>
      <c r="J1608" t="s">
        <v>296</v>
      </c>
      <c r="K1608" t="s">
        <v>3742</v>
      </c>
      <c r="L1608" t="s">
        <v>1753</v>
      </c>
      <c r="M1608" t="s">
        <v>1754</v>
      </c>
      <c r="N1608" t="s">
        <v>1755</v>
      </c>
      <c r="O1608">
        <v>20486</v>
      </c>
      <c r="Q1608" t="s">
        <v>413</v>
      </c>
      <c r="R1608" t="s">
        <v>759</v>
      </c>
      <c r="S1608" t="s">
        <v>119</v>
      </c>
      <c r="T1608" t="s">
        <v>760</v>
      </c>
      <c r="U1608" t="s">
        <v>4103</v>
      </c>
      <c r="V1608" s="3">
        <v>46098.573611111111</v>
      </c>
      <c r="W1608" t="s">
        <v>1757</v>
      </c>
      <c r="X1608" t="s">
        <v>1758</v>
      </c>
      <c r="Y1608" t="str">
        <f>"0432381966"</f>
        <v>0432381966</v>
      </c>
      <c r="Z1608" t="s">
        <v>70</v>
      </c>
      <c r="AB1608" t="s">
        <v>4098</v>
      </c>
      <c r="AD1608" t="s">
        <v>306</v>
      </c>
      <c r="AE1608" t="s">
        <v>4099</v>
      </c>
      <c r="AF1608">
        <v>3183</v>
      </c>
      <c r="AG1608" t="s">
        <v>413</v>
      </c>
      <c r="AI1608" t="s">
        <v>59</v>
      </c>
      <c r="AM1608" t="s">
        <v>4102</v>
      </c>
      <c r="AN1608" s="3">
        <v>46098.573611111111</v>
      </c>
      <c r="AO1608" t="s">
        <v>759</v>
      </c>
    </row>
    <row r="1609" spans="1:41" x14ac:dyDescent="0.3">
      <c r="A1609" t="s">
        <v>61</v>
      </c>
      <c r="B1609" t="s">
        <v>1271</v>
      </c>
      <c r="C1609" t="s">
        <v>1272</v>
      </c>
      <c r="D1609" t="s">
        <v>184</v>
      </c>
      <c r="E1609" s="1">
        <v>46081</v>
      </c>
      <c r="F1609" t="s">
        <v>1374</v>
      </c>
      <c r="G1609" t="s">
        <v>128</v>
      </c>
      <c r="H1609" s="2">
        <v>0.29166666666666669</v>
      </c>
      <c r="I1609" s="2">
        <v>0.8125</v>
      </c>
      <c r="J1609" t="s">
        <v>486</v>
      </c>
      <c r="L1609" t="s">
        <v>487</v>
      </c>
      <c r="M1609" t="s">
        <v>392</v>
      </c>
      <c r="N1609" t="s">
        <v>1280</v>
      </c>
      <c r="O1609">
        <v>5952420</v>
      </c>
      <c r="Q1609" t="s">
        <v>1045</v>
      </c>
      <c r="R1609" t="s">
        <v>67</v>
      </c>
      <c r="S1609" t="s">
        <v>52</v>
      </c>
      <c r="T1609" t="s">
        <v>1437</v>
      </c>
      <c r="U1609">
        <v>892148</v>
      </c>
      <c r="V1609" s="3">
        <v>46077.464583333334</v>
      </c>
      <c r="W1609" t="s">
        <v>1781</v>
      </c>
      <c r="X1609" t="s">
        <v>1782</v>
      </c>
      <c r="Y1609" t="str">
        <f>"0435135581"</f>
        <v>0435135581</v>
      </c>
      <c r="Z1609" t="s">
        <v>290</v>
      </c>
      <c r="AB1609" t="s">
        <v>1278</v>
      </c>
      <c r="AD1609" t="s">
        <v>61</v>
      </c>
      <c r="AE1609" t="s">
        <v>1279</v>
      </c>
      <c r="AF1609">
        <v>2145</v>
      </c>
      <c r="AG1609" t="s">
        <v>3633</v>
      </c>
      <c r="AI1609" t="s">
        <v>59</v>
      </c>
      <c r="AL1609" t="s">
        <v>4104</v>
      </c>
      <c r="AN1609" s="3">
        <v>46082.482638888891</v>
      </c>
      <c r="AO1609" t="s">
        <v>759</v>
      </c>
    </row>
    <row r="1610" spans="1:41" x14ac:dyDescent="0.3">
      <c r="A1610" t="s">
        <v>61</v>
      </c>
      <c r="B1610" t="s">
        <v>1079</v>
      </c>
      <c r="C1610" t="s">
        <v>43</v>
      </c>
      <c r="D1610" t="s">
        <v>63</v>
      </c>
      <c r="E1610" s="1">
        <v>46081</v>
      </c>
      <c r="F1610" t="s">
        <v>1374</v>
      </c>
      <c r="G1610" t="s">
        <v>45</v>
      </c>
      <c r="H1610" s="2">
        <v>0.29166666666666669</v>
      </c>
      <c r="I1610" s="2">
        <v>0.64583333333333337</v>
      </c>
      <c r="J1610" t="s">
        <v>185</v>
      </c>
      <c r="L1610" t="s">
        <v>186</v>
      </c>
      <c r="M1610" t="s">
        <v>239</v>
      </c>
      <c r="N1610" t="s">
        <v>240</v>
      </c>
      <c r="O1610">
        <v>22527</v>
      </c>
      <c r="Q1610" t="s">
        <v>4067</v>
      </c>
      <c r="R1610" t="s">
        <v>500</v>
      </c>
      <c r="S1610" t="s">
        <v>52</v>
      </c>
      <c r="U1610">
        <v>892146</v>
      </c>
      <c r="V1610" s="3">
        <v>46078.750694444447</v>
      </c>
      <c r="W1610" t="s">
        <v>241</v>
      </c>
      <c r="X1610" t="s">
        <v>242</v>
      </c>
      <c r="Y1610" t="str">
        <f>"0426409124"</f>
        <v>0426409124</v>
      </c>
      <c r="Z1610" t="s">
        <v>84</v>
      </c>
      <c r="AB1610" t="s">
        <v>1085</v>
      </c>
      <c r="AD1610" t="s">
        <v>61</v>
      </c>
      <c r="AE1610" t="s">
        <v>1086</v>
      </c>
      <c r="AF1610">
        <v>2031</v>
      </c>
      <c r="AG1610" t="s">
        <v>4067</v>
      </c>
      <c r="AI1610" t="s">
        <v>59</v>
      </c>
      <c r="AL1610" t="s">
        <v>3796</v>
      </c>
      <c r="AN1610" s="3">
        <v>46081.647916666669</v>
      </c>
      <c r="AO1610" t="s">
        <v>241</v>
      </c>
    </row>
    <row r="1611" spans="1:41" x14ac:dyDescent="0.3">
      <c r="A1611" t="s">
        <v>75</v>
      </c>
      <c r="B1611" t="s">
        <v>3690</v>
      </c>
      <c r="C1611" t="s">
        <v>43</v>
      </c>
      <c r="D1611" t="s">
        <v>3691</v>
      </c>
      <c r="E1611" s="1">
        <v>46081</v>
      </c>
      <c r="F1611" t="s">
        <v>1374</v>
      </c>
      <c r="G1611" t="s">
        <v>45</v>
      </c>
      <c r="H1611" s="2">
        <v>0.35416666666666669</v>
      </c>
      <c r="I1611" s="2">
        <v>0.6875</v>
      </c>
      <c r="J1611" t="s">
        <v>46</v>
      </c>
      <c r="K1611" t="s">
        <v>77</v>
      </c>
      <c r="L1611" t="s">
        <v>47</v>
      </c>
      <c r="M1611" t="s">
        <v>1206</v>
      </c>
      <c r="N1611" t="s">
        <v>2339</v>
      </c>
      <c r="O1611">
        <v>5950965</v>
      </c>
      <c r="Q1611" t="s">
        <v>3692</v>
      </c>
      <c r="R1611" t="s">
        <v>556</v>
      </c>
      <c r="S1611" t="s">
        <v>52</v>
      </c>
      <c r="U1611">
        <v>892149</v>
      </c>
      <c r="V1611" s="3">
        <v>46057.762499999997</v>
      </c>
      <c r="W1611" t="s">
        <v>2340</v>
      </c>
      <c r="X1611" t="s">
        <v>2341</v>
      </c>
      <c r="Y1611" t="str">
        <f>"0417284000"</f>
        <v>0417284000</v>
      </c>
      <c r="Z1611" t="s">
        <v>345</v>
      </c>
      <c r="AB1611" t="s">
        <v>3693</v>
      </c>
      <c r="AD1611" t="s">
        <v>75</v>
      </c>
      <c r="AE1611" t="s">
        <v>3694</v>
      </c>
      <c r="AF1611">
        <v>6056</v>
      </c>
      <c r="AG1611" t="s">
        <v>3695</v>
      </c>
      <c r="AI1611" t="s">
        <v>59</v>
      </c>
      <c r="AL1611" t="s">
        <v>4105</v>
      </c>
      <c r="AN1611" s="3">
        <v>46081.824305555558</v>
      </c>
      <c r="AO1611" t="s">
        <v>2340</v>
      </c>
    </row>
    <row r="1612" spans="1:41" x14ac:dyDescent="0.3">
      <c r="A1612" t="s">
        <v>61</v>
      </c>
      <c r="B1612" t="s">
        <v>1079</v>
      </c>
      <c r="C1612" t="s">
        <v>2037</v>
      </c>
      <c r="D1612" t="s">
        <v>63</v>
      </c>
      <c r="E1612" s="1">
        <v>46081</v>
      </c>
      <c r="F1612" t="s">
        <v>1374</v>
      </c>
      <c r="G1612" t="s">
        <v>128</v>
      </c>
      <c r="H1612" s="2">
        <v>0.45833333333333331</v>
      </c>
      <c r="I1612" s="2">
        <v>0.8125</v>
      </c>
      <c r="J1612" t="s">
        <v>46</v>
      </c>
      <c r="L1612" t="s">
        <v>47</v>
      </c>
      <c r="M1612" t="s">
        <v>4106</v>
      </c>
      <c r="N1612" t="s">
        <v>4107</v>
      </c>
      <c r="O1612">
        <v>21085</v>
      </c>
      <c r="Q1612" t="s">
        <v>4108</v>
      </c>
      <c r="R1612" t="s">
        <v>132</v>
      </c>
      <c r="S1612" t="s">
        <v>52</v>
      </c>
      <c r="T1612" t="s">
        <v>1437</v>
      </c>
      <c r="U1612">
        <v>892150</v>
      </c>
      <c r="V1612" s="3">
        <v>46079.505555555559</v>
      </c>
      <c r="W1612" t="s">
        <v>4109</v>
      </c>
      <c r="X1612" t="s">
        <v>4110</v>
      </c>
      <c r="Y1612" t="str">
        <f>"0401833113"</f>
        <v>0401833113</v>
      </c>
      <c r="Z1612" t="s">
        <v>375</v>
      </c>
      <c r="AA1612" s="1">
        <v>46081</v>
      </c>
      <c r="AB1612" t="s">
        <v>1085</v>
      </c>
      <c r="AD1612" t="s">
        <v>61</v>
      </c>
      <c r="AE1612" t="s">
        <v>1086</v>
      </c>
      <c r="AF1612">
        <v>2031</v>
      </c>
      <c r="AG1612" t="s">
        <v>1087</v>
      </c>
      <c r="AI1612" t="s">
        <v>59</v>
      </c>
      <c r="AL1612" t="s">
        <v>4111</v>
      </c>
      <c r="AN1612" s="3">
        <v>46082.484027777777</v>
      </c>
      <c r="AO1612" t="s">
        <v>759</v>
      </c>
    </row>
    <row r="1613" spans="1:41" x14ac:dyDescent="0.3">
      <c r="A1613" t="s">
        <v>306</v>
      </c>
      <c r="B1613" t="s">
        <v>386</v>
      </c>
      <c r="C1613" t="s">
        <v>387</v>
      </c>
      <c r="D1613" t="s">
        <v>388</v>
      </c>
      <c r="E1613" s="1">
        <v>46081</v>
      </c>
      <c r="F1613" t="s">
        <v>1374</v>
      </c>
      <c r="G1613" t="s">
        <v>128</v>
      </c>
      <c r="H1613" s="2">
        <v>0.58333333333333337</v>
      </c>
      <c r="I1613" s="2">
        <v>0.91666666666666663</v>
      </c>
      <c r="J1613" t="s">
        <v>389</v>
      </c>
      <c r="L1613" t="s">
        <v>298</v>
      </c>
      <c r="M1613" t="s">
        <v>195</v>
      </c>
      <c r="N1613" t="s">
        <v>390</v>
      </c>
      <c r="O1613">
        <v>5951661</v>
      </c>
      <c r="P1613" t="s">
        <v>249</v>
      </c>
      <c r="Q1613" t="s">
        <v>391</v>
      </c>
      <c r="R1613" t="s">
        <v>392</v>
      </c>
      <c r="S1613" t="s">
        <v>52</v>
      </c>
      <c r="T1613" t="s">
        <v>252</v>
      </c>
      <c r="U1613">
        <v>892423</v>
      </c>
      <c r="V1613" s="3">
        <v>46084.618750000001</v>
      </c>
      <c r="W1613" t="s">
        <v>393</v>
      </c>
      <c r="X1613" t="s">
        <v>394</v>
      </c>
      <c r="Y1613" t="str">
        <f>"0427371732"</f>
        <v>0427371732</v>
      </c>
      <c r="Z1613" t="s">
        <v>545</v>
      </c>
      <c r="AA1613" s="1">
        <v>46141</v>
      </c>
      <c r="AB1613" t="s">
        <v>396</v>
      </c>
      <c r="AD1613" t="s">
        <v>397</v>
      </c>
      <c r="AE1613" t="s">
        <v>398</v>
      </c>
      <c r="AF1613">
        <v>7919</v>
      </c>
      <c r="AG1613" t="s">
        <v>399</v>
      </c>
      <c r="AI1613" t="s">
        <v>59</v>
      </c>
      <c r="AJ1613" t="str">
        <f>"0090000067"</f>
        <v>0090000067</v>
      </c>
      <c r="AN1613" s="3">
        <v>46084.618750000001</v>
      </c>
      <c r="AO1613" t="s">
        <v>392</v>
      </c>
    </row>
    <row r="1614" spans="1:41" x14ac:dyDescent="0.3">
      <c r="A1614" t="s">
        <v>41</v>
      </c>
      <c r="B1614" t="s">
        <v>1284</v>
      </c>
      <c r="C1614" t="s">
        <v>296</v>
      </c>
      <c r="D1614" t="s">
        <v>1286</v>
      </c>
      <c r="E1614" s="1">
        <v>46081</v>
      </c>
      <c r="F1614" t="s">
        <v>1374</v>
      </c>
      <c r="G1614" t="s">
        <v>128</v>
      </c>
      <c r="H1614" s="2">
        <v>0.58333333333333337</v>
      </c>
      <c r="I1614" s="2">
        <v>0.9375</v>
      </c>
      <c r="J1614" t="s">
        <v>296</v>
      </c>
      <c r="L1614" t="s">
        <v>4112</v>
      </c>
      <c r="M1614" t="s">
        <v>4113</v>
      </c>
      <c r="N1614" t="s">
        <v>4114</v>
      </c>
      <c r="O1614">
        <v>5952299</v>
      </c>
      <c r="Q1614" t="s">
        <v>2098</v>
      </c>
      <c r="R1614" t="s">
        <v>51</v>
      </c>
      <c r="S1614" t="s">
        <v>52</v>
      </c>
      <c r="U1614">
        <v>892153</v>
      </c>
      <c r="V1614" s="3">
        <v>46070.45208333333</v>
      </c>
      <c r="W1614" t="s">
        <v>4115</v>
      </c>
      <c r="X1614" t="s">
        <v>4116</v>
      </c>
      <c r="Y1614" t="str">
        <f>"0404048206"</f>
        <v>0404048206</v>
      </c>
      <c r="Z1614" t="s">
        <v>2903</v>
      </c>
      <c r="AB1614" t="s">
        <v>1288</v>
      </c>
      <c r="AD1614" t="s">
        <v>41</v>
      </c>
      <c r="AE1614" t="s">
        <v>150</v>
      </c>
      <c r="AF1614">
        <v>4000</v>
      </c>
      <c r="AG1614" t="s">
        <v>2098</v>
      </c>
      <c r="AI1614" t="s">
        <v>59</v>
      </c>
      <c r="AL1614" t="s">
        <v>1407</v>
      </c>
      <c r="AN1614" s="3">
        <v>46081.988888888889</v>
      </c>
      <c r="AO1614" t="s">
        <v>4115</v>
      </c>
    </row>
    <row r="1615" spans="1:41" x14ac:dyDescent="0.3">
      <c r="A1615" t="s">
        <v>41</v>
      </c>
      <c r="B1615" t="s">
        <v>589</v>
      </c>
      <c r="C1615" t="s">
        <v>590</v>
      </c>
      <c r="D1615" t="s">
        <v>246</v>
      </c>
      <c r="E1615" s="1">
        <v>46081</v>
      </c>
      <c r="F1615" t="s">
        <v>1374</v>
      </c>
      <c r="G1615" t="s">
        <v>128</v>
      </c>
      <c r="H1615" s="2">
        <v>0.60416666666666663</v>
      </c>
      <c r="I1615" s="2">
        <v>0.95833333333333337</v>
      </c>
      <c r="J1615" t="s">
        <v>591</v>
      </c>
      <c r="L1615" t="s">
        <v>592</v>
      </c>
      <c r="M1615" t="s">
        <v>593</v>
      </c>
      <c r="N1615" t="s">
        <v>594</v>
      </c>
      <c r="O1615">
        <v>5952427</v>
      </c>
      <c r="P1615" t="s">
        <v>249</v>
      </c>
      <c r="Q1615" t="s">
        <v>596</v>
      </c>
      <c r="R1615" t="s">
        <v>392</v>
      </c>
      <c r="S1615" t="s">
        <v>52</v>
      </c>
      <c r="T1615" t="s">
        <v>252</v>
      </c>
      <c r="U1615">
        <v>892270</v>
      </c>
      <c r="V1615" s="3">
        <v>46083.681250000001</v>
      </c>
      <c r="W1615" t="s">
        <v>597</v>
      </c>
      <c r="X1615" t="s">
        <v>598</v>
      </c>
      <c r="Y1615" t="str">
        <f>"0432677728"</f>
        <v>0432677728</v>
      </c>
      <c r="Z1615" t="s">
        <v>290</v>
      </c>
      <c r="AA1615" s="1">
        <v>46082</v>
      </c>
      <c r="AB1615" t="s">
        <v>599</v>
      </c>
      <c r="AC1615" t="s">
        <v>600</v>
      </c>
      <c r="AD1615" t="s">
        <v>41</v>
      </c>
      <c r="AE1615" t="s">
        <v>600</v>
      </c>
      <c r="AF1615">
        <v>4610</v>
      </c>
      <c r="AG1615" t="s">
        <v>601</v>
      </c>
      <c r="AI1615" t="s">
        <v>59</v>
      </c>
      <c r="AJ1615" t="str">
        <f>"0050075752"</f>
        <v>0050075752</v>
      </c>
      <c r="AN1615" s="3">
        <v>46083.681250000001</v>
      </c>
      <c r="AO1615" t="s">
        <v>392</v>
      </c>
    </row>
    <row r="1616" spans="1:41" x14ac:dyDescent="0.3">
      <c r="A1616" t="s">
        <v>61</v>
      </c>
      <c r="B1616" t="s">
        <v>753</v>
      </c>
      <c r="C1616" t="s">
        <v>2343</v>
      </c>
      <c r="D1616" t="s">
        <v>754</v>
      </c>
      <c r="E1616" s="1">
        <v>46081</v>
      </c>
      <c r="F1616" t="s">
        <v>1374</v>
      </c>
      <c r="G1616" t="s">
        <v>128</v>
      </c>
      <c r="H1616" s="2">
        <v>0.60416666666666663</v>
      </c>
      <c r="I1616" s="2">
        <v>0.95833333333333337</v>
      </c>
      <c r="J1616" t="s">
        <v>590</v>
      </c>
      <c r="L1616" t="s">
        <v>2436</v>
      </c>
      <c r="M1616" t="s">
        <v>2075</v>
      </c>
      <c r="N1616" t="s">
        <v>2883</v>
      </c>
      <c r="O1616">
        <v>22004</v>
      </c>
      <c r="Q1616" t="s">
        <v>2438</v>
      </c>
      <c r="R1616" t="s">
        <v>132</v>
      </c>
      <c r="S1616" t="s">
        <v>52</v>
      </c>
      <c r="U1616">
        <v>892152</v>
      </c>
      <c r="V1616" s="3">
        <v>46069.345833333333</v>
      </c>
      <c r="W1616" t="s">
        <v>2885</v>
      </c>
      <c r="X1616" t="s">
        <v>2886</v>
      </c>
      <c r="Y1616" t="str">
        <f>"0450422953"</f>
        <v>0450422953</v>
      </c>
      <c r="Z1616" t="s">
        <v>1155</v>
      </c>
      <c r="AB1616" t="s">
        <v>764</v>
      </c>
      <c r="AD1616" t="s">
        <v>61</v>
      </c>
      <c r="AE1616" t="s">
        <v>765</v>
      </c>
      <c r="AF1616">
        <v>2220</v>
      </c>
      <c r="AG1616" t="s">
        <v>758</v>
      </c>
      <c r="AI1616" t="s">
        <v>59</v>
      </c>
      <c r="AL1616" t="s">
        <v>3796</v>
      </c>
      <c r="AN1616" s="3">
        <v>46081.974999999999</v>
      </c>
      <c r="AO1616" t="s">
        <v>2885</v>
      </c>
    </row>
    <row r="1617" spans="1:41" x14ac:dyDescent="0.3">
      <c r="A1617" t="s">
        <v>306</v>
      </c>
      <c r="B1617" t="s">
        <v>2789</v>
      </c>
      <c r="C1617" t="s">
        <v>4117</v>
      </c>
      <c r="D1617" t="s">
        <v>90</v>
      </c>
      <c r="E1617" s="1">
        <v>46081</v>
      </c>
      <c r="F1617" t="s">
        <v>1374</v>
      </c>
      <c r="G1617" t="s">
        <v>128</v>
      </c>
      <c r="H1617" s="2">
        <v>0.60416666666666663</v>
      </c>
      <c r="I1617" s="2">
        <v>0.91666666666666663</v>
      </c>
      <c r="J1617" t="s">
        <v>296</v>
      </c>
      <c r="L1617" t="s">
        <v>1260</v>
      </c>
      <c r="M1617" t="s">
        <v>239</v>
      </c>
      <c r="N1617" t="s">
        <v>1261</v>
      </c>
      <c r="O1617">
        <v>5952100</v>
      </c>
      <c r="Q1617" t="s">
        <v>1245</v>
      </c>
      <c r="R1617" t="s">
        <v>1248</v>
      </c>
      <c r="S1617" t="s">
        <v>52</v>
      </c>
      <c r="U1617">
        <v>892151</v>
      </c>
      <c r="V1617" s="3">
        <v>46081.427777777775</v>
      </c>
      <c r="W1617" t="s">
        <v>1262</v>
      </c>
      <c r="X1617" t="s">
        <v>1263</v>
      </c>
      <c r="Y1617" t="str">
        <f>"0420517034"</f>
        <v>0420517034</v>
      </c>
      <c r="Z1617" t="s">
        <v>70</v>
      </c>
      <c r="AA1617" s="1">
        <v>46081</v>
      </c>
      <c r="AB1617" t="s">
        <v>2790</v>
      </c>
      <c r="AD1617" t="s">
        <v>306</v>
      </c>
      <c r="AE1617" t="s">
        <v>1520</v>
      </c>
      <c r="AF1617">
        <v>3002</v>
      </c>
      <c r="AG1617" t="s">
        <v>1245</v>
      </c>
      <c r="AI1617" t="s">
        <v>59</v>
      </c>
      <c r="AL1617" t="s">
        <v>87</v>
      </c>
      <c r="AN1617" s="3">
        <v>46081.919444444444</v>
      </c>
      <c r="AO1617" t="s">
        <v>1262</v>
      </c>
    </row>
    <row r="1618" spans="1:41" x14ac:dyDescent="0.3">
      <c r="A1618" t="s">
        <v>61</v>
      </c>
      <c r="B1618" t="s">
        <v>1271</v>
      </c>
      <c r="C1618" t="s">
        <v>1272</v>
      </c>
      <c r="D1618" t="s">
        <v>184</v>
      </c>
      <c r="E1618" s="1">
        <v>46081</v>
      </c>
      <c r="F1618" t="s">
        <v>1374</v>
      </c>
      <c r="G1618" t="s">
        <v>485</v>
      </c>
      <c r="H1618" s="2">
        <v>0.79166666666666663</v>
      </c>
      <c r="I1618" s="2">
        <v>0.3125</v>
      </c>
      <c r="J1618" t="s">
        <v>486</v>
      </c>
      <c r="L1618" t="s">
        <v>487</v>
      </c>
      <c r="M1618" t="s">
        <v>596</v>
      </c>
      <c r="N1618" t="s">
        <v>1280</v>
      </c>
      <c r="O1618">
        <v>5952187</v>
      </c>
      <c r="Q1618" t="s">
        <v>1190</v>
      </c>
      <c r="R1618" t="s">
        <v>67</v>
      </c>
      <c r="S1618" t="s">
        <v>52</v>
      </c>
      <c r="U1618">
        <v>892157</v>
      </c>
      <c r="V1618" s="3">
        <v>46069.498611111114</v>
      </c>
      <c r="W1618" t="s">
        <v>1281</v>
      </c>
      <c r="X1618" t="s">
        <v>1282</v>
      </c>
      <c r="Y1618" t="str">
        <f>"0417203844"</f>
        <v>0417203844</v>
      </c>
      <c r="Z1618" t="s">
        <v>654</v>
      </c>
      <c r="AB1618" t="s">
        <v>1278</v>
      </c>
      <c r="AD1618" t="s">
        <v>61</v>
      </c>
      <c r="AE1618" t="s">
        <v>1279</v>
      </c>
      <c r="AF1618">
        <v>2145</v>
      </c>
      <c r="AG1618" t="s">
        <v>1045</v>
      </c>
      <c r="AI1618" t="s">
        <v>59</v>
      </c>
      <c r="AL1618" t="s">
        <v>3796</v>
      </c>
      <c r="AN1618" s="3">
        <v>46082.290277777778</v>
      </c>
      <c r="AO1618" t="s">
        <v>1281</v>
      </c>
    </row>
    <row r="1619" spans="1:41" x14ac:dyDescent="0.3">
      <c r="A1619" t="s">
        <v>306</v>
      </c>
      <c r="B1619" t="s">
        <v>1334</v>
      </c>
      <c r="C1619" t="s">
        <v>1523</v>
      </c>
      <c r="D1619" t="s">
        <v>1336</v>
      </c>
      <c r="E1619" s="1">
        <v>46081</v>
      </c>
      <c r="F1619" t="s">
        <v>1374</v>
      </c>
      <c r="G1619" t="s">
        <v>485</v>
      </c>
      <c r="H1619" s="2">
        <v>0.89583333333333337</v>
      </c>
      <c r="I1619" s="2">
        <v>0.3125</v>
      </c>
      <c r="J1619" t="s">
        <v>296</v>
      </c>
      <c r="L1619" t="s">
        <v>310</v>
      </c>
      <c r="M1619" t="s">
        <v>311</v>
      </c>
      <c r="N1619" t="s">
        <v>312</v>
      </c>
      <c r="O1619">
        <v>5952174</v>
      </c>
      <c r="Q1619" t="s">
        <v>413</v>
      </c>
      <c r="R1619" t="s">
        <v>1248</v>
      </c>
      <c r="S1619" t="s">
        <v>52</v>
      </c>
      <c r="U1619">
        <v>892158</v>
      </c>
      <c r="V1619" s="3">
        <v>46081.380555555559</v>
      </c>
      <c r="W1619" t="s">
        <v>315</v>
      </c>
      <c r="X1619" t="s">
        <v>316</v>
      </c>
      <c r="Y1619" t="str">
        <f>"0452621529"</f>
        <v>0452621529</v>
      </c>
      <c r="Z1619" t="s">
        <v>70</v>
      </c>
      <c r="AA1619" s="1">
        <v>46081</v>
      </c>
      <c r="AB1619" t="s">
        <v>1342</v>
      </c>
      <c r="AD1619" t="s">
        <v>306</v>
      </c>
      <c r="AE1619" t="s">
        <v>1343</v>
      </c>
      <c r="AF1619">
        <v>3144</v>
      </c>
      <c r="AG1619" t="s">
        <v>413</v>
      </c>
      <c r="AI1619" t="s">
        <v>59</v>
      </c>
      <c r="AL1619" t="s">
        <v>87</v>
      </c>
      <c r="AN1619" s="3">
        <v>46082.318055555559</v>
      </c>
      <c r="AO1619" t="s">
        <v>315</v>
      </c>
    </row>
    <row r="1620" spans="1:41" x14ac:dyDescent="0.3">
      <c r="A1620" t="s">
        <v>168</v>
      </c>
      <c r="B1620" t="s">
        <v>1178</v>
      </c>
      <c r="C1620" t="s">
        <v>484</v>
      </c>
      <c r="D1620" t="s">
        <v>127</v>
      </c>
      <c r="E1620" s="1">
        <v>46081</v>
      </c>
      <c r="F1620" t="s">
        <v>1374</v>
      </c>
      <c r="G1620" t="s">
        <v>485</v>
      </c>
      <c r="H1620" s="2">
        <v>0.92708333333333337</v>
      </c>
      <c r="I1620" s="2">
        <v>0.3125</v>
      </c>
      <c r="J1620" t="s">
        <v>486</v>
      </c>
      <c r="L1620" t="s">
        <v>487</v>
      </c>
      <c r="M1620" t="s">
        <v>4118</v>
      </c>
      <c r="N1620" t="s">
        <v>4119</v>
      </c>
      <c r="O1620">
        <v>5950802</v>
      </c>
      <c r="Q1620" t="s">
        <v>2389</v>
      </c>
      <c r="R1620" t="s">
        <v>1302</v>
      </c>
      <c r="S1620" t="s">
        <v>52</v>
      </c>
      <c r="U1620">
        <v>892155</v>
      </c>
      <c r="V1620" s="3">
        <v>46081.683333333334</v>
      </c>
      <c r="W1620" t="s">
        <v>4120</v>
      </c>
      <c r="X1620" t="s">
        <v>4121</v>
      </c>
      <c r="Y1620" t="str">
        <f>"0421575697"</f>
        <v>0421575697</v>
      </c>
      <c r="Z1620" t="s">
        <v>70</v>
      </c>
      <c r="AA1620" s="1">
        <v>46081</v>
      </c>
      <c r="AB1620" t="s">
        <v>1184</v>
      </c>
      <c r="AD1620" t="s">
        <v>168</v>
      </c>
      <c r="AE1620" t="s">
        <v>1185</v>
      </c>
      <c r="AF1620">
        <v>5066</v>
      </c>
      <c r="AG1620" t="s">
        <v>3572</v>
      </c>
      <c r="AI1620" t="s">
        <v>59</v>
      </c>
      <c r="AL1620" t="s">
        <v>3901</v>
      </c>
      <c r="AN1620" s="3">
        <v>46082.209722222222</v>
      </c>
      <c r="AO1620" t="s">
        <v>4120</v>
      </c>
    </row>
    <row r="1621" spans="1:41" x14ac:dyDescent="0.3">
      <c r="A1621" t="s">
        <v>41</v>
      </c>
      <c r="B1621" t="s">
        <v>426</v>
      </c>
      <c r="C1621" t="s">
        <v>296</v>
      </c>
      <c r="D1621" t="s">
        <v>246</v>
      </c>
      <c r="E1621" s="1">
        <v>46081</v>
      </c>
      <c r="F1621" t="s">
        <v>1374</v>
      </c>
      <c r="G1621" t="s">
        <v>485</v>
      </c>
      <c r="H1621" s="2">
        <v>0.94791666666666663</v>
      </c>
      <c r="I1621" s="2">
        <v>0.30208333333333331</v>
      </c>
      <c r="J1621" t="s">
        <v>464</v>
      </c>
      <c r="L1621" t="s">
        <v>540</v>
      </c>
      <c r="M1621" t="s">
        <v>3599</v>
      </c>
      <c r="N1621" t="s">
        <v>3600</v>
      </c>
      <c r="O1621">
        <v>5952151</v>
      </c>
      <c r="Q1621" t="s">
        <v>4122</v>
      </c>
      <c r="R1621" t="s">
        <v>556</v>
      </c>
      <c r="S1621" t="s">
        <v>52</v>
      </c>
      <c r="U1621">
        <v>892154</v>
      </c>
      <c r="V1621" s="3">
        <v>46081.925694444442</v>
      </c>
      <c r="W1621" t="s">
        <v>3601</v>
      </c>
      <c r="X1621" t="s">
        <v>3602</v>
      </c>
      <c r="Y1621" t="str">
        <f>"0499779020"</f>
        <v>0499779020</v>
      </c>
      <c r="Z1621" t="s">
        <v>70</v>
      </c>
      <c r="AA1621" s="1">
        <v>46081</v>
      </c>
      <c r="AB1621" t="s">
        <v>434</v>
      </c>
      <c r="AD1621" t="s">
        <v>41</v>
      </c>
      <c r="AE1621" t="s">
        <v>435</v>
      </c>
      <c r="AF1621">
        <v>4163</v>
      </c>
      <c r="AG1621" t="s">
        <v>3452</v>
      </c>
      <c r="AI1621" t="s">
        <v>59</v>
      </c>
      <c r="AL1621" t="s">
        <v>4123</v>
      </c>
      <c r="AN1621" s="3">
        <v>46082.114583333336</v>
      </c>
      <c r="AO1621" t="s">
        <v>3601</v>
      </c>
    </row>
    <row r="1622" spans="1:41" x14ac:dyDescent="0.3">
      <c r="A1622" t="s">
        <v>168</v>
      </c>
      <c r="B1622" t="s">
        <v>607</v>
      </c>
      <c r="C1622" t="s">
        <v>267</v>
      </c>
      <c r="D1622" t="s">
        <v>268</v>
      </c>
      <c r="E1622" s="1">
        <v>46051</v>
      </c>
      <c r="F1622" t="s">
        <v>621</v>
      </c>
      <c r="G1622" t="s">
        <v>45</v>
      </c>
      <c r="H1622" s="2">
        <v>0.33333333333333331</v>
      </c>
      <c r="I1622" s="2">
        <v>0.6875</v>
      </c>
      <c r="J1622" t="s">
        <v>269</v>
      </c>
      <c r="K1622" t="s">
        <v>608</v>
      </c>
      <c r="L1622" t="s">
        <v>609</v>
      </c>
      <c r="M1622" t="s">
        <v>610</v>
      </c>
      <c r="N1622" t="s">
        <v>611</v>
      </c>
      <c r="O1622">
        <v>5952121</v>
      </c>
      <c r="P1622" t="s">
        <v>249</v>
      </c>
      <c r="Q1622" t="s">
        <v>612</v>
      </c>
      <c r="R1622" t="s">
        <v>613</v>
      </c>
      <c r="S1622" t="s">
        <v>52</v>
      </c>
      <c r="T1622" t="s">
        <v>252</v>
      </c>
      <c r="U1622">
        <v>888939</v>
      </c>
      <c r="V1622" s="3">
        <v>46055.4</v>
      </c>
      <c r="W1622" t="s">
        <v>613</v>
      </c>
      <c r="X1622" t="s">
        <v>614</v>
      </c>
      <c r="Y1622" t="str">
        <f>"0412297150"</f>
        <v>0412297150</v>
      </c>
      <c r="Z1622" t="s">
        <v>527</v>
      </c>
      <c r="AA1622" s="1">
        <v>46077</v>
      </c>
      <c r="AB1622" t="s">
        <v>615</v>
      </c>
      <c r="AC1622" t="s">
        <v>616</v>
      </c>
      <c r="AD1622" t="s">
        <v>168</v>
      </c>
      <c r="AE1622" t="s">
        <v>617</v>
      </c>
      <c r="AF1622">
        <v>5290</v>
      </c>
      <c r="AG1622" t="s">
        <v>618</v>
      </c>
      <c r="AI1622" t="s">
        <v>59</v>
      </c>
      <c r="AJ1622" t="str">
        <f>"0020171780"</f>
        <v>0020171780</v>
      </c>
      <c r="AM1622" t="s">
        <v>1696</v>
      </c>
      <c r="AN1622" s="3">
        <v>46055.4</v>
      </c>
      <c r="AO1622" t="s">
        <v>613</v>
      </c>
    </row>
    <row r="1623" spans="1:41" x14ac:dyDescent="0.3">
      <c r="A1623" t="s">
        <v>168</v>
      </c>
      <c r="B1623" t="s">
        <v>689</v>
      </c>
      <c r="C1623" t="s">
        <v>43</v>
      </c>
      <c r="D1623" t="s">
        <v>268</v>
      </c>
      <c r="E1623" s="1">
        <v>46051</v>
      </c>
      <c r="F1623" t="s">
        <v>621</v>
      </c>
      <c r="G1623" t="s">
        <v>45</v>
      </c>
      <c r="H1623" s="2">
        <v>0.35416666666666669</v>
      </c>
      <c r="I1623" s="2">
        <v>0.70833333333333337</v>
      </c>
      <c r="J1623" t="s">
        <v>100</v>
      </c>
      <c r="L1623" t="s">
        <v>100</v>
      </c>
      <c r="M1623" t="s">
        <v>402</v>
      </c>
      <c r="N1623" t="s">
        <v>403</v>
      </c>
      <c r="O1623">
        <v>21398</v>
      </c>
      <c r="P1623" t="s">
        <v>249</v>
      </c>
      <c r="Q1623" t="s">
        <v>2110</v>
      </c>
      <c r="R1623" t="s">
        <v>405</v>
      </c>
      <c r="S1623" t="s">
        <v>52</v>
      </c>
      <c r="T1623" t="s">
        <v>252</v>
      </c>
      <c r="U1623">
        <v>888785</v>
      </c>
      <c r="V1623" s="3">
        <v>46052.71875</v>
      </c>
      <c r="W1623" t="s">
        <v>405</v>
      </c>
      <c r="X1623" t="s">
        <v>406</v>
      </c>
      <c r="Y1623" t="str">
        <f>"0423877972"</f>
        <v>0423877972</v>
      </c>
      <c r="Z1623" t="s">
        <v>366</v>
      </c>
      <c r="AA1623" s="1">
        <v>46075</v>
      </c>
      <c r="AB1623" t="s">
        <v>695</v>
      </c>
      <c r="AD1623" t="s">
        <v>168</v>
      </c>
      <c r="AE1623" t="s">
        <v>696</v>
      </c>
      <c r="AF1623">
        <v>5606</v>
      </c>
      <c r="AG1623" t="s">
        <v>3605</v>
      </c>
      <c r="AI1623" t="s">
        <v>59</v>
      </c>
      <c r="AJ1623" t="str">
        <f>"0020185674"</f>
        <v>0020185674</v>
      </c>
      <c r="AN1623" s="3">
        <v>46052.71875</v>
      </c>
      <c r="AO1623" t="s">
        <v>405</v>
      </c>
    </row>
    <row r="1624" spans="1:41" x14ac:dyDescent="0.3">
      <c r="A1624" t="s">
        <v>41</v>
      </c>
      <c r="B1624" t="s">
        <v>589</v>
      </c>
      <c r="C1624" t="s">
        <v>590</v>
      </c>
      <c r="D1624" t="s">
        <v>246</v>
      </c>
      <c r="E1624" s="1">
        <v>46051</v>
      </c>
      <c r="F1624" t="s">
        <v>621</v>
      </c>
      <c r="G1624" t="s">
        <v>485</v>
      </c>
      <c r="H1624" s="2">
        <v>0.80208333333333337</v>
      </c>
      <c r="I1624" s="2">
        <v>0.30208333333333331</v>
      </c>
      <c r="J1624" t="s">
        <v>591</v>
      </c>
      <c r="L1624" t="s">
        <v>592</v>
      </c>
      <c r="M1624" t="s">
        <v>593</v>
      </c>
      <c r="N1624" t="s">
        <v>594</v>
      </c>
      <c r="O1624">
        <v>5952427</v>
      </c>
      <c r="P1624" t="s">
        <v>249</v>
      </c>
      <c r="Q1624" t="s">
        <v>596</v>
      </c>
      <c r="R1624" t="s">
        <v>392</v>
      </c>
      <c r="S1624" t="s">
        <v>52</v>
      </c>
      <c r="T1624" t="s">
        <v>252</v>
      </c>
      <c r="U1624">
        <v>888932</v>
      </c>
      <c r="V1624" s="3">
        <v>46055.37777777778</v>
      </c>
      <c r="W1624" t="s">
        <v>597</v>
      </c>
      <c r="X1624" t="s">
        <v>598</v>
      </c>
      <c r="Y1624" t="str">
        <f>"0432677728"</f>
        <v>0432677728</v>
      </c>
      <c r="Z1624" t="s">
        <v>2417</v>
      </c>
      <c r="AA1624" s="1">
        <v>46054</v>
      </c>
      <c r="AB1624" t="s">
        <v>599</v>
      </c>
      <c r="AC1624" t="s">
        <v>600</v>
      </c>
      <c r="AD1624" t="s">
        <v>41</v>
      </c>
      <c r="AE1624" t="s">
        <v>600</v>
      </c>
      <c r="AF1624">
        <v>4610</v>
      </c>
      <c r="AG1624" t="s">
        <v>601</v>
      </c>
      <c r="AI1624" t="s">
        <v>59</v>
      </c>
      <c r="AJ1624" t="str">
        <f>"0050075752"</f>
        <v>0050075752</v>
      </c>
      <c r="AN1624" s="3">
        <v>46055.37777777778</v>
      </c>
      <c r="AO1624" t="s">
        <v>392</v>
      </c>
    </row>
    <row r="1625" spans="1:41" x14ac:dyDescent="0.3">
      <c r="A1625" t="s">
        <v>61</v>
      </c>
      <c r="B1625" t="s">
        <v>578</v>
      </c>
      <c r="D1625" t="s">
        <v>579</v>
      </c>
      <c r="E1625" s="1">
        <v>46051</v>
      </c>
      <c r="F1625" t="s">
        <v>621</v>
      </c>
      <c r="G1625" t="s">
        <v>485</v>
      </c>
      <c r="H1625" s="2">
        <v>0.875</v>
      </c>
      <c r="I1625" s="2">
        <v>0.3125</v>
      </c>
      <c r="J1625" t="s">
        <v>269</v>
      </c>
      <c r="L1625" t="s">
        <v>172</v>
      </c>
      <c r="M1625" t="s">
        <v>580</v>
      </c>
      <c r="N1625" t="s">
        <v>581</v>
      </c>
      <c r="O1625">
        <v>5951721</v>
      </c>
      <c r="P1625" t="s">
        <v>571</v>
      </c>
      <c r="Q1625" t="s">
        <v>582</v>
      </c>
      <c r="R1625" t="s">
        <v>573</v>
      </c>
      <c r="S1625" t="s">
        <v>52</v>
      </c>
      <c r="T1625" t="s">
        <v>252</v>
      </c>
      <c r="U1625">
        <v>889784</v>
      </c>
      <c r="V1625" s="3">
        <v>46062.513888888891</v>
      </c>
      <c r="W1625" t="s">
        <v>583</v>
      </c>
      <c r="X1625" t="s">
        <v>584</v>
      </c>
      <c r="Y1625" t="str">
        <f>"0456677559"</f>
        <v>0456677559</v>
      </c>
      <c r="Z1625" t="s">
        <v>290</v>
      </c>
      <c r="AA1625" s="1">
        <v>46066</v>
      </c>
      <c r="AB1625" t="s">
        <v>586</v>
      </c>
      <c r="AD1625" t="s">
        <v>61</v>
      </c>
      <c r="AE1625" t="s">
        <v>587</v>
      </c>
      <c r="AF1625">
        <v>2320</v>
      </c>
      <c r="AG1625" t="s">
        <v>588</v>
      </c>
      <c r="AI1625" t="s">
        <v>59</v>
      </c>
      <c r="AJ1625" t="str">
        <f>"0010193654"</f>
        <v>0010193654</v>
      </c>
      <c r="AN1625" s="3">
        <v>46062.513888888891</v>
      </c>
      <c r="AO1625" t="s">
        <v>573</v>
      </c>
    </row>
    <row r="1626" spans="1:41" x14ac:dyDescent="0.3">
      <c r="A1626" t="s">
        <v>168</v>
      </c>
      <c r="B1626" t="s">
        <v>689</v>
      </c>
      <c r="C1626" t="s">
        <v>43</v>
      </c>
      <c r="D1626" t="s">
        <v>268</v>
      </c>
      <c r="E1626" s="1">
        <v>46052</v>
      </c>
      <c r="F1626" t="s">
        <v>2113</v>
      </c>
      <c r="G1626" t="s">
        <v>45</v>
      </c>
      <c r="H1626" s="2">
        <v>0.375</v>
      </c>
      <c r="I1626" s="2">
        <v>0.72916666666666663</v>
      </c>
      <c r="J1626" t="s">
        <v>100</v>
      </c>
      <c r="L1626" t="s">
        <v>100</v>
      </c>
      <c r="M1626" t="s">
        <v>402</v>
      </c>
      <c r="N1626" t="s">
        <v>403</v>
      </c>
      <c r="O1626">
        <v>21398</v>
      </c>
      <c r="P1626" t="s">
        <v>249</v>
      </c>
      <c r="Q1626" t="s">
        <v>2110</v>
      </c>
      <c r="R1626" t="s">
        <v>405</v>
      </c>
      <c r="S1626" t="s">
        <v>52</v>
      </c>
      <c r="T1626" t="s">
        <v>252</v>
      </c>
      <c r="U1626">
        <v>888786</v>
      </c>
      <c r="V1626" s="3">
        <v>46052.71875</v>
      </c>
      <c r="W1626" t="s">
        <v>405</v>
      </c>
      <c r="X1626" t="s">
        <v>406</v>
      </c>
      <c r="Y1626" t="str">
        <f>"0423877972"</f>
        <v>0423877972</v>
      </c>
      <c r="Z1626" t="s">
        <v>1635</v>
      </c>
      <c r="AA1626" s="1">
        <v>46075</v>
      </c>
      <c r="AB1626" t="s">
        <v>695</v>
      </c>
      <c r="AD1626" t="s">
        <v>168</v>
      </c>
      <c r="AE1626" t="s">
        <v>696</v>
      </c>
      <c r="AF1626">
        <v>5606</v>
      </c>
      <c r="AG1626" t="s">
        <v>3605</v>
      </c>
      <c r="AI1626" t="s">
        <v>59</v>
      </c>
      <c r="AJ1626" t="str">
        <f>"0020185674"</f>
        <v>0020185674</v>
      </c>
      <c r="AN1626" s="3">
        <v>46052.71875</v>
      </c>
      <c r="AO1626" t="s">
        <v>405</v>
      </c>
    </row>
    <row r="1627" spans="1:41" x14ac:dyDescent="0.3">
      <c r="A1627" t="s">
        <v>41</v>
      </c>
      <c r="B1627" t="s">
        <v>568</v>
      </c>
      <c r="D1627" t="s">
        <v>246</v>
      </c>
      <c r="E1627" s="1">
        <v>46052</v>
      </c>
      <c r="F1627" t="s">
        <v>2113</v>
      </c>
      <c r="G1627" t="s">
        <v>128</v>
      </c>
      <c r="H1627" s="2">
        <v>0.625</v>
      </c>
      <c r="I1627" s="2">
        <v>0.95833333333333337</v>
      </c>
      <c r="J1627" t="s">
        <v>269</v>
      </c>
      <c r="L1627" t="s">
        <v>172</v>
      </c>
      <c r="M1627" t="s">
        <v>311</v>
      </c>
      <c r="N1627" t="s">
        <v>570</v>
      </c>
      <c r="O1627">
        <v>5951685</v>
      </c>
      <c r="P1627" t="s">
        <v>571</v>
      </c>
      <c r="Q1627" t="s">
        <v>572</v>
      </c>
      <c r="R1627" t="s">
        <v>573</v>
      </c>
      <c r="S1627" t="s">
        <v>52</v>
      </c>
      <c r="T1627" t="s">
        <v>252</v>
      </c>
      <c r="U1627">
        <v>889143</v>
      </c>
      <c r="V1627" s="3">
        <v>46056.381249999999</v>
      </c>
      <c r="W1627" t="s">
        <v>574</v>
      </c>
      <c r="X1627" t="s">
        <v>575</v>
      </c>
      <c r="Y1627" t="str">
        <f>"0407007024"</f>
        <v>0407007024</v>
      </c>
      <c r="Z1627" t="s">
        <v>345</v>
      </c>
      <c r="AA1627" s="1">
        <v>46075</v>
      </c>
      <c r="AB1627" t="s">
        <v>576</v>
      </c>
      <c r="AD1627" t="s">
        <v>41</v>
      </c>
      <c r="AE1627" t="s">
        <v>577</v>
      </c>
      <c r="AF1627">
        <v>4700</v>
      </c>
      <c r="AG1627" t="s">
        <v>572</v>
      </c>
      <c r="AI1627" t="s">
        <v>59</v>
      </c>
      <c r="AJ1627" t="str">
        <f>"0050076113"</f>
        <v>0050076113</v>
      </c>
      <c r="AN1627" s="3">
        <v>46056.381249999999</v>
      </c>
      <c r="AO1627" t="s">
        <v>573</v>
      </c>
    </row>
    <row r="1628" spans="1:41" x14ac:dyDescent="0.3">
      <c r="A1628" t="s">
        <v>41</v>
      </c>
      <c r="B1628" t="s">
        <v>589</v>
      </c>
      <c r="C1628" t="s">
        <v>590</v>
      </c>
      <c r="D1628" t="s">
        <v>246</v>
      </c>
      <c r="E1628" s="1">
        <v>46052</v>
      </c>
      <c r="F1628" t="s">
        <v>2113</v>
      </c>
      <c r="G1628" t="s">
        <v>485</v>
      </c>
      <c r="H1628" s="2">
        <v>0.94791666666666663</v>
      </c>
      <c r="I1628" s="2">
        <v>0.30208333333333331</v>
      </c>
      <c r="J1628" t="s">
        <v>591</v>
      </c>
      <c r="L1628" t="s">
        <v>592</v>
      </c>
      <c r="M1628" t="s">
        <v>593</v>
      </c>
      <c r="N1628" t="s">
        <v>594</v>
      </c>
      <c r="O1628">
        <v>5952427</v>
      </c>
      <c r="P1628" t="s">
        <v>249</v>
      </c>
      <c r="Q1628" t="s">
        <v>596</v>
      </c>
      <c r="R1628" t="s">
        <v>392</v>
      </c>
      <c r="S1628" t="s">
        <v>52</v>
      </c>
      <c r="T1628" t="s">
        <v>252</v>
      </c>
      <c r="U1628">
        <v>888933</v>
      </c>
      <c r="V1628" s="3">
        <v>46055.37777777778</v>
      </c>
      <c r="W1628" t="s">
        <v>597</v>
      </c>
      <c r="X1628" t="s">
        <v>598</v>
      </c>
      <c r="Y1628" t="str">
        <f>"0432677728"</f>
        <v>0432677728</v>
      </c>
      <c r="Z1628" t="s">
        <v>527</v>
      </c>
      <c r="AA1628" s="1">
        <v>46054</v>
      </c>
      <c r="AB1628" t="s">
        <v>599</v>
      </c>
      <c r="AC1628" t="s">
        <v>600</v>
      </c>
      <c r="AD1628" t="s">
        <v>41</v>
      </c>
      <c r="AE1628" t="s">
        <v>600</v>
      </c>
      <c r="AF1628">
        <v>4610</v>
      </c>
      <c r="AG1628" t="s">
        <v>601</v>
      </c>
      <c r="AI1628" t="s">
        <v>59</v>
      </c>
      <c r="AJ1628" t="str">
        <f>"0050075752"</f>
        <v>0050075752</v>
      </c>
      <c r="AN1628" s="3">
        <v>46055.37777777778</v>
      </c>
      <c r="AO1628" t="s">
        <v>392</v>
      </c>
    </row>
    <row r="1629" spans="1:41" x14ac:dyDescent="0.3">
      <c r="A1629" t="s">
        <v>168</v>
      </c>
      <c r="B1629" t="s">
        <v>689</v>
      </c>
      <c r="C1629" t="s">
        <v>43</v>
      </c>
      <c r="D1629" t="s">
        <v>268</v>
      </c>
      <c r="E1629" s="1">
        <v>46053</v>
      </c>
      <c r="F1629" t="s">
        <v>1374</v>
      </c>
      <c r="G1629" t="s">
        <v>45</v>
      </c>
      <c r="H1629" s="2">
        <v>0.25</v>
      </c>
      <c r="I1629" s="2">
        <v>0.25347222222222221</v>
      </c>
      <c r="J1629" t="s">
        <v>100</v>
      </c>
      <c r="L1629" t="s">
        <v>100</v>
      </c>
      <c r="M1629" t="s">
        <v>402</v>
      </c>
      <c r="N1629" t="s">
        <v>403</v>
      </c>
      <c r="O1629">
        <v>21398</v>
      </c>
      <c r="P1629" t="s">
        <v>249</v>
      </c>
      <c r="Q1629" t="s">
        <v>692</v>
      </c>
      <c r="R1629" t="s">
        <v>405</v>
      </c>
      <c r="S1629" t="s">
        <v>52</v>
      </c>
      <c r="T1629" t="s">
        <v>252</v>
      </c>
      <c r="U1629">
        <v>888929</v>
      </c>
      <c r="V1629" s="3">
        <v>46055.361111111109</v>
      </c>
      <c r="W1629" t="s">
        <v>405</v>
      </c>
      <c r="X1629" t="s">
        <v>406</v>
      </c>
      <c r="Y1629" t="str">
        <f>"0423877972"</f>
        <v>0423877972</v>
      </c>
      <c r="Z1629" t="s">
        <v>70</v>
      </c>
      <c r="AA1629" s="1">
        <v>46054</v>
      </c>
      <c r="AB1629" t="s">
        <v>695</v>
      </c>
      <c r="AD1629" t="s">
        <v>168</v>
      </c>
      <c r="AE1629" t="s">
        <v>696</v>
      </c>
      <c r="AF1629">
        <v>5606</v>
      </c>
      <c r="AG1629" t="s">
        <v>866</v>
      </c>
      <c r="AI1629" t="s">
        <v>59</v>
      </c>
      <c r="AJ1629" t="str">
        <f>"0020185674"</f>
        <v>0020185674</v>
      </c>
      <c r="AN1629" s="3">
        <v>46055.361111111109</v>
      </c>
      <c r="AO1629" t="s">
        <v>405</v>
      </c>
    </row>
    <row r="1630" spans="1:41" x14ac:dyDescent="0.3">
      <c r="A1630" t="s">
        <v>41</v>
      </c>
      <c r="B1630" t="s">
        <v>568</v>
      </c>
      <c r="D1630" t="s">
        <v>246</v>
      </c>
      <c r="E1630" s="1">
        <v>46053</v>
      </c>
      <c r="F1630" t="s">
        <v>1374</v>
      </c>
      <c r="G1630" t="s">
        <v>45</v>
      </c>
      <c r="H1630" s="2">
        <v>0.29166666666666669</v>
      </c>
      <c r="I1630" s="2">
        <v>0.64583333333333337</v>
      </c>
      <c r="J1630" t="s">
        <v>269</v>
      </c>
      <c r="L1630" t="s">
        <v>172</v>
      </c>
      <c r="M1630" t="s">
        <v>311</v>
      </c>
      <c r="N1630" t="s">
        <v>570</v>
      </c>
      <c r="O1630">
        <v>5951685</v>
      </c>
      <c r="P1630" t="s">
        <v>571</v>
      </c>
      <c r="Q1630" t="s">
        <v>572</v>
      </c>
      <c r="R1630" t="s">
        <v>573</v>
      </c>
      <c r="S1630" t="s">
        <v>52</v>
      </c>
      <c r="T1630" t="s">
        <v>252</v>
      </c>
      <c r="U1630">
        <v>889144</v>
      </c>
      <c r="V1630" s="3">
        <v>46056.381249999999</v>
      </c>
      <c r="W1630" t="s">
        <v>574</v>
      </c>
      <c r="X1630" t="s">
        <v>575</v>
      </c>
      <c r="Y1630" t="str">
        <f>"0407007024"</f>
        <v>0407007024</v>
      </c>
      <c r="Z1630" t="s">
        <v>290</v>
      </c>
      <c r="AA1630" s="1">
        <v>46075</v>
      </c>
      <c r="AB1630" t="s">
        <v>576</v>
      </c>
      <c r="AD1630" t="s">
        <v>41</v>
      </c>
      <c r="AE1630" t="s">
        <v>577</v>
      </c>
      <c r="AF1630">
        <v>4700</v>
      </c>
      <c r="AG1630" t="s">
        <v>572</v>
      </c>
      <c r="AI1630" t="s">
        <v>59</v>
      </c>
      <c r="AJ1630" t="str">
        <f>"0050076113"</f>
        <v>0050076113</v>
      </c>
      <c r="AN1630" s="3">
        <v>46056.381249999999</v>
      </c>
      <c r="AO1630" t="s">
        <v>573</v>
      </c>
    </row>
    <row r="1631" spans="1:41" x14ac:dyDescent="0.3">
      <c r="A1631" t="s">
        <v>41</v>
      </c>
      <c r="B1631" t="s">
        <v>568</v>
      </c>
      <c r="C1631" t="s">
        <v>602</v>
      </c>
      <c r="D1631" t="s">
        <v>246</v>
      </c>
      <c r="E1631" s="1">
        <v>46053</v>
      </c>
      <c r="F1631" t="s">
        <v>1374</v>
      </c>
      <c r="G1631" t="s">
        <v>45</v>
      </c>
      <c r="H1631" s="2">
        <v>0.60416666666666663</v>
      </c>
      <c r="I1631" s="2">
        <v>0.95833333333333337</v>
      </c>
      <c r="J1631" t="s">
        <v>269</v>
      </c>
      <c r="L1631" t="s">
        <v>47</v>
      </c>
      <c r="M1631" t="s">
        <v>603</v>
      </c>
      <c r="N1631" t="s">
        <v>604</v>
      </c>
      <c r="O1631">
        <v>80</v>
      </c>
      <c r="P1631" t="s">
        <v>571</v>
      </c>
      <c r="Q1631" t="s">
        <v>572</v>
      </c>
      <c r="R1631" t="s">
        <v>573</v>
      </c>
      <c r="S1631" t="s">
        <v>52</v>
      </c>
      <c r="T1631" t="s">
        <v>252</v>
      </c>
      <c r="U1631">
        <v>889148</v>
      </c>
      <c r="V1631" s="3">
        <v>46056.382638888892</v>
      </c>
      <c r="W1631" t="s">
        <v>605</v>
      </c>
      <c r="X1631" t="s">
        <v>606</v>
      </c>
      <c r="Y1631" t="str">
        <f>"0414330986"</f>
        <v>0414330986</v>
      </c>
      <c r="Z1631" t="s">
        <v>366</v>
      </c>
      <c r="AA1631" s="1">
        <v>46068</v>
      </c>
      <c r="AB1631" t="s">
        <v>576</v>
      </c>
      <c r="AD1631" t="s">
        <v>41</v>
      </c>
      <c r="AE1631" t="s">
        <v>577</v>
      </c>
      <c r="AF1631">
        <v>4700</v>
      </c>
      <c r="AG1631" t="s">
        <v>572</v>
      </c>
      <c r="AI1631" t="s">
        <v>59</v>
      </c>
      <c r="AJ1631" t="str">
        <f>"0050075176"</f>
        <v>0050075176</v>
      </c>
      <c r="AN1631" s="3">
        <v>46056.382638888892</v>
      </c>
      <c r="AO1631" t="s">
        <v>573</v>
      </c>
    </row>
    <row r="1632" spans="1:41" x14ac:dyDescent="0.3">
      <c r="A1632" t="s">
        <v>168</v>
      </c>
      <c r="B1632" t="s">
        <v>607</v>
      </c>
      <c r="C1632" t="s">
        <v>267</v>
      </c>
      <c r="D1632" t="s">
        <v>268</v>
      </c>
      <c r="E1632" s="1">
        <v>46053</v>
      </c>
      <c r="F1632" t="s">
        <v>1374</v>
      </c>
      <c r="G1632" t="s">
        <v>45</v>
      </c>
      <c r="H1632" s="2">
        <v>0.60416666666666663</v>
      </c>
      <c r="I1632" s="2">
        <v>0.95833333333333337</v>
      </c>
      <c r="J1632" t="s">
        <v>269</v>
      </c>
      <c r="K1632" t="s">
        <v>608</v>
      </c>
      <c r="L1632" t="s">
        <v>609</v>
      </c>
      <c r="M1632" t="s">
        <v>610</v>
      </c>
      <c r="N1632" t="s">
        <v>611</v>
      </c>
      <c r="O1632">
        <v>5952121</v>
      </c>
      <c r="P1632" t="s">
        <v>249</v>
      </c>
      <c r="Q1632" t="s">
        <v>612</v>
      </c>
      <c r="R1632" t="s">
        <v>613</v>
      </c>
      <c r="S1632" t="s">
        <v>52</v>
      </c>
      <c r="T1632" t="s">
        <v>252</v>
      </c>
      <c r="U1632">
        <v>888940</v>
      </c>
      <c r="V1632" s="3">
        <v>46055.4</v>
      </c>
      <c r="W1632" t="s">
        <v>613</v>
      </c>
      <c r="X1632" t="s">
        <v>614</v>
      </c>
      <c r="Y1632" t="str">
        <f>"0412297150"</f>
        <v>0412297150</v>
      </c>
      <c r="Z1632" t="s">
        <v>1375</v>
      </c>
      <c r="AA1632" s="1">
        <v>46077</v>
      </c>
      <c r="AB1632" t="s">
        <v>615</v>
      </c>
      <c r="AC1632" t="s">
        <v>616</v>
      </c>
      <c r="AD1632" t="s">
        <v>168</v>
      </c>
      <c r="AE1632" t="s">
        <v>617</v>
      </c>
      <c r="AF1632">
        <v>5290</v>
      </c>
      <c r="AG1632" t="s">
        <v>618</v>
      </c>
      <c r="AI1632" t="s">
        <v>59</v>
      </c>
      <c r="AJ1632" t="str">
        <f>"0020171780"</f>
        <v>0020171780</v>
      </c>
      <c r="AM1632" t="s">
        <v>1696</v>
      </c>
      <c r="AN1632" s="3">
        <v>46055.4</v>
      </c>
      <c r="AO1632" t="s">
        <v>613</v>
      </c>
    </row>
    <row r="1633" spans="1:41" x14ac:dyDescent="0.3">
      <c r="A1633" t="s">
        <v>41</v>
      </c>
      <c r="B1633" t="s">
        <v>589</v>
      </c>
      <c r="C1633" t="s">
        <v>590</v>
      </c>
      <c r="D1633" t="s">
        <v>246</v>
      </c>
      <c r="E1633" s="1">
        <v>46053</v>
      </c>
      <c r="F1633" t="s">
        <v>1374</v>
      </c>
      <c r="G1633" t="s">
        <v>485</v>
      </c>
      <c r="H1633" s="2">
        <v>0.94791666666666663</v>
      </c>
      <c r="I1633" s="2">
        <v>0.30208333333333331</v>
      </c>
      <c r="J1633" t="s">
        <v>591</v>
      </c>
      <c r="L1633" t="s">
        <v>592</v>
      </c>
      <c r="M1633" t="s">
        <v>593</v>
      </c>
      <c r="N1633" t="s">
        <v>594</v>
      </c>
      <c r="O1633">
        <v>5952427</v>
      </c>
      <c r="P1633" t="s">
        <v>249</v>
      </c>
      <c r="Q1633" t="s">
        <v>596</v>
      </c>
      <c r="R1633" t="s">
        <v>392</v>
      </c>
      <c r="S1633" t="s">
        <v>52</v>
      </c>
      <c r="T1633" t="s">
        <v>252</v>
      </c>
      <c r="U1633">
        <v>888934</v>
      </c>
      <c r="V1633" s="3">
        <v>46055.37777777778</v>
      </c>
      <c r="W1633" t="s">
        <v>597</v>
      </c>
      <c r="X1633" t="s">
        <v>598</v>
      </c>
      <c r="Y1633" t="str">
        <f>"0432677728"</f>
        <v>0432677728</v>
      </c>
      <c r="Z1633" t="s">
        <v>1375</v>
      </c>
      <c r="AA1633" s="1">
        <v>46054</v>
      </c>
      <c r="AB1633" t="s">
        <v>599</v>
      </c>
      <c r="AC1633" t="s">
        <v>600</v>
      </c>
      <c r="AD1633" t="s">
        <v>41</v>
      </c>
      <c r="AE1633" t="s">
        <v>600</v>
      </c>
      <c r="AF1633">
        <v>4610</v>
      </c>
      <c r="AG1633" t="s">
        <v>601</v>
      </c>
      <c r="AI1633" t="s">
        <v>59</v>
      </c>
      <c r="AJ1633" t="str">
        <f>"0050075752"</f>
        <v>0050075752</v>
      </c>
      <c r="AN1633" s="3">
        <v>46055.37777777778</v>
      </c>
      <c r="AO1633" t="s">
        <v>392</v>
      </c>
    </row>
    <row r="1634" spans="1:41" x14ac:dyDescent="0.3">
      <c r="A1634" t="s">
        <v>41</v>
      </c>
      <c r="B1634" t="s">
        <v>718</v>
      </c>
      <c r="C1634" t="s">
        <v>43</v>
      </c>
      <c r="D1634" t="s">
        <v>719</v>
      </c>
      <c r="E1634" s="1">
        <v>46059</v>
      </c>
      <c r="F1634" t="s">
        <v>2113</v>
      </c>
      <c r="G1634" t="s">
        <v>45</v>
      </c>
      <c r="H1634" s="2">
        <v>0.33333333333333331</v>
      </c>
      <c r="I1634" s="2">
        <v>0.625</v>
      </c>
      <c r="J1634" t="s">
        <v>46</v>
      </c>
      <c r="L1634" t="s">
        <v>47</v>
      </c>
      <c r="M1634" t="s">
        <v>3702</v>
      </c>
      <c r="N1634" t="s">
        <v>3703</v>
      </c>
      <c r="O1634">
        <v>5951318</v>
      </c>
      <c r="Q1634" t="s">
        <v>722</v>
      </c>
      <c r="R1634" t="s">
        <v>723</v>
      </c>
      <c r="S1634" t="s">
        <v>52</v>
      </c>
      <c r="U1634">
        <v>889602</v>
      </c>
      <c r="V1634" s="3">
        <v>46056.506249999999</v>
      </c>
      <c r="W1634" t="s">
        <v>3705</v>
      </c>
      <c r="X1634" t="s">
        <v>3706</v>
      </c>
      <c r="Y1634" t="str">
        <f>"0491278645"</f>
        <v>0491278645</v>
      </c>
      <c r="Z1634" t="s">
        <v>545</v>
      </c>
      <c r="AA1634" s="1">
        <v>46059</v>
      </c>
      <c r="AB1634" t="s">
        <v>726</v>
      </c>
      <c r="AD1634" t="s">
        <v>41</v>
      </c>
      <c r="AE1634" t="s">
        <v>727</v>
      </c>
      <c r="AF1634">
        <v>4032</v>
      </c>
      <c r="AG1634" t="s">
        <v>894</v>
      </c>
      <c r="AI1634" t="s">
        <v>59</v>
      </c>
      <c r="AL1634" t="s">
        <v>4124</v>
      </c>
      <c r="AN1634" s="3">
        <v>46059.668749999997</v>
      </c>
      <c r="AO1634" t="s">
        <v>3705</v>
      </c>
    </row>
    <row r="1635" spans="1:41" x14ac:dyDescent="0.3">
      <c r="A1635" t="s">
        <v>61</v>
      </c>
      <c r="B1635" t="s">
        <v>62</v>
      </c>
      <c r="C1635" t="s">
        <v>43</v>
      </c>
      <c r="D1635" t="s">
        <v>63</v>
      </c>
      <c r="E1635" s="1">
        <v>46059</v>
      </c>
      <c r="F1635" t="s">
        <v>2113</v>
      </c>
      <c r="G1635" t="s">
        <v>45</v>
      </c>
      <c r="H1635" s="2">
        <v>0.35416666666666669</v>
      </c>
      <c r="I1635" s="2">
        <v>0.99861111111111112</v>
      </c>
      <c r="J1635" t="s">
        <v>101</v>
      </c>
      <c r="L1635" t="s">
        <v>159</v>
      </c>
      <c r="M1635" t="s">
        <v>949</v>
      </c>
      <c r="N1635" t="s">
        <v>950</v>
      </c>
      <c r="O1635">
        <v>21975</v>
      </c>
      <c r="Q1635" t="s">
        <v>66</v>
      </c>
      <c r="R1635" t="s">
        <v>67</v>
      </c>
      <c r="S1635" t="s">
        <v>52</v>
      </c>
      <c r="U1635">
        <v>889617</v>
      </c>
      <c r="V1635" s="3">
        <v>46049.379166666666</v>
      </c>
      <c r="W1635" t="s">
        <v>951</v>
      </c>
      <c r="X1635" t="s">
        <v>952</v>
      </c>
      <c r="Y1635" t="str">
        <f>"0412930014"</f>
        <v>0412930014</v>
      </c>
      <c r="Z1635" t="s">
        <v>2276</v>
      </c>
      <c r="AB1635" t="s">
        <v>71</v>
      </c>
      <c r="AD1635" t="s">
        <v>61</v>
      </c>
      <c r="AE1635" t="s">
        <v>72</v>
      </c>
      <c r="AF1635">
        <v>2747</v>
      </c>
      <c r="AG1635" t="s">
        <v>73</v>
      </c>
      <c r="AI1635" t="s">
        <v>59</v>
      </c>
      <c r="AL1635" t="s">
        <v>4125</v>
      </c>
      <c r="AN1635" s="3">
        <v>46059.722916666666</v>
      </c>
      <c r="AO1635" t="s">
        <v>951</v>
      </c>
    </row>
    <row r="1636" spans="1:41" x14ac:dyDescent="0.3">
      <c r="A1636" t="s">
        <v>168</v>
      </c>
      <c r="B1636" t="s">
        <v>847</v>
      </c>
      <c r="C1636" t="s">
        <v>848</v>
      </c>
      <c r="D1636" t="s">
        <v>268</v>
      </c>
      <c r="E1636" s="1">
        <v>46059</v>
      </c>
      <c r="F1636" t="s">
        <v>2113</v>
      </c>
      <c r="G1636" t="s">
        <v>45</v>
      </c>
      <c r="H1636" s="2">
        <v>0.35416666666666669</v>
      </c>
      <c r="I1636" s="2">
        <v>0.70833333333333337</v>
      </c>
      <c r="J1636" t="s">
        <v>101</v>
      </c>
      <c r="K1636" t="s">
        <v>270</v>
      </c>
      <c r="L1636" t="s">
        <v>159</v>
      </c>
      <c r="M1636" t="s">
        <v>1552</v>
      </c>
      <c r="N1636" t="s">
        <v>1553</v>
      </c>
      <c r="O1636">
        <v>5951790</v>
      </c>
      <c r="Q1636" t="s">
        <v>3423</v>
      </c>
      <c r="R1636" t="s">
        <v>231</v>
      </c>
      <c r="S1636" t="s">
        <v>52</v>
      </c>
      <c r="U1636">
        <v>889615</v>
      </c>
      <c r="V1636" s="3">
        <v>46029.518055555556</v>
      </c>
      <c r="W1636" t="s">
        <v>1554</v>
      </c>
      <c r="X1636" t="s">
        <v>1555</v>
      </c>
      <c r="Y1636" t="str">
        <f>"0402115073"</f>
        <v>0402115073</v>
      </c>
      <c r="Z1636" t="s">
        <v>980</v>
      </c>
      <c r="AA1636" s="1">
        <v>46059</v>
      </c>
      <c r="AB1636" t="s">
        <v>847</v>
      </c>
      <c r="AC1636" t="s">
        <v>855</v>
      </c>
      <c r="AD1636" t="s">
        <v>168</v>
      </c>
      <c r="AE1636" t="s">
        <v>856</v>
      </c>
      <c r="AF1636">
        <v>5112</v>
      </c>
      <c r="AG1636" t="s">
        <v>3423</v>
      </c>
      <c r="AI1636" t="s">
        <v>59</v>
      </c>
      <c r="AL1636" t="s">
        <v>4126</v>
      </c>
      <c r="AN1636" s="3">
        <v>46059.720138888886</v>
      </c>
      <c r="AO1636" t="s">
        <v>1554</v>
      </c>
    </row>
    <row r="1637" spans="1:41" x14ac:dyDescent="0.3">
      <c r="A1637" t="s">
        <v>75</v>
      </c>
      <c r="B1637" t="s">
        <v>76</v>
      </c>
      <c r="C1637" t="s">
        <v>43</v>
      </c>
      <c r="D1637" t="s">
        <v>63</v>
      </c>
      <c r="E1637" s="1">
        <v>46059</v>
      </c>
      <c r="F1637" t="s">
        <v>2113</v>
      </c>
      <c r="G1637" t="s">
        <v>45</v>
      </c>
      <c r="H1637" s="2">
        <v>0.35416666666666669</v>
      </c>
      <c r="I1637" s="2">
        <v>0.60416666666666663</v>
      </c>
      <c r="J1637" t="s">
        <v>46</v>
      </c>
      <c r="K1637" t="s">
        <v>77</v>
      </c>
      <c r="L1637" t="s">
        <v>159</v>
      </c>
      <c r="M1637" t="s">
        <v>4127</v>
      </c>
      <c r="N1637" t="s">
        <v>4128</v>
      </c>
      <c r="O1637">
        <v>5952296</v>
      </c>
      <c r="Q1637" t="s">
        <v>80</v>
      </c>
      <c r="R1637" t="s">
        <v>926</v>
      </c>
      <c r="S1637" t="s">
        <v>52</v>
      </c>
      <c r="U1637">
        <v>889620</v>
      </c>
      <c r="V1637" s="3">
        <v>46057.425694444442</v>
      </c>
      <c r="W1637" t="s">
        <v>4129</v>
      </c>
      <c r="X1637" t="s">
        <v>4130</v>
      </c>
      <c r="Y1637" t="str">
        <f>"0499587066"</f>
        <v>0499587066</v>
      </c>
      <c r="Z1637" t="s">
        <v>70</v>
      </c>
      <c r="AA1637" s="1">
        <v>46059</v>
      </c>
      <c r="AB1637" t="s">
        <v>85</v>
      </c>
      <c r="AD1637" t="s">
        <v>75</v>
      </c>
      <c r="AE1637" t="s">
        <v>86</v>
      </c>
      <c r="AF1637">
        <v>6000</v>
      </c>
      <c r="AG1637" t="s">
        <v>80</v>
      </c>
      <c r="AI1637" t="s">
        <v>59</v>
      </c>
      <c r="AL1637" t="s">
        <v>4131</v>
      </c>
      <c r="AN1637" s="3">
        <v>46059.734027777777</v>
      </c>
      <c r="AO1637" t="s">
        <v>4129</v>
      </c>
    </row>
    <row r="1638" spans="1:41" x14ac:dyDescent="0.3">
      <c r="A1638" t="s">
        <v>61</v>
      </c>
      <c r="B1638" t="s">
        <v>655</v>
      </c>
      <c r="C1638" t="s">
        <v>43</v>
      </c>
      <c r="D1638" t="s">
        <v>656</v>
      </c>
      <c r="E1638" s="1">
        <v>46059</v>
      </c>
      <c r="F1638" t="s">
        <v>2113</v>
      </c>
      <c r="G1638" t="s">
        <v>45</v>
      </c>
      <c r="H1638" s="2">
        <v>0.35416666666666669</v>
      </c>
      <c r="I1638" s="2">
        <v>0.70833333333333337</v>
      </c>
      <c r="J1638" t="s">
        <v>100</v>
      </c>
      <c r="L1638" t="s">
        <v>100</v>
      </c>
      <c r="M1638" t="s">
        <v>1039</v>
      </c>
      <c r="N1638" t="s">
        <v>1040</v>
      </c>
      <c r="O1638">
        <v>5951110</v>
      </c>
      <c r="Q1638" t="s">
        <v>665</v>
      </c>
      <c r="R1638" t="s">
        <v>145</v>
      </c>
      <c r="S1638" t="s">
        <v>52</v>
      </c>
      <c r="U1638">
        <v>889592</v>
      </c>
      <c r="V1638" s="3">
        <v>46037.762499999997</v>
      </c>
      <c r="W1638" t="s">
        <v>1042</v>
      </c>
      <c r="X1638" t="s">
        <v>1043</v>
      </c>
      <c r="Y1638" t="str">
        <f>"0424952006"</f>
        <v>0424952006</v>
      </c>
      <c r="Z1638" t="s">
        <v>4132</v>
      </c>
      <c r="AB1638" t="s">
        <v>662</v>
      </c>
      <c r="AC1638" t="s">
        <v>663</v>
      </c>
      <c r="AD1638" t="s">
        <v>61</v>
      </c>
      <c r="AE1638" t="s">
        <v>664</v>
      </c>
      <c r="AF1638">
        <v>2067</v>
      </c>
      <c r="AG1638" t="s">
        <v>1571</v>
      </c>
      <c r="AI1638" t="s">
        <v>59</v>
      </c>
      <c r="AL1638" t="s">
        <v>3887</v>
      </c>
      <c r="AN1638" s="3">
        <v>46059.638888888891</v>
      </c>
      <c r="AO1638" t="s">
        <v>1042</v>
      </c>
    </row>
    <row r="1639" spans="1:41" x14ac:dyDescent="0.3">
      <c r="A1639" t="s">
        <v>168</v>
      </c>
      <c r="B1639" t="s">
        <v>847</v>
      </c>
      <c r="C1639" t="s">
        <v>43</v>
      </c>
      <c r="D1639" t="s">
        <v>268</v>
      </c>
      <c r="E1639" s="1">
        <v>46059</v>
      </c>
      <c r="F1639" t="s">
        <v>2113</v>
      </c>
      <c r="G1639" t="s">
        <v>45</v>
      </c>
      <c r="H1639" s="2">
        <v>0.35416666666666669</v>
      </c>
      <c r="I1639" s="2">
        <v>0.70833333333333337</v>
      </c>
      <c r="J1639" t="s">
        <v>185</v>
      </c>
      <c r="L1639" t="s">
        <v>2243</v>
      </c>
      <c r="M1639" t="s">
        <v>2244</v>
      </c>
      <c r="N1639" t="s">
        <v>2245</v>
      </c>
      <c r="O1639">
        <v>22748</v>
      </c>
      <c r="Q1639" t="s">
        <v>4133</v>
      </c>
      <c r="R1639" t="s">
        <v>231</v>
      </c>
      <c r="S1639" t="s">
        <v>52</v>
      </c>
      <c r="U1639">
        <v>889614</v>
      </c>
      <c r="V1639" s="3">
        <v>46031.633333333331</v>
      </c>
      <c r="W1639" t="s">
        <v>2246</v>
      </c>
      <c r="X1639" t="s">
        <v>2247</v>
      </c>
      <c r="Y1639" t="str">
        <f>"0423555385"</f>
        <v>0423555385</v>
      </c>
      <c r="Z1639" t="s">
        <v>1635</v>
      </c>
      <c r="AA1639" s="1">
        <v>46059</v>
      </c>
      <c r="AB1639" t="s">
        <v>847</v>
      </c>
      <c r="AC1639" t="s">
        <v>855</v>
      </c>
      <c r="AD1639" t="s">
        <v>168</v>
      </c>
      <c r="AE1639" t="s">
        <v>856</v>
      </c>
      <c r="AF1639">
        <v>5112</v>
      </c>
      <c r="AG1639" t="s">
        <v>3423</v>
      </c>
      <c r="AI1639" t="s">
        <v>59</v>
      </c>
      <c r="AL1639" t="s">
        <v>4134</v>
      </c>
      <c r="AN1639" s="3">
        <v>46059.718055555553</v>
      </c>
      <c r="AO1639" t="s">
        <v>2246</v>
      </c>
    </row>
    <row r="1640" spans="1:41" x14ac:dyDescent="0.3">
      <c r="A1640" t="s">
        <v>874</v>
      </c>
      <c r="B1640" t="s">
        <v>875</v>
      </c>
      <c r="D1640" t="s">
        <v>388</v>
      </c>
      <c r="E1640" s="1">
        <v>46059</v>
      </c>
      <c r="F1640" t="s">
        <v>2113</v>
      </c>
      <c r="G1640" t="s">
        <v>45</v>
      </c>
      <c r="H1640" s="2">
        <v>0.35416666666666669</v>
      </c>
      <c r="I1640" s="2">
        <v>0.70833333333333337</v>
      </c>
      <c r="J1640" t="s">
        <v>876</v>
      </c>
      <c r="L1640" t="s">
        <v>877</v>
      </c>
      <c r="M1640" t="s">
        <v>878</v>
      </c>
      <c r="N1640" t="s">
        <v>879</v>
      </c>
      <c r="O1640">
        <v>5951689</v>
      </c>
      <c r="P1640" t="s">
        <v>249</v>
      </c>
      <c r="Q1640" t="s">
        <v>880</v>
      </c>
      <c r="R1640" t="s">
        <v>392</v>
      </c>
      <c r="S1640" t="s">
        <v>52</v>
      </c>
      <c r="T1640" t="s">
        <v>252</v>
      </c>
      <c r="U1640">
        <v>889589</v>
      </c>
      <c r="V1640" s="3">
        <v>46059.589583333334</v>
      </c>
      <c r="W1640" t="s">
        <v>881</v>
      </c>
      <c r="X1640" t="s">
        <v>882</v>
      </c>
      <c r="Y1640" t="str">
        <f>"0474765680"</f>
        <v>0474765680</v>
      </c>
      <c r="Z1640" t="s">
        <v>375</v>
      </c>
      <c r="AA1640" s="1">
        <v>46110</v>
      </c>
      <c r="AB1640" t="s">
        <v>883</v>
      </c>
      <c r="AD1640" t="s">
        <v>397</v>
      </c>
      <c r="AE1640" t="s">
        <v>884</v>
      </c>
      <c r="AG1640" t="s">
        <v>880</v>
      </c>
      <c r="AI1640" t="s">
        <v>59</v>
      </c>
      <c r="AJ1640" t="str">
        <f>"0090000061"</f>
        <v>0090000061</v>
      </c>
      <c r="AN1640" s="3">
        <v>46059.589583333334</v>
      </c>
      <c r="AO1640" t="s">
        <v>392</v>
      </c>
    </row>
    <row r="1641" spans="1:41" x14ac:dyDescent="0.3">
      <c r="A1641" t="s">
        <v>168</v>
      </c>
      <c r="B1641" t="s">
        <v>400</v>
      </c>
      <c r="C1641" t="s">
        <v>100</v>
      </c>
      <c r="D1641" t="s">
        <v>401</v>
      </c>
      <c r="E1641" s="1">
        <v>46059</v>
      </c>
      <c r="F1641" t="s">
        <v>2113</v>
      </c>
      <c r="G1641" t="s">
        <v>45</v>
      </c>
      <c r="H1641" s="2">
        <v>0.375</v>
      </c>
      <c r="I1641" s="2">
        <v>0.625</v>
      </c>
      <c r="J1641" t="s">
        <v>100</v>
      </c>
      <c r="L1641" t="s">
        <v>100</v>
      </c>
      <c r="M1641" t="s">
        <v>2279</v>
      </c>
      <c r="N1641" t="s">
        <v>2280</v>
      </c>
      <c r="O1641">
        <v>5951984</v>
      </c>
      <c r="Q1641" t="s">
        <v>404</v>
      </c>
      <c r="R1641" t="s">
        <v>231</v>
      </c>
      <c r="S1641" t="s">
        <v>52</v>
      </c>
      <c r="U1641">
        <v>889595</v>
      </c>
      <c r="V1641" s="3">
        <v>46050.664583333331</v>
      </c>
      <c r="W1641" t="s">
        <v>2282</v>
      </c>
      <c r="X1641" t="s">
        <v>2283</v>
      </c>
      <c r="Y1641" t="str">
        <f>"0421440269"</f>
        <v>0421440269</v>
      </c>
      <c r="Z1641" t="s">
        <v>2036</v>
      </c>
      <c r="AA1641" s="1">
        <v>46059</v>
      </c>
      <c r="AB1641" t="s">
        <v>407</v>
      </c>
      <c r="AD1641" t="s">
        <v>168</v>
      </c>
      <c r="AE1641" t="s">
        <v>347</v>
      </c>
      <c r="AF1641">
        <v>5042</v>
      </c>
      <c r="AG1641" t="s">
        <v>1662</v>
      </c>
      <c r="AI1641" t="s">
        <v>59</v>
      </c>
      <c r="AL1641" t="s">
        <v>4135</v>
      </c>
      <c r="AM1641" t="s">
        <v>2752</v>
      </c>
      <c r="AN1641" s="3">
        <v>46059.647222222222</v>
      </c>
      <c r="AO1641" t="s">
        <v>2282</v>
      </c>
    </row>
    <row r="1642" spans="1:41" x14ac:dyDescent="0.3">
      <c r="A1642" t="s">
        <v>306</v>
      </c>
      <c r="B1642" t="s">
        <v>450</v>
      </c>
      <c r="C1642" t="s">
        <v>100</v>
      </c>
      <c r="D1642" t="s">
        <v>63</v>
      </c>
      <c r="E1642" s="1">
        <v>46059</v>
      </c>
      <c r="F1642" t="s">
        <v>2113</v>
      </c>
      <c r="G1642" t="s">
        <v>45</v>
      </c>
      <c r="H1642" s="2">
        <v>0.375</v>
      </c>
      <c r="I1642" s="2">
        <v>0.58333333333333337</v>
      </c>
      <c r="J1642" t="s">
        <v>451</v>
      </c>
      <c r="L1642" t="s">
        <v>452</v>
      </c>
      <c r="M1642" t="s">
        <v>2544</v>
      </c>
      <c r="N1642" t="s">
        <v>2545</v>
      </c>
      <c r="O1642">
        <v>5951132</v>
      </c>
      <c r="Q1642" t="s">
        <v>4136</v>
      </c>
      <c r="R1642" t="s">
        <v>476</v>
      </c>
      <c r="S1642" t="s">
        <v>52</v>
      </c>
      <c r="U1642">
        <v>889582</v>
      </c>
      <c r="V1642" s="3">
        <v>46058.472916666666</v>
      </c>
      <c r="W1642" t="s">
        <v>2546</v>
      </c>
      <c r="X1642" t="s">
        <v>2547</v>
      </c>
      <c r="Y1642" t="str">
        <f>"0403404656"</f>
        <v>0403404656</v>
      </c>
      <c r="Z1642" t="s">
        <v>70</v>
      </c>
      <c r="AA1642" s="1">
        <v>46059</v>
      </c>
      <c r="AB1642" t="s">
        <v>459</v>
      </c>
      <c r="AD1642" t="s">
        <v>306</v>
      </c>
      <c r="AE1642" t="s">
        <v>460</v>
      </c>
      <c r="AF1642">
        <v>3058</v>
      </c>
      <c r="AG1642" t="s">
        <v>455</v>
      </c>
      <c r="AI1642" t="s">
        <v>59</v>
      </c>
      <c r="AL1642" t="s">
        <v>87</v>
      </c>
      <c r="AN1642" s="3">
        <v>46059.577777777777</v>
      </c>
      <c r="AO1642" t="s">
        <v>2546</v>
      </c>
    </row>
    <row r="1643" spans="1:41" x14ac:dyDescent="0.3">
      <c r="A1643" t="s">
        <v>306</v>
      </c>
      <c r="B1643" t="s">
        <v>450</v>
      </c>
      <c r="C1643" t="s">
        <v>100</v>
      </c>
      <c r="D1643" t="s">
        <v>63</v>
      </c>
      <c r="E1643" s="1">
        <v>46059</v>
      </c>
      <c r="F1643" t="s">
        <v>2113</v>
      </c>
      <c r="G1643" t="s">
        <v>45</v>
      </c>
      <c r="H1643" s="2">
        <v>0.375</v>
      </c>
      <c r="I1643" s="2">
        <v>0.625</v>
      </c>
      <c r="J1643" t="s">
        <v>451</v>
      </c>
      <c r="L1643" t="s">
        <v>452</v>
      </c>
      <c r="M1643" t="s">
        <v>1980</v>
      </c>
      <c r="N1643" t="s">
        <v>1981</v>
      </c>
      <c r="O1643">
        <v>21297</v>
      </c>
      <c r="Q1643" t="s">
        <v>461</v>
      </c>
      <c r="R1643" t="s">
        <v>476</v>
      </c>
      <c r="S1643" t="s">
        <v>52</v>
      </c>
      <c r="U1643">
        <v>889583</v>
      </c>
      <c r="V1643" s="3">
        <v>46057.366666666669</v>
      </c>
      <c r="W1643" t="s">
        <v>1983</v>
      </c>
      <c r="X1643" t="s">
        <v>1984</v>
      </c>
      <c r="Y1643" t="str">
        <f>"0434131195"</f>
        <v>0434131195</v>
      </c>
      <c r="Z1643" t="s">
        <v>70</v>
      </c>
      <c r="AA1643" s="1">
        <v>46059</v>
      </c>
      <c r="AB1643" t="s">
        <v>459</v>
      </c>
      <c r="AD1643" t="s">
        <v>306</v>
      </c>
      <c r="AE1643" t="s">
        <v>460</v>
      </c>
      <c r="AF1643">
        <v>3058</v>
      </c>
      <c r="AG1643" t="s">
        <v>455</v>
      </c>
      <c r="AI1643" t="s">
        <v>59</v>
      </c>
      <c r="AL1643" t="s">
        <v>87</v>
      </c>
      <c r="AN1643" s="3">
        <v>46059.579861111109</v>
      </c>
      <c r="AO1643" t="s">
        <v>1983</v>
      </c>
    </row>
    <row r="1644" spans="1:41" x14ac:dyDescent="0.3">
      <c r="A1644" t="s">
        <v>61</v>
      </c>
      <c r="B1644" t="s">
        <v>62</v>
      </c>
      <c r="C1644" t="s">
        <v>43</v>
      </c>
      <c r="D1644" t="s">
        <v>63</v>
      </c>
      <c r="E1644" s="1">
        <v>46059</v>
      </c>
      <c r="F1644" t="s">
        <v>2113</v>
      </c>
      <c r="G1644" t="s">
        <v>45</v>
      </c>
      <c r="H1644" s="2">
        <v>0.41666666666666669</v>
      </c>
      <c r="I1644" s="2">
        <v>0.77083333333333337</v>
      </c>
      <c r="J1644" t="s">
        <v>101</v>
      </c>
      <c r="L1644" t="s">
        <v>159</v>
      </c>
      <c r="M1644" t="s">
        <v>4137</v>
      </c>
      <c r="N1644" t="s">
        <v>4138</v>
      </c>
      <c r="O1644">
        <v>5950918</v>
      </c>
      <c r="Q1644" t="s">
        <v>66</v>
      </c>
      <c r="R1644" t="s">
        <v>67</v>
      </c>
      <c r="S1644" t="s">
        <v>52</v>
      </c>
      <c r="U1644">
        <v>889622</v>
      </c>
      <c r="V1644" s="3">
        <v>46049.382638888892</v>
      </c>
      <c r="W1644" t="s">
        <v>4139</v>
      </c>
      <c r="X1644" t="s">
        <v>4140</v>
      </c>
      <c r="Y1644" t="str">
        <f>"0426716534"</f>
        <v>0426716534</v>
      </c>
      <c r="Z1644" t="s">
        <v>70</v>
      </c>
      <c r="AA1644" s="1">
        <v>46059</v>
      </c>
      <c r="AB1644" t="s">
        <v>71</v>
      </c>
      <c r="AD1644" t="s">
        <v>61</v>
      </c>
      <c r="AE1644" t="s">
        <v>72</v>
      </c>
      <c r="AF1644">
        <v>2747</v>
      </c>
      <c r="AG1644" t="s">
        <v>73</v>
      </c>
      <c r="AI1644" t="s">
        <v>59</v>
      </c>
      <c r="AL1644" t="s">
        <v>4141</v>
      </c>
      <c r="AN1644" s="3">
        <v>46059.743055555555</v>
      </c>
      <c r="AO1644" t="s">
        <v>4139</v>
      </c>
    </row>
    <row r="1645" spans="1:41" x14ac:dyDescent="0.3">
      <c r="A1645" t="s">
        <v>61</v>
      </c>
      <c r="B1645" t="s">
        <v>912</v>
      </c>
      <c r="C1645" t="s">
        <v>913</v>
      </c>
      <c r="D1645" t="s">
        <v>184</v>
      </c>
      <c r="E1645" s="1">
        <v>46059</v>
      </c>
      <c r="F1645" t="s">
        <v>2113</v>
      </c>
      <c r="G1645" t="s">
        <v>45</v>
      </c>
      <c r="H1645" s="2">
        <v>0.45833333333333331</v>
      </c>
      <c r="I1645" s="2">
        <v>0.99861111111111112</v>
      </c>
      <c r="J1645" t="s">
        <v>46</v>
      </c>
      <c r="L1645" t="s">
        <v>47</v>
      </c>
      <c r="M1645" t="s">
        <v>2238</v>
      </c>
      <c r="N1645" t="s">
        <v>2239</v>
      </c>
      <c r="O1645">
        <v>5950669</v>
      </c>
      <c r="Q1645" t="s">
        <v>916</v>
      </c>
      <c r="R1645" t="s">
        <v>132</v>
      </c>
      <c r="S1645" t="s">
        <v>52</v>
      </c>
      <c r="U1645">
        <v>889608</v>
      </c>
      <c r="V1645" s="3">
        <v>46038.654861111114</v>
      </c>
      <c r="W1645" t="s">
        <v>2240</v>
      </c>
      <c r="X1645" t="s">
        <v>2241</v>
      </c>
      <c r="Y1645" t="str">
        <f>"0435931881"</f>
        <v>0435931881</v>
      </c>
      <c r="Z1645" t="s">
        <v>234</v>
      </c>
      <c r="AB1645" t="s">
        <v>920</v>
      </c>
      <c r="AC1645" t="s">
        <v>921</v>
      </c>
      <c r="AD1645" t="s">
        <v>61</v>
      </c>
      <c r="AE1645" t="s">
        <v>922</v>
      </c>
      <c r="AF1645">
        <v>2228</v>
      </c>
      <c r="AG1645" t="s">
        <v>1807</v>
      </c>
      <c r="AI1645" t="s">
        <v>59</v>
      </c>
      <c r="AL1645" t="s">
        <v>3887</v>
      </c>
      <c r="AN1645" s="3">
        <v>46059.689583333333</v>
      </c>
      <c r="AO1645" t="s">
        <v>2240</v>
      </c>
    </row>
    <row r="1646" spans="1:41" x14ac:dyDescent="0.3">
      <c r="A1646" t="s">
        <v>41</v>
      </c>
      <c r="B1646" t="s">
        <v>1219</v>
      </c>
      <c r="C1646" t="s">
        <v>43</v>
      </c>
      <c r="D1646" t="s">
        <v>184</v>
      </c>
      <c r="E1646" s="1">
        <v>46059</v>
      </c>
      <c r="F1646" t="s">
        <v>2113</v>
      </c>
      <c r="G1646" t="s">
        <v>45</v>
      </c>
      <c r="H1646" s="2">
        <v>0.45833333333333331</v>
      </c>
      <c r="I1646" s="2">
        <v>0.8125</v>
      </c>
      <c r="J1646" t="s">
        <v>46</v>
      </c>
      <c r="L1646" t="s">
        <v>47</v>
      </c>
      <c r="M1646" t="s">
        <v>1220</v>
      </c>
      <c r="N1646" t="s">
        <v>1221</v>
      </c>
      <c r="O1646">
        <v>5950857</v>
      </c>
      <c r="Q1646" t="s">
        <v>2805</v>
      </c>
      <c r="R1646" t="s">
        <v>51</v>
      </c>
      <c r="S1646" t="s">
        <v>52</v>
      </c>
      <c r="U1646">
        <v>889624</v>
      </c>
      <c r="V1646" s="3">
        <v>46057.408333333333</v>
      </c>
      <c r="W1646" t="s">
        <v>1223</v>
      </c>
      <c r="X1646" t="s">
        <v>1224</v>
      </c>
      <c r="Y1646" t="str">
        <f>"0431426020"</f>
        <v>0431426020</v>
      </c>
      <c r="Z1646" t="s">
        <v>70</v>
      </c>
      <c r="AA1646" s="1">
        <v>46059</v>
      </c>
      <c r="AB1646" t="s">
        <v>1226</v>
      </c>
      <c r="AD1646" t="s">
        <v>41</v>
      </c>
      <c r="AE1646" t="s">
        <v>1227</v>
      </c>
      <c r="AF1646">
        <v>4217</v>
      </c>
      <c r="AG1646" t="s">
        <v>4142</v>
      </c>
      <c r="AI1646" t="s">
        <v>59</v>
      </c>
      <c r="AL1646" t="s">
        <v>4143</v>
      </c>
      <c r="AN1646" s="3">
        <v>46059.75</v>
      </c>
      <c r="AO1646" t="s">
        <v>1223</v>
      </c>
    </row>
    <row r="1647" spans="1:41" x14ac:dyDescent="0.3">
      <c r="A1647" t="s">
        <v>61</v>
      </c>
      <c r="B1647" t="s">
        <v>88</v>
      </c>
      <c r="C1647" t="s">
        <v>3680</v>
      </c>
      <c r="D1647" t="s">
        <v>90</v>
      </c>
      <c r="E1647" s="1">
        <v>46059</v>
      </c>
      <c r="F1647" t="s">
        <v>2113</v>
      </c>
      <c r="G1647" t="s">
        <v>128</v>
      </c>
      <c r="H1647" s="2">
        <v>0.5</v>
      </c>
      <c r="I1647" s="2">
        <v>0.89583333333333337</v>
      </c>
      <c r="J1647" t="s">
        <v>101</v>
      </c>
      <c r="L1647" t="s">
        <v>159</v>
      </c>
      <c r="M1647" t="s">
        <v>3576</v>
      </c>
      <c r="N1647" t="s">
        <v>3577</v>
      </c>
      <c r="O1647">
        <v>21429</v>
      </c>
      <c r="P1647">
        <v>11585864</v>
      </c>
      <c r="Q1647" t="s">
        <v>1245</v>
      </c>
      <c r="R1647" t="s">
        <v>132</v>
      </c>
      <c r="S1647" t="s">
        <v>52</v>
      </c>
      <c r="U1647">
        <v>889626</v>
      </c>
      <c r="V1647" s="3">
        <v>46058.475694444445</v>
      </c>
      <c r="W1647" t="s">
        <v>3579</v>
      </c>
      <c r="X1647" t="s">
        <v>3580</v>
      </c>
      <c r="Y1647" t="str">
        <f>"0413381602"</f>
        <v>0413381602</v>
      </c>
      <c r="Z1647" t="s">
        <v>123</v>
      </c>
      <c r="AA1647" s="1">
        <v>46059</v>
      </c>
      <c r="AB1647" t="s">
        <v>96</v>
      </c>
      <c r="AD1647" t="s">
        <v>61</v>
      </c>
      <c r="AE1647" t="s">
        <v>97</v>
      </c>
      <c r="AF1647">
        <v>2010</v>
      </c>
      <c r="AG1647" t="s">
        <v>98</v>
      </c>
      <c r="AI1647" t="s">
        <v>59</v>
      </c>
      <c r="AL1647" t="s">
        <v>87</v>
      </c>
      <c r="AN1647" s="3">
        <v>46059.754166666666</v>
      </c>
      <c r="AO1647" t="s">
        <v>3579</v>
      </c>
    </row>
    <row r="1648" spans="1:41" x14ac:dyDescent="0.3">
      <c r="A1648" t="s">
        <v>61</v>
      </c>
      <c r="B1648" t="s">
        <v>88</v>
      </c>
      <c r="C1648" t="s">
        <v>1856</v>
      </c>
      <c r="D1648" t="s">
        <v>90</v>
      </c>
      <c r="E1648" s="1">
        <v>46059</v>
      </c>
      <c r="F1648" t="s">
        <v>2113</v>
      </c>
      <c r="G1648" t="s">
        <v>128</v>
      </c>
      <c r="H1648" s="2">
        <v>0.5</v>
      </c>
      <c r="I1648" s="2">
        <v>0.85416666666666663</v>
      </c>
      <c r="J1648" t="s">
        <v>46</v>
      </c>
      <c r="L1648" t="s">
        <v>47</v>
      </c>
      <c r="M1648" t="s">
        <v>351</v>
      </c>
      <c r="N1648" t="s">
        <v>352</v>
      </c>
      <c r="O1648">
        <v>5951965</v>
      </c>
      <c r="P1648">
        <v>11605235</v>
      </c>
      <c r="Q1648" t="s">
        <v>1245</v>
      </c>
      <c r="R1648" t="s">
        <v>132</v>
      </c>
      <c r="S1648" t="s">
        <v>52</v>
      </c>
      <c r="U1648">
        <v>889648</v>
      </c>
      <c r="V1648" s="3">
        <v>46043.586805555555</v>
      </c>
      <c r="W1648" t="s">
        <v>354</v>
      </c>
      <c r="X1648" t="s">
        <v>355</v>
      </c>
      <c r="Y1648" t="str">
        <f>"0430083393"</f>
        <v>0430083393</v>
      </c>
      <c r="Z1648" t="s">
        <v>70</v>
      </c>
      <c r="AA1648" s="1">
        <v>46059</v>
      </c>
      <c r="AB1648" t="s">
        <v>96</v>
      </c>
      <c r="AD1648" t="s">
        <v>61</v>
      </c>
      <c r="AE1648" t="s">
        <v>97</v>
      </c>
      <c r="AF1648">
        <v>2010</v>
      </c>
      <c r="AG1648" t="s">
        <v>98</v>
      </c>
      <c r="AI1648" t="s">
        <v>59</v>
      </c>
      <c r="AL1648" t="s">
        <v>4144</v>
      </c>
      <c r="AN1648" s="3">
        <v>46059.872916666667</v>
      </c>
      <c r="AO1648" t="s">
        <v>354</v>
      </c>
    </row>
    <row r="1649" spans="1:41" x14ac:dyDescent="0.3">
      <c r="A1649" t="s">
        <v>61</v>
      </c>
      <c r="B1649" t="s">
        <v>158</v>
      </c>
      <c r="C1649" t="s">
        <v>43</v>
      </c>
      <c r="D1649" t="s">
        <v>127</v>
      </c>
      <c r="E1649" s="1">
        <v>46059</v>
      </c>
      <c r="F1649" t="s">
        <v>2113</v>
      </c>
      <c r="G1649" t="s">
        <v>128</v>
      </c>
      <c r="H1649" s="2">
        <v>0.52083333333333337</v>
      </c>
      <c r="I1649" s="2">
        <v>0.99861111111111112</v>
      </c>
      <c r="J1649" t="s">
        <v>185</v>
      </c>
      <c r="K1649" t="s">
        <v>2742</v>
      </c>
      <c r="L1649" t="s">
        <v>186</v>
      </c>
      <c r="M1649" t="s">
        <v>1645</v>
      </c>
      <c r="N1649" t="s">
        <v>564</v>
      </c>
      <c r="O1649">
        <v>5950929</v>
      </c>
      <c r="Q1649" t="s">
        <v>162</v>
      </c>
      <c r="R1649" t="s">
        <v>132</v>
      </c>
      <c r="S1649" t="s">
        <v>52</v>
      </c>
      <c r="U1649">
        <v>889632</v>
      </c>
      <c r="V1649" s="3">
        <v>46059.326388888891</v>
      </c>
      <c r="W1649" t="s">
        <v>1845</v>
      </c>
      <c r="X1649" t="s">
        <v>1846</v>
      </c>
      <c r="Y1649" t="str">
        <f>"0426199544"</f>
        <v>0426199544</v>
      </c>
      <c r="Z1649" t="s">
        <v>70</v>
      </c>
      <c r="AA1649" s="1">
        <v>46059</v>
      </c>
      <c r="AB1649" t="s">
        <v>166</v>
      </c>
      <c r="AD1649" t="s">
        <v>61</v>
      </c>
      <c r="AE1649" t="s">
        <v>167</v>
      </c>
      <c r="AF1649">
        <v>2011</v>
      </c>
      <c r="AG1649" t="s">
        <v>162</v>
      </c>
      <c r="AI1649" t="s">
        <v>59</v>
      </c>
      <c r="AL1649" t="s">
        <v>87</v>
      </c>
      <c r="AN1649" s="3">
        <v>46059.800694444442</v>
      </c>
      <c r="AO1649" t="s">
        <v>1845</v>
      </c>
    </row>
    <row r="1650" spans="1:41" x14ac:dyDescent="0.3">
      <c r="A1650" t="s">
        <v>75</v>
      </c>
      <c r="B1650" t="s">
        <v>2822</v>
      </c>
      <c r="C1650" t="s">
        <v>43</v>
      </c>
      <c r="D1650" t="s">
        <v>719</v>
      </c>
      <c r="E1650" s="1">
        <v>46059</v>
      </c>
      <c r="F1650" t="s">
        <v>2113</v>
      </c>
      <c r="G1650" t="s">
        <v>128</v>
      </c>
      <c r="H1650" s="2">
        <v>0.52083333333333337</v>
      </c>
      <c r="I1650" s="2">
        <v>0.77083333333333337</v>
      </c>
      <c r="J1650" t="s">
        <v>101</v>
      </c>
      <c r="L1650" t="s">
        <v>159</v>
      </c>
      <c r="M1650" t="s">
        <v>187</v>
      </c>
      <c r="N1650" t="s">
        <v>1105</v>
      </c>
      <c r="O1650">
        <v>21727</v>
      </c>
      <c r="Q1650" t="s">
        <v>2823</v>
      </c>
      <c r="R1650" t="s">
        <v>145</v>
      </c>
      <c r="S1650" t="s">
        <v>52</v>
      </c>
      <c r="U1650">
        <v>889634</v>
      </c>
      <c r="V1650" s="3">
        <v>46037.954861111109</v>
      </c>
      <c r="W1650" t="s">
        <v>1107</v>
      </c>
      <c r="X1650" t="s">
        <v>1108</v>
      </c>
      <c r="Y1650" t="str">
        <f>"0407897784"</f>
        <v>0407897784</v>
      </c>
      <c r="Z1650" t="s">
        <v>2824</v>
      </c>
      <c r="AB1650" t="s">
        <v>2825</v>
      </c>
      <c r="AD1650" t="s">
        <v>75</v>
      </c>
      <c r="AE1650" t="s">
        <v>2826</v>
      </c>
      <c r="AF1650">
        <v>6005</v>
      </c>
      <c r="AG1650" t="s">
        <v>2827</v>
      </c>
      <c r="AI1650" t="s">
        <v>59</v>
      </c>
      <c r="AL1650" t="s">
        <v>2828</v>
      </c>
      <c r="AN1650" s="3">
        <v>46059.8125</v>
      </c>
      <c r="AO1650" t="s">
        <v>1107</v>
      </c>
    </row>
    <row r="1651" spans="1:41" x14ac:dyDescent="0.3">
      <c r="A1651" t="s">
        <v>168</v>
      </c>
      <c r="B1651" t="s">
        <v>376</v>
      </c>
      <c r="C1651" t="s">
        <v>43</v>
      </c>
      <c r="D1651" t="s">
        <v>127</v>
      </c>
      <c r="E1651" s="1">
        <v>46059</v>
      </c>
      <c r="F1651" t="s">
        <v>2113</v>
      </c>
      <c r="G1651" t="s">
        <v>128</v>
      </c>
      <c r="H1651" s="2">
        <v>0.52083333333333337</v>
      </c>
      <c r="I1651" s="2">
        <v>0.85416666666666663</v>
      </c>
      <c r="J1651" t="s">
        <v>185</v>
      </c>
      <c r="L1651" t="s">
        <v>186</v>
      </c>
      <c r="M1651" t="s">
        <v>835</v>
      </c>
      <c r="N1651" t="s">
        <v>836</v>
      </c>
      <c r="O1651">
        <v>22947</v>
      </c>
      <c r="Q1651" t="s">
        <v>1924</v>
      </c>
      <c r="R1651" t="s">
        <v>231</v>
      </c>
      <c r="S1651" t="s">
        <v>52</v>
      </c>
      <c r="U1651">
        <v>889628</v>
      </c>
      <c r="V1651" s="3">
        <v>46008.599305555559</v>
      </c>
      <c r="W1651" t="s">
        <v>837</v>
      </c>
      <c r="X1651" t="s">
        <v>838</v>
      </c>
      <c r="Y1651" t="str">
        <f>"0415626656"</f>
        <v>0415626656</v>
      </c>
      <c r="Z1651" t="s">
        <v>782</v>
      </c>
      <c r="AB1651" t="s">
        <v>383</v>
      </c>
      <c r="AD1651" t="s">
        <v>168</v>
      </c>
      <c r="AE1651" t="s">
        <v>384</v>
      </c>
      <c r="AF1651">
        <v>5000</v>
      </c>
      <c r="AG1651" t="s">
        <v>674</v>
      </c>
      <c r="AI1651" t="s">
        <v>59</v>
      </c>
      <c r="AL1651" t="s">
        <v>385</v>
      </c>
      <c r="AN1651" s="3">
        <v>46059.762499999997</v>
      </c>
      <c r="AO1651" t="s">
        <v>837</v>
      </c>
    </row>
    <row r="1652" spans="1:41" x14ac:dyDescent="0.3">
      <c r="A1652" t="s">
        <v>168</v>
      </c>
      <c r="B1652" t="s">
        <v>282</v>
      </c>
      <c r="C1652" t="s">
        <v>43</v>
      </c>
      <c r="D1652" t="s">
        <v>283</v>
      </c>
      <c r="E1652" s="1">
        <v>46059</v>
      </c>
      <c r="F1652" t="s">
        <v>2113</v>
      </c>
      <c r="G1652" t="s">
        <v>128</v>
      </c>
      <c r="H1652" s="2">
        <v>0.54166666666666663</v>
      </c>
      <c r="I1652" s="2">
        <v>0.79166666666666663</v>
      </c>
      <c r="J1652" t="s">
        <v>1011</v>
      </c>
      <c r="K1652" t="s">
        <v>4145</v>
      </c>
      <c r="L1652" t="s">
        <v>186</v>
      </c>
      <c r="M1652" t="s">
        <v>1214</v>
      </c>
      <c r="N1652" t="s">
        <v>1215</v>
      </c>
      <c r="O1652">
        <v>21599</v>
      </c>
      <c r="Q1652" t="s">
        <v>294</v>
      </c>
      <c r="R1652" t="s">
        <v>500</v>
      </c>
      <c r="S1652" t="s">
        <v>52</v>
      </c>
      <c r="U1652">
        <v>889618</v>
      </c>
      <c r="V1652" s="3">
        <v>46057.961805555555</v>
      </c>
      <c r="W1652" t="s">
        <v>1216</v>
      </c>
      <c r="X1652" t="s">
        <v>1217</v>
      </c>
      <c r="Y1652" t="str">
        <f>"0408807092"</f>
        <v>0408807092</v>
      </c>
      <c r="Z1652" t="s">
        <v>70</v>
      </c>
      <c r="AA1652" s="1">
        <v>46059</v>
      </c>
      <c r="AB1652" t="s">
        <v>291</v>
      </c>
      <c r="AC1652" t="s">
        <v>292</v>
      </c>
      <c r="AD1652" t="s">
        <v>168</v>
      </c>
      <c r="AE1652" t="s">
        <v>293</v>
      </c>
      <c r="AF1652">
        <v>5037</v>
      </c>
      <c r="AG1652" t="s">
        <v>294</v>
      </c>
      <c r="AI1652" t="s">
        <v>59</v>
      </c>
      <c r="AL1652" t="s">
        <v>4146</v>
      </c>
      <c r="AN1652" s="3">
        <v>46059.731249999997</v>
      </c>
      <c r="AO1652" t="s">
        <v>1216</v>
      </c>
    </row>
    <row r="1653" spans="1:41" x14ac:dyDescent="0.3">
      <c r="A1653" t="s">
        <v>168</v>
      </c>
      <c r="B1653" t="s">
        <v>409</v>
      </c>
      <c r="C1653" t="s">
        <v>43</v>
      </c>
      <c r="D1653" t="s">
        <v>309</v>
      </c>
      <c r="E1653" s="1">
        <v>46059</v>
      </c>
      <c r="F1653" t="s">
        <v>2113</v>
      </c>
      <c r="G1653" t="s">
        <v>128</v>
      </c>
      <c r="H1653" s="2">
        <v>0.54166666666666663</v>
      </c>
      <c r="I1653" s="2">
        <v>0.875</v>
      </c>
      <c r="J1653" t="s">
        <v>4147</v>
      </c>
      <c r="K1653" t="s">
        <v>678</v>
      </c>
      <c r="L1653" t="s">
        <v>186</v>
      </c>
      <c r="M1653" t="s">
        <v>1117</v>
      </c>
      <c r="N1653" t="s">
        <v>1118</v>
      </c>
      <c r="O1653">
        <v>5952419</v>
      </c>
      <c r="Q1653" t="s">
        <v>705</v>
      </c>
      <c r="R1653" t="s">
        <v>231</v>
      </c>
      <c r="S1653" t="s">
        <v>119</v>
      </c>
      <c r="T1653" t="s">
        <v>414</v>
      </c>
      <c r="U1653">
        <v>889873</v>
      </c>
      <c r="V1653" s="3">
        <v>46057.511111111111</v>
      </c>
      <c r="W1653" t="s">
        <v>1119</v>
      </c>
      <c r="X1653" t="s">
        <v>1120</v>
      </c>
      <c r="Y1653" t="str">
        <f>"0433820679"</f>
        <v>0433820679</v>
      </c>
      <c r="Z1653" t="s">
        <v>70</v>
      </c>
      <c r="AB1653" t="s">
        <v>417</v>
      </c>
      <c r="AD1653" t="s">
        <v>168</v>
      </c>
      <c r="AE1653" t="s">
        <v>384</v>
      </c>
      <c r="AF1653">
        <v>5000</v>
      </c>
      <c r="AI1653" t="s">
        <v>59</v>
      </c>
      <c r="AL1653" t="s">
        <v>4148</v>
      </c>
      <c r="AM1653" t="s">
        <v>4148</v>
      </c>
      <c r="AN1653" s="3">
        <v>46058.586805555555</v>
      </c>
      <c r="AO1653" t="s">
        <v>231</v>
      </c>
    </row>
    <row r="1654" spans="1:41" x14ac:dyDescent="0.3">
      <c r="A1654" t="s">
        <v>168</v>
      </c>
      <c r="B1654" t="s">
        <v>1021</v>
      </c>
      <c r="C1654" t="s">
        <v>216</v>
      </c>
      <c r="D1654" t="s">
        <v>127</v>
      </c>
      <c r="E1654" s="1">
        <v>46059</v>
      </c>
      <c r="F1654" t="s">
        <v>2113</v>
      </c>
      <c r="G1654" t="s">
        <v>128</v>
      </c>
      <c r="H1654" s="2">
        <v>0.54166666666666663</v>
      </c>
      <c r="I1654" s="2">
        <v>0.875</v>
      </c>
      <c r="J1654" t="s">
        <v>101</v>
      </c>
      <c r="L1654" t="s">
        <v>159</v>
      </c>
      <c r="M1654" t="s">
        <v>1023</v>
      </c>
      <c r="N1654" t="s">
        <v>1024</v>
      </c>
      <c r="O1654">
        <v>22730</v>
      </c>
      <c r="Q1654" t="s">
        <v>996</v>
      </c>
      <c r="R1654" t="s">
        <v>1026</v>
      </c>
      <c r="S1654" t="s">
        <v>52</v>
      </c>
      <c r="U1654">
        <v>889629</v>
      </c>
      <c r="V1654" s="3">
        <v>46057.739583333336</v>
      </c>
      <c r="W1654" t="s">
        <v>1027</v>
      </c>
      <c r="X1654" t="s">
        <v>1028</v>
      </c>
      <c r="Y1654" t="str">
        <f>"0402354674"</f>
        <v>0402354674</v>
      </c>
      <c r="Z1654" t="s">
        <v>70</v>
      </c>
      <c r="AB1654" t="s">
        <v>1029</v>
      </c>
      <c r="AD1654" t="s">
        <v>168</v>
      </c>
      <c r="AE1654" t="s">
        <v>1030</v>
      </c>
      <c r="AF1654">
        <v>5022</v>
      </c>
      <c r="AI1654" t="s">
        <v>59</v>
      </c>
      <c r="AL1654" t="s">
        <v>4149</v>
      </c>
      <c r="AN1654" s="3">
        <v>46059.772916666669</v>
      </c>
      <c r="AO1654" t="s">
        <v>1027</v>
      </c>
    </row>
    <row r="1655" spans="1:41" x14ac:dyDescent="0.3">
      <c r="A1655" t="s">
        <v>168</v>
      </c>
      <c r="B1655" t="s">
        <v>282</v>
      </c>
      <c r="C1655" t="s">
        <v>202</v>
      </c>
      <c r="D1655" t="s">
        <v>283</v>
      </c>
      <c r="E1655" s="1">
        <v>46059</v>
      </c>
      <c r="F1655" t="s">
        <v>2113</v>
      </c>
      <c r="G1655" t="s">
        <v>128</v>
      </c>
      <c r="H1655" s="2">
        <v>0.54166666666666663</v>
      </c>
      <c r="I1655" s="2">
        <v>0.83333333333333337</v>
      </c>
      <c r="J1655" t="s">
        <v>46</v>
      </c>
      <c r="K1655" t="s">
        <v>77</v>
      </c>
      <c r="L1655" t="s">
        <v>47</v>
      </c>
      <c r="M1655" t="s">
        <v>1858</v>
      </c>
      <c r="N1655" t="s">
        <v>1859</v>
      </c>
      <c r="O1655">
        <v>22247</v>
      </c>
      <c r="Q1655" t="s">
        <v>294</v>
      </c>
      <c r="R1655" t="s">
        <v>500</v>
      </c>
      <c r="S1655" t="s">
        <v>52</v>
      </c>
      <c r="U1655">
        <v>889637</v>
      </c>
      <c r="V1655" s="3">
        <v>46057.849305555559</v>
      </c>
      <c r="W1655" t="s">
        <v>1860</v>
      </c>
      <c r="X1655" t="s">
        <v>1861</v>
      </c>
      <c r="Y1655" t="str">
        <f>"0450244995"</f>
        <v>0450244995</v>
      </c>
      <c r="Z1655" t="s">
        <v>55</v>
      </c>
      <c r="AB1655" t="s">
        <v>291</v>
      </c>
      <c r="AC1655" t="s">
        <v>292</v>
      </c>
      <c r="AD1655" t="s">
        <v>168</v>
      </c>
      <c r="AE1655" t="s">
        <v>293</v>
      </c>
      <c r="AF1655">
        <v>5037</v>
      </c>
      <c r="AG1655" t="s">
        <v>294</v>
      </c>
      <c r="AI1655" t="s">
        <v>59</v>
      </c>
      <c r="AL1655" t="s">
        <v>4150</v>
      </c>
      <c r="AN1655" s="3">
        <v>46059.837500000001</v>
      </c>
      <c r="AO1655" t="s">
        <v>1860</v>
      </c>
    </row>
    <row r="1656" spans="1:41" x14ac:dyDescent="0.3">
      <c r="A1656" t="s">
        <v>168</v>
      </c>
      <c r="B1656" t="s">
        <v>376</v>
      </c>
      <c r="C1656" t="s">
        <v>216</v>
      </c>
      <c r="D1656" t="s">
        <v>1386</v>
      </c>
      <c r="E1656" s="1">
        <v>46059</v>
      </c>
      <c r="F1656" t="s">
        <v>2113</v>
      </c>
      <c r="G1656" t="s">
        <v>128</v>
      </c>
      <c r="H1656" s="2">
        <v>0.54166666666666663</v>
      </c>
      <c r="I1656" s="2">
        <v>0.875</v>
      </c>
      <c r="J1656" t="s">
        <v>101</v>
      </c>
      <c r="L1656" t="s">
        <v>159</v>
      </c>
      <c r="M1656" t="s">
        <v>217</v>
      </c>
      <c r="N1656" t="s">
        <v>218</v>
      </c>
      <c r="O1656">
        <v>32</v>
      </c>
      <c r="Q1656" t="s">
        <v>1389</v>
      </c>
      <c r="R1656" t="s">
        <v>1390</v>
      </c>
      <c r="S1656" t="s">
        <v>52</v>
      </c>
      <c r="U1656">
        <v>889623</v>
      </c>
      <c r="V1656" s="3">
        <v>46058.53125</v>
      </c>
      <c r="W1656" t="s">
        <v>220</v>
      </c>
      <c r="X1656" t="s">
        <v>221</v>
      </c>
      <c r="Y1656" t="str">
        <f>"0426797353"</f>
        <v>0426797353</v>
      </c>
      <c r="Z1656" t="s">
        <v>70</v>
      </c>
      <c r="AA1656" s="1">
        <v>46059</v>
      </c>
      <c r="AB1656" t="s">
        <v>383</v>
      </c>
      <c r="AD1656" t="s">
        <v>168</v>
      </c>
      <c r="AE1656" t="s">
        <v>384</v>
      </c>
      <c r="AF1656">
        <v>5000</v>
      </c>
      <c r="AI1656" t="s">
        <v>59</v>
      </c>
      <c r="AL1656" t="s">
        <v>4151</v>
      </c>
      <c r="AN1656" s="3">
        <v>46059.746527777781</v>
      </c>
      <c r="AO1656" t="s">
        <v>220</v>
      </c>
    </row>
    <row r="1657" spans="1:41" x14ac:dyDescent="0.3">
      <c r="A1657" t="s">
        <v>168</v>
      </c>
      <c r="B1657" t="s">
        <v>336</v>
      </c>
      <c r="D1657" t="s">
        <v>268</v>
      </c>
      <c r="E1657" s="1">
        <v>46059</v>
      </c>
      <c r="F1657" t="s">
        <v>2113</v>
      </c>
      <c r="G1657" t="s">
        <v>128</v>
      </c>
      <c r="H1657" s="2">
        <v>0.54166666666666663</v>
      </c>
      <c r="I1657" s="2">
        <v>0.89583333333333337</v>
      </c>
      <c r="J1657" t="s">
        <v>296</v>
      </c>
      <c r="K1657" t="s">
        <v>338</v>
      </c>
      <c r="L1657" t="s">
        <v>339</v>
      </c>
      <c r="M1657" t="s">
        <v>340</v>
      </c>
      <c r="N1657" t="s">
        <v>341</v>
      </c>
      <c r="O1657">
        <v>5951711</v>
      </c>
      <c r="P1657" t="s">
        <v>338</v>
      </c>
      <c r="Q1657" t="s">
        <v>342</v>
      </c>
      <c r="R1657" t="s">
        <v>176</v>
      </c>
      <c r="S1657" t="s">
        <v>52</v>
      </c>
      <c r="U1657">
        <v>889578</v>
      </c>
      <c r="V1657" s="3">
        <v>46042.581944444442</v>
      </c>
      <c r="W1657" t="s">
        <v>343</v>
      </c>
      <c r="X1657" t="s">
        <v>344</v>
      </c>
      <c r="Y1657" t="str">
        <f>"0422996486"</f>
        <v>0422996486</v>
      </c>
      <c r="Z1657" t="s">
        <v>375</v>
      </c>
      <c r="AA1657" s="1">
        <v>46059</v>
      </c>
      <c r="AB1657" t="s">
        <v>346</v>
      </c>
      <c r="AD1657" t="s">
        <v>168</v>
      </c>
      <c r="AE1657" t="s">
        <v>347</v>
      </c>
      <c r="AF1657">
        <v>5042</v>
      </c>
      <c r="AG1657" t="s">
        <v>342</v>
      </c>
      <c r="AI1657" t="s">
        <v>59</v>
      </c>
      <c r="AL1657" t="s">
        <v>4152</v>
      </c>
      <c r="AM1657" t="s">
        <v>349</v>
      </c>
      <c r="AN1657" s="3">
        <v>46059.56527777778</v>
      </c>
      <c r="AO1657" t="s">
        <v>343</v>
      </c>
    </row>
    <row r="1658" spans="1:41" x14ac:dyDescent="0.3">
      <c r="A1658" t="s">
        <v>61</v>
      </c>
      <c r="B1658" t="s">
        <v>182</v>
      </c>
      <c r="C1658" t="s">
        <v>100</v>
      </c>
      <c r="D1658" t="s">
        <v>184</v>
      </c>
      <c r="E1658" s="1">
        <v>46059</v>
      </c>
      <c r="F1658" t="s">
        <v>2113</v>
      </c>
      <c r="G1658" t="s">
        <v>128</v>
      </c>
      <c r="H1658" s="2">
        <v>0.54166666666666663</v>
      </c>
      <c r="I1658" s="2">
        <v>0.89583333333333337</v>
      </c>
      <c r="J1658" t="s">
        <v>100</v>
      </c>
      <c r="L1658" t="s">
        <v>100</v>
      </c>
      <c r="M1658" t="s">
        <v>2327</v>
      </c>
      <c r="N1658" t="s">
        <v>2328</v>
      </c>
      <c r="O1658">
        <v>21018</v>
      </c>
      <c r="Q1658" t="s">
        <v>1190</v>
      </c>
      <c r="R1658" t="s">
        <v>67</v>
      </c>
      <c r="S1658" t="s">
        <v>52</v>
      </c>
      <c r="U1658">
        <v>889633</v>
      </c>
      <c r="V1658" s="3">
        <v>46044.34097222222</v>
      </c>
      <c r="W1658" t="s">
        <v>2329</v>
      </c>
      <c r="X1658" t="s">
        <v>2330</v>
      </c>
      <c r="Y1658" t="str">
        <f>"0470381674"</f>
        <v>0470381674</v>
      </c>
      <c r="Z1658" t="s">
        <v>4153</v>
      </c>
      <c r="AB1658" t="s">
        <v>193</v>
      </c>
      <c r="AD1658" t="s">
        <v>61</v>
      </c>
      <c r="AE1658" t="s">
        <v>194</v>
      </c>
      <c r="AF1658">
        <v>2229</v>
      </c>
      <c r="AG1658" t="s">
        <v>1045</v>
      </c>
      <c r="AI1658" t="s">
        <v>59</v>
      </c>
      <c r="AL1658" t="s">
        <v>3887</v>
      </c>
      <c r="AN1658" s="3">
        <v>46059.807638888888</v>
      </c>
      <c r="AO1658" t="s">
        <v>2329</v>
      </c>
    </row>
    <row r="1659" spans="1:41" x14ac:dyDescent="0.3">
      <c r="A1659" t="s">
        <v>61</v>
      </c>
      <c r="B1659" t="s">
        <v>1937</v>
      </c>
      <c r="C1659" t="s">
        <v>100</v>
      </c>
      <c r="D1659" t="s">
        <v>184</v>
      </c>
      <c r="E1659" s="1">
        <v>46059</v>
      </c>
      <c r="F1659" t="s">
        <v>2113</v>
      </c>
      <c r="G1659" t="s">
        <v>128</v>
      </c>
      <c r="H1659" s="2">
        <v>0.5625</v>
      </c>
      <c r="I1659" s="2">
        <v>0.91666666666666663</v>
      </c>
      <c r="J1659" t="s">
        <v>100</v>
      </c>
      <c r="L1659" t="s">
        <v>100</v>
      </c>
      <c r="M1659" t="s">
        <v>1938</v>
      </c>
      <c r="N1659" t="s">
        <v>1939</v>
      </c>
      <c r="O1659">
        <v>5951653</v>
      </c>
      <c r="Q1659" t="s">
        <v>1087</v>
      </c>
      <c r="R1659" t="s">
        <v>67</v>
      </c>
      <c r="S1659" t="s">
        <v>52</v>
      </c>
      <c r="U1659">
        <v>889660</v>
      </c>
      <c r="V1659" s="3">
        <v>46051.433333333334</v>
      </c>
      <c r="W1659" t="s">
        <v>1940</v>
      </c>
      <c r="X1659" t="s">
        <v>1941</v>
      </c>
      <c r="Y1659" t="str">
        <f>"0422928911"</f>
        <v>0422928911</v>
      </c>
      <c r="Z1659" t="s">
        <v>2531</v>
      </c>
      <c r="AB1659" t="s">
        <v>1942</v>
      </c>
      <c r="AD1659" t="s">
        <v>61</v>
      </c>
      <c r="AE1659" t="s">
        <v>1943</v>
      </c>
      <c r="AF1659">
        <v>2065</v>
      </c>
      <c r="AG1659" t="s">
        <v>1087</v>
      </c>
      <c r="AI1659" t="s">
        <v>59</v>
      </c>
      <c r="AL1659" t="s">
        <v>3887</v>
      </c>
      <c r="AN1659" s="3">
        <v>46060.036111111112</v>
      </c>
      <c r="AO1659" t="s">
        <v>1940</v>
      </c>
    </row>
    <row r="1660" spans="1:41" x14ac:dyDescent="0.3">
      <c r="A1660" t="s">
        <v>168</v>
      </c>
      <c r="B1660" t="s">
        <v>376</v>
      </c>
      <c r="C1660" t="s">
        <v>202</v>
      </c>
      <c r="D1660" t="s">
        <v>127</v>
      </c>
      <c r="E1660" s="1">
        <v>46059</v>
      </c>
      <c r="F1660" t="s">
        <v>2113</v>
      </c>
      <c r="G1660" t="s">
        <v>128</v>
      </c>
      <c r="H1660" s="2">
        <v>0.58333333333333337</v>
      </c>
      <c r="I1660" s="2">
        <v>0.91666666666666663</v>
      </c>
      <c r="J1660" t="s">
        <v>46</v>
      </c>
      <c r="L1660" t="s">
        <v>47</v>
      </c>
      <c r="M1660" t="s">
        <v>1603</v>
      </c>
      <c r="N1660" t="s">
        <v>1604</v>
      </c>
      <c r="O1660">
        <v>5952018</v>
      </c>
      <c r="Q1660" t="s">
        <v>670</v>
      </c>
      <c r="R1660" t="s">
        <v>1390</v>
      </c>
      <c r="S1660" t="s">
        <v>52</v>
      </c>
      <c r="U1660">
        <v>889650</v>
      </c>
      <c r="V1660" s="3">
        <v>46050.586111111108</v>
      </c>
      <c r="W1660" t="s">
        <v>1606</v>
      </c>
      <c r="X1660" t="s">
        <v>1607</v>
      </c>
      <c r="Y1660" t="str">
        <f>"0415208433"</f>
        <v>0415208433</v>
      </c>
      <c r="Z1660" t="s">
        <v>70</v>
      </c>
      <c r="AA1660" s="1">
        <v>46059</v>
      </c>
      <c r="AB1660" t="s">
        <v>383</v>
      </c>
      <c r="AD1660" t="s">
        <v>168</v>
      </c>
      <c r="AE1660" t="s">
        <v>384</v>
      </c>
      <c r="AF1660">
        <v>5000</v>
      </c>
      <c r="AI1660" t="s">
        <v>59</v>
      </c>
      <c r="AL1660" t="s">
        <v>4154</v>
      </c>
      <c r="AM1660" t="s">
        <v>3325</v>
      </c>
      <c r="AN1660" s="3">
        <v>46059.879861111112</v>
      </c>
      <c r="AO1660" t="s">
        <v>1606</v>
      </c>
    </row>
    <row r="1661" spans="1:41" x14ac:dyDescent="0.3">
      <c r="A1661" t="s">
        <v>75</v>
      </c>
      <c r="B1661" t="s">
        <v>895</v>
      </c>
      <c r="C1661" t="s">
        <v>1621</v>
      </c>
      <c r="D1661" t="s">
        <v>184</v>
      </c>
      <c r="E1661" s="1">
        <v>46059</v>
      </c>
      <c r="F1661" t="s">
        <v>2113</v>
      </c>
      <c r="G1661" t="s">
        <v>128</v>
      </c>
      <c r="H1661" s="2">
        <v>0.58333333333333337</v>
      </c>
      <c r="I1661" s="2">
        <v>0.91666666666666663</v>
      </c>
      <c r="J1661" t="s">
        <v>296</v>
      </c>
      <c r="L1661" t="s">
        <v>1453</v>
      </c>
      <c r="M1661" t="s">
        <v>1622</v>
      </c>
      <c r="N1661" t="s">
        <v>1623</v>
      </c>
      <c r="O1661">
        <v>5952211</v>
      </c>
      <c r="Q1661" t="s">
        <v>1179</v>
      </c>
      <c r="R1661" t="s">
        <v>500</v>
      </c>
      <c r="S1661" t="s">
        <v>52</v>
      </c>
      <c r="U1661">
        <v>889661</v>
      </c>
      <c r="V1661" s="3">
        <v>46042.807638888888</v>
      </c>
      <c r="W1661" t="s">
        <v>1624</v>
      </c>
      <c r="X1661" t="s">
        <v>1625</v>
      </c>
      <c r="Y1661" t="str">
        <f>"0494406921"</f>
        <v>0494406921</v>
      </c>
      <c r="Z1661" t="s">
        <v>2595</v>
      </c>
      <c r="AB1661" t="s">
        <v>902</v>
      </c>
      <c r="AD1661" t="s">
        <v>75</v>
      </c>
      <c r="AE1661" t="s">
        <v>903</v>
      </c>
      <c r="AF1661">
        <v>6009</v>
      </c>
      <c r="AG1661" t="s">
        <v>1179</v>
      </c>
      <c r="AI1661" t="s">
        <v>59</v>
      </c>
      <c r="AL1661" t="s">
        <v>1626</v>
      </c>
      <c r="AN1661" s="3">
        <v>46060.084027777775</v>
      </c>
      <c r="AO1661" t="s">
        <v>1624</v>
      </c>
    </row>
    <row r="1662" spans="1:41" x14ac:dyDescent="0.3">
      <c r="A1662" t="s">
        <v>168</v>
      </c>
      <c r="B1662" t="s">
        <v>400</v>
      </c>
      <c r="C1662" t="s">
        <v>100</v>
      </c>
      <c r="D1662" t="s">
        <v>401</v>
      </c>
      <c r="E1662" s="1">
        <v>46059</v>
      </c>
      <c r="F1662" t="s">
        <v>2113</v>
      </c>
      <c r="G1662" t="s">
        <v>128</v>
      </c>
      <c r="H1662" s="2">
        <v>0.58333333333333337</v>
      </c>
      <c r="I1662" s="2">
        <v>0.91666666666666663</v>
      </c>
      <c r="J1662" t="s">
        <v>100</v>
      </c>
      <c r="L1662" t="s">
        <v>100</v>
      </c>
      <c r="M1662" t="s">
        <v>4155</v>
      </c>
      <c r="N1662" t="s">
        <v>4156</v>
      </c>
      <c r="O1662">
        <v>22890</v>
      </c>
      <c r="Q1662" t="s">
        <v>2281</v>
      </c>
      <c r="R1662" t="s">
        <v>231</v>
      </c>
      <c r="S1662" t="s">
        <v>52</v>
      </c>
      <c r="U1662">
        <v>889655</v>
      </c>
      <c r="V1662" s="3">
        <v>46050.664583333331</v>
      </c>
      <c r="W1662" t="s">
        <v>4157</v>
      </c>
      <c r="X1662" t="s">
        <v>4158</v>
      </c>
      <c r="Y1662" t="str">
        <f>"0402525916"</f>
        <v>0402525916</v>
      </c>
      <c r="Z1662" t="s">
        <v>984</v>
      </c>
      <c r="AB1662" t="s">
        <v>407</v>
      </c>
      <c r="AD1662" t="s">
        <v>168</v>
      </c>
      <c r="AE1662" t="s">
        <v>347</v>
      </c>
      <c r="AF1662">
        <v>5042</v>
      </c>
      <c r="AG1662" t="s">
        <v>1662</v>
      </c>
      <c r="AI1662" t="s">
        <v>59</v>
      </c>
      <c r="AL1662" t="s">
        <v>3844</v>
      </c>
      <c r="AM1662" t="s">
        <v>2752</v>
      </c>
      <c r="AN1662" s="3">
        <v>46059.931944444441</v>
      </c>
      <c r="AO1662" t="s">
        <v>4157</v>
      </c>
    </row>
    <row r="1663" spans="1:41" x14ac:dyDescent="0.3">
      <c r="A1663" t="s">
        <v>306</v>
      </c>
      <c r="B1663" t="s">
        <v>386</v>
      </c>
      <c r="C1663" t="s">
        <v>387</v>
      </c>
      <c r="D1663" t="s">
        <v>388</v>
      </c>
      <c r="E1663" s="1">
        <v>46059</v>
      </c>
      <c r="F1663" t="s">
        <v>2113</v>
      </c>
      <c r="G1663" t="s">
        <v>128</v>
      </c>
      <c r="H1663" s="2">
        <v>0.58333333333333337</v>
      </c>
      <c r="I1663" s="2">
        <v>0.91666666666666663</v>
      </c>
      <c r="J1663" t="s">
        <v>389</v>
      </c>
      <c r="L1663" t="s">
        <v>298</v>
      </c>
      <c r="M1663" t="s">
        <v>195</v>
      </c>
      <c r="N1663" t="s">
        <v>390</v>
      </c>
      <c r="O1663">
        <v>5951661</v>
      </c>
      <c r="P1663" t="s">
        <v>249</v>
      </c>
      <c r="Q1663" t="s">
        <v>391</v>
      </c>
      <c r="R1663" t="s">
        <v>392</v>
      </c>
      <c r="S1663" t="s">
        <v>52</v>
      </c>
      <c r="T1663" t="s">
        <v>252</v>
      </c>
      <c r="U1663">
        <v>889999</v>
      </c>
      <c r="V1663" s="3">
        <v>46063.614583333336</v>
      </c>
      <c r="W1663" t="s">
        <v>393</v>
      </c>
      <c r="X1663" t="s">
        <v>394</v>
      </c>
      <c r="Y1663" t="str">
        <f>"0427371732"</f>
        <v>0427371732</v>
      </c>
      <c r="Z1663" t="s">
        <v>375</v>
      </c>
      <c r="AA1663" s="1">
        <v>46141</v>
      </c>
      <c r="AB1663" t="s">
        <v>396</v>
      </c>
      <c r="AD1663" t="s">
        <v>397</v>
      </c>
      <c r="AE1663" t="s">
        <v>398</v>
      </c>
      <c r="AF1663">
        <v>7919</v>
      </c>
      <c r="AG1663" t="s">
        <v>399</v>
      </c>
      <c r="AI1663" t="s">
        <v>59</v>
      </c>
      <c r="AJ1663" t="str">
        <f>"0090000067"</f>
        <v>0090000067</v>
      </c>
      <c r="AN1663" s="3">
        <v>46063.614583333336</v>
      </c>
      <c r="AO1663" t="s">
        <v>392</v>
      </c>
    </row>
    <row r="1664" spans="1:41" x14ac:dyDescent="0.3">
      <c r="A1664" t="s">
        <v>168</v>
      </c>
      <c r="B1664" t="s">
        <v>376</v>
      </c>
      <c r="C1664" t="s">
        <v>43</v>
      </c>
      <c r="D1664" t="s">
        <v>127</v>
      </c>
      <c r="E1664" s="1">
        <v>46059</v>
      </c>
      <c r="F1664" t="s">
        <v>2113</v>
      </c>
      <c r="G1664" t="s">
        <v>128</v>
      </c>
      <c r="H1664" s="2">
        <v>0.58333333333333337</v>
      </c>
      <c r="I1664" s="2">
        <v>0.875</v>
      </c>
      <c r="J1664" t="s">
        <v>185</v>
      </c>
      <c r="K1664" t="s">
        <v>1507</v>
      </c>
      <c r="L1664" t="s">
        <v>186</v>
      </c>
      <c r="M1664" t="s">
        <v>2993</v>
      </c>
      <c r="N1664" t="s">
        <v>2994</v>
      </c>
      <c r="O1664">
        <v>5951300</v>
      </c>
      <c r="Q1664" t="s">
        <v>670</v>
      </c>
      <c r="R1664" t="s">
        <v>231</v>
      </c>
      <c r="S1664" t="s">
        <v>52</v>
      </c>
      <c r="U1664">
        <v>889631</v>
      </c>
      <c r="V1664" s="3">
        <v>46008.606944444444</v>
      </c>
      <c r="W1664" t="s">
        <v>2995</v>
      </c>
      <c r="X1664" t="s">
        <v>2996</v>
      </c>
      <c r="Y1664" t="str">
        <f>"0477226004"</f>
        <v>0477226004</v>
      </c>
      <c r="Z1664" t="s">
        <v>4159</v>
      </c>
      <c r="AB1664" t="s">
        <v>383</v>
      </c>
      <c r="AD1664" t="s">
        <v>168</v>
      </c>
      <c r="AE1664" t="s">
        <v>384</v>
      </c>
      <c r="AF1664">
        <v>5000</v>
      </c>
      <c r="AG1664" t="s">
        <v>674</v>
      </c>
      <c r="AI1664" t="s">
        <v>59</v>
      </c>
      <c r="AL1664" t="s">
        <v>4160</v>
      </c>
      <c r="AN1664" s="3">
        <v>46059.78402777778</v>
      </c>
      <c r="AO1664" t="s">
        <v>2995</v>
      </c>
    </row>
    <row r="1665" spans="1:41" x14ac:dyDescent="0.3">
      <c r="A1665" t="s">
        <v>168</v>
      </c>
      <c r="B1665" t="s">
        <v>376</v>
      </c>
      <c r="C1665" t="s">
        <v>100</v>
      </c>
      <c r="D1665" t="s">
        <v>127</v>
      </c>
      <c r="E1665" s="1">
        <v>46059</v>
      </c>
      <c r="F1665" t="s">
        <v>2113</v>
      </c>
      <c r="G1665" t="s">
        <v>128</v>
      </c>
      <c r="H1665" s="2">
        <v>0.58333333333333337</v>
      </c>
      <c r="I1665" s="2">
        <v>0.875</v>
      </c>
      <c r="J1665" t="s">
        <v>100</v>
      </c>
      <c r="L1665" t="s">
        <v>100</v>
      </c>
      <c r="M1665" t="s">
        <v>2288</v>
      </c>
      <c r="N1665" t="s">
        <v>2289</v>
      </c>
      <c r="O1665">
        <v>5951792</v>
      </c>
      <c r="Q1665" t="s">
        <v>670</v>
      </c>
      <c r="R1665" t="s">
        <v>380</v>
      </c>
      <c r="S1665" t="s">
        <v>52</v>
      </c>
      <c r="U1665">
        <v>889652</v>
      </c>
      <c r="V1665" s="3">
        <v>46045.364583333336</v>
      </c>
      <c r="W1665" t="s">
        <v>2290</v>
      </c>
      <c r="X1665" t="s">
        <v>2291</v>
      </c>
      <c r="Y1665" t="str">
        <f>"0402715058"</f>
        <v>0402715058</v>
      </c>
      <c r="Z1665" t="s">
        <v>545</v>
      </c>
      <c r="AA1665" s="1">
        <v>46059</v>
      </c>
      <c r="AB1665" t="s">
        <v>383</v>
      </c>
      <c r="AD1665" t="s">
        <v>168</v>
      </c>
      <c r="AE1665" t="s">
        <v>384</v>
      </c>
      <c r="AF1665">
        <v>5000</v>
      </c>
      <c r="AI1665" t="s">
        <v>59</v>
      </c>
      <c r="AL1665" t="s">
        <v>385</v>
      </c>
      <c r="AN1665" s="3">
        <v>46059.890277777777</v>
      </c>
      <c r="AO1665" t="s">
        <v>2290</v>
      </c>
    </row>
    <row r="1666" spans="1:41" x14ac:dyDescent="0.3">
      <c r="A1666" t="s">
        <v>75</v>
      </c>
      <c r="B1666" t="s">
        <v>895</v>
      </c>
      <c r="C1666" t="s">
        <v>896</v>
      </c>
      <c r="D1666" t="s">
        <v>184</v>
      </c>
      <c r="E1666" s="1">
        <v>46059</v>
      </c>
      <c r="F1666" t="s">
        <v>2113</v>
      </c>
      <c r="G1666" t="s">
        <v>128</v>
      </c>
      <c r="H1666" s="2">
        <v>0.58333333333333337</v>
      </c>
      <c r="I1666" s="2">
        <v>0.83333333333333337</v>
      </c>
      <c r="J1666" t="s">
        <v>46</v>
      </c>
      <c r="L1666" t="s">
        <v>47</v>
      </c>
      <c r="M1666" t="s">
        <v>4161</v>
      </c>
      <c r="N1666" t="s">
        <v>4162</v>
      </c>
      <c r="O1666">
        <v>5952303</v>
      </c>
      <c r="Q1666" t="s">
        <v>4163</v>
      </c>
      <c r="R1666" t="s">
        <v>556</v>
      </c>
      <c r="S1666" t="s">
        <v>52</v>
      </c>
      <c r="U1666">
        <v>889656</v>
      </c>
      <c r="V1666" s="3">
        <v>46057.886111111111</v>
      </c>
      <c r="W1666" t="s">
        <v>4164</v>
      </c>
      <c r="X1666" t="s">
        <v>4165</v>
      </c>
      <c r="Y1666" t="str">
        <f>"0435013273"</f>
        <v>0435013273</v>
      </c>
      <c r="Z1666" t="s">
        <v>70</v>
      </c>
      <c r="AB1666" t="s">
        <v>902</v>
      </c>
      <c r="AD1666" t="s">
        <v>75</v>
      </c>
      <c r="AE1666" t="s">
        <v>903</v>
      </c>
      <c r="AF1666">
        <v>6009</v>
      </c>
      <c r="AG1666" t="s">
        <v>960</v>
      </c>
      <c r="AI1666" t="s">
        <v>59</v>
      </c>
      <c r="AL1666" t="s">
        <v>4166</v>
      </c>
      <c r="AN1666" s="3">
        <v>46059.932638888888</v>
      </c>
      <c r="AO1666" t="s">
        <v>4164</v>
      </c>
    </row>
    <row r="1667" spans="1:41" x14ac:dyDescent="0.3">
      <c r="A1667" t="s">
        <v>168</v>
      </c>
      <c r="B1667" t="s">
        <v>400</v>
      </c>
      <c r="C1667" t="s">
        <v>100</v>
      </c>
      <c r="D1667" t="s">
        <v>401</v>
      </c>
      <c r="E1667" s="1">
        <v>46059</v>
      </c>
      <c r="F1667" t="s">
        <v>2113</v>
      </c>
      <c r="G1667" t="s">
        <v>128</v>
      </c>
      <c r="H1667" s="2">
        <v>0.58333333333333337</v>
      </c>
      <c r="I1667" s="2">
        <v>0.91666666666666663</v>
      </c>
      <c r="J1667" t="s">
        <v>100</v>
      </c>
      <c r="L1667" t="s">
        <v>100</v>
      </c>
      <c r="M1667" t="s">
        <v>402</v>
      </c>
      <c r="N1667" t="s">
        <v>403</v>
      </c>
      <c r="O1667">
        <v>21398</v>
      </c>
      <c r="Q1667" t="s">
        <v>404</v>
      </c>
      <c r="R1667" t="s">
        <v>231</v>
      </c>
      <c r="S1667" t="s">
        <v>52</v>
      </c>
      <c r="U1667">
        <v>889657</v>
      </c>
      <c r="V1667" s="3">
        <v>46058.573611111111</v>
      </c>
      <c r="W1667" t="s">
        <v>405</v>
      </c>
      <c r="X1667" t="s">
        <v>406</v>
      </c>
      <c r="Y1667" t="str">
        <f>"0423877972"</f>
        <v>0423877972</v>
      </c>
      <c r="Z1667" t="s">
        <v>70</v>
      </c>
      <c r="AA1667" s="1">
        <v>46059</v>
      </c>
      <c r="AB1667" t="s">
        <v>407</v>
      </c>
      <c r="AD1667" t="s">
        <v>168</v>
      </c>
      <c r="AE1667" t="s">
        <v>347</v>
      </c>
      <c r="AF1667">
        <v>5042</v>
      </c>
      <c r="AG1667" t="s">
        <v>1662</v>
      </c>
      <c r="AI1667" t="s">
        <v>59</v>
      </c>
      <c r="AL1667" t="s">
        <v>4167</v>
      </c>
      <c r="AN1667" s="3">
        <v>46059.934027777781</v>
      </c>
      <c r="AO1667" t="s">
        <v>405</v>
      </c>
    </row>
    <row r="1668" spans="1:41" x14ac:dyDescent="0.3">
      <c r="A1668" t="s">
        <v>168</v>
      </c>
      <c r="B1668" t="s">
        <v>1963</v>
      </c>
      <c r="C1668" t="s">
        <v>602</v>
      </c>
      <c r="D1668" t="s">
        <v>401</v>
      </c>
      <c r="E1668" s="1">
        <v>46059</v>
      </c>
      <c r="F1668" t="s">
        <v>2113</v>
      </c>
      <c r="G1668" t="s">
        <v>128</v>
      </c>
      <c r="H1668" s="2">
        <v>0.60416666666666663</v>
      </c>
      <c r="I1668" s="2">
        <v>0.9375</v>
      </c>
      <c r="J1668" t="s">
        <v>269</v>
      </c>
      <c r="L1668" t="s">
        <v>172</v>
      </c>
      <c r="M1668" t="s">
        <v>173</v>
      </c>
      <c r="N1668" t="s">
        <v>174</v>
      </c>
      <c r="O1668">
        <v>300006</v>
      </c>
      <c r="Q1668" t="s">
        <v>3697</v>
      </c>
      <c r="R1668" t="s">
        <v>231</v>
      </c>
      <c r="S1668" t="s">
        <v>52</v>
      </c>
      <c r="U1668">
        <v>889654</v>
      </c>
      <c r="V1668" s="3">
        <v>46059.388888888891</v>
      </c>
      <c r="W1668" t="s">
        <v>177</v>
      </c>
      <c r="X1668" t="s">
        <v>178</v>
      </c>
      <c r="Y1668" t="str">
        <f>"0430966876"</f>
        <v>0430966876</v>
      </c>
      <c r="Z1668" t="s">
        <v>84</v>
      </c>
      <c r="AA1668" s="1">
        <v>46059</v>
      </c>
      <c r="AB1668" t="s">
        <v>1967</v>
      </c>
      <c r="AD1668" t="s">
        <v>168</v>
      </c>
      <c r="AE1668" t="s">
        <v>1968</v>
      </c>
      <c r="AF1668">
        <v>5000</v>
      </c>
      <c r="AG1668" t="s">
        <v>3697</v>
      </c>
      <c r="AI1668" t="s">
        <v>59</v>
      </c>
      <c r="AL1668" t="s">
        <v>4168</v>
      </c>
      <c r="AN1668" s="3">
        <v>46059.915972222225</v>
      </c>
      <c r="AO1668" t="s">
        <v>177</v>
      </c>
    </row>
    <row r="1669" spans="1:41" x14ac:dyDescent="0.3">
      <c r="A1669" t="s">
        <v>41</v>
      </c>
      <c r="B1669" t="s">
        <v>589</v>
      </c>
      <c r="C1669" t="s">
        <v>590</v>
      </c>
      <c r="D1669" t="s">
        <v>246</v>
      </c>
      <c r="E1669" s="1">
        <v>46059</v>
      </c>
      <c r="F1669" t="s">
        <v>2113</v>
      </c>
      <c r="G1669" t="s">
        <v>128</v>
      </c>
      <c r="H1669" s="2">
        <v>0.60416666666666663</v>
      </c>
      <c r="I1669" s="2">
        <v>0.95833333333333337</v>
      </c>
      <c r="J1669" t="s">
        <v>591</v>
      </c>
      <c r="L1669" t="s">
        <v>592</v>
      </c>
      <c r="M1669" t="s">
        <v>593</v>
      </c>
      <c r="N1669" t="s">
        <v>594</v>
      </c>
      <c r="O1669">
        <v>5952427</v>
      </c>
      <c r="P1669" t="s">
        <v>249</v>
      </c>
      <c r="Q1669" t="s">
        <v>596</v>
      </c>
      <c r="R1669" t="s">
        <v>392</v>
      </c>
      <c r="S1669" t="s">
        <v>52</v>
      </c>
      <c r="T1669" t="s">
        <v>252</v>
      </c>
      <c r="U1669">
        <v>889908</v>
      </c>
      <c r="V1669" s="3">
        <v>46062.880555555559</v>
      </c>
      <c r="W1669" t="s">
        <v>597</v>
      </c>
      <c r="X1669" t="s">
        <v>598</v>
      </c>
      <c r="Y1669" t="str">
        <f>"0432677728"</f>
        <v>0432677728</v>
      </c>
      <c r="Z1669" t="s">
        <v>345</v>
      </c>
      <c r="AA1669" s="1">
        <v>46082</v>
      </c>
      <c r="AB1669" t="s">
        <v>599</v>
      </c>
      <c r="AC1669" t="s">
        <v>600</v>
      </c>
      <c r="AD1669" t="s">
        <v>41</v>
      </c>
      <c r="AE1669" t="s">
        <v>600</v>
      </c>
      <c r="AF1669">
        <v>4610</v>
      </c>
      <c r="AG1669" t="s">
        <v>601</v>
      </c>
      <c r="AI1669" t="s">
        <v>59</v>
      </c>
      <c r="AJ1669" t="str">
        <f>"0050075752"</f>
        <v>0050075752</v>
      </c>
      <c r="AN1669" s="3">
        <v>46062.880555555559</v>
      </c>
      <c r="AO1669" t="s">
        <v>392</v>
      </c>
    </row>
    <row r="1670" spans="1:41" x14ac:dyDescent="0.3">
      <c r="A1670" t="s">
        <v>41</v>
      </c>
      <c r="B1670" t="s">
        <v>426</v>
      </c>
      <c r="C1670" t="s">
        <v>296</v>
      </c>
      <c r="D1670" t="s">
        <v>246</v>
      </c>
      <c r="E1670" s="1">
        <v>46059</v>
      </c>
      <c r="F1670" t="s">
        <v>2113</v>
      </c>
      <c r="G1670" t="s">
        <v>128</v>
      </c>
      <c r="H1670" s="2">
        <v>0.60416666666666663</v>
      </c>
      <c r="I1670" s="2">
        <v>0.95833333333333337</v>
      </c>
      <c r="J1670" t="s">
        <v>296</v>
      </c>
      <c r="K1670" t="s">
        <v>427</v>
      </c>
      <c r="L1670" t="s">
        <v>428</v>
      </c>
      <c r="M1670" t="s">
        <v>429</v>
      </c>
      <c r="N1670" t="s">
        <v>430</v>
      </c>
      <c r="O1670">
        <v>5950727</v>
      </c>
      <c r="Q1670" t="s">
        <v>431</v>
      </c>
      <c r="R1670" t="s">
        <v>51</v>
      </c>
      <c r="S1670" t="s">
        <v>52</v>
      </c>
      <c r="U1670">
        <v>889658</v>
      </c>
      <c r="V1670" s="3">
        <v>46059.397222222222</v>
      </c>
      <c r="W1670" t="s">
        <v>432</v>
      </c>
      <c r="X1670" t="s">
        <v>433</v>
      </c>
      <c r="Y1670" t="str">
        <f>"0420946792"</f>
        <v>0420946792</v>
      </c>
      <c r="Z1670" t="s">
        <v>70</v>
      </c>
      <c r="AA1670" s="1">
        <v>46059</v>
      </c>
      <c r="AB1670" t="s">
        <v>434</v>
      </c>
      <c r="AD1670" t="s">
        <v>41</v>
      </c>
      <c r="AE1670" t="s">
        <v>435</v>
      </c>
      <c r="AF1670">
        <v>4163</v>
      </c>
      <c r="AG1670" t="s">
        <v>431</v>
      </c>
      <c r="AI1670" t="s">
        <v>59</v>
      </c>
      <c r="AL1670" t="s">
        <v>4169</v>
      </c>
      <c r="AN1670" s="3">
        <v>46059.996527777781</v>
      </c>
      <c r="AO1670" t="s">
        <v>432</v>
      </c>
    </row>
    <row r="1671" spans="1:41" x14ac:dyDescent="0.3">
      <c r="A1671" t="s">
        <v>306</v>
      </c>
      <c r="B1671" t="s">
        <v>450</v>
      </c>
      <c r="C1671" t="s">
        <v>100</v>
      </c>
      <c r="D1671" t="s">
        <v>63</v>
      </c>
      <c r="E1671" s="1">
        <v>46059</v>
      </c>
      <c r="F1671" t="s">
        <v>2113</v>
      </c>
      <c r="G1671" t="s">
        <v>128</v>
      </c>
      <c r="H1671" s="2">
        <v>0.625</v>
      </c>
      <c r="I1671" s="2">
        <v>0.91666666666666663</v>
      </c>
      <c r="J1671" t="s">
        <v>451</v>
      </c>
      <c r="L1671" t="s">
        <v>452</v>
      </c>
      <c r="M1671" t="s">
        <v>1122</v>
      </c>
      <c r="N1671" t="s">
        <v>1123</v>
      </c>
      <c r="O1671">
        <v>5951585</v>
      </c>
      <c r="Q1671" t="s">
        <v>455</v>
      </c>
      <c r="R1671" t="s">
        <v>476</v>
      </c>
      <c r="S1671" t="s">
        <v>52</v>
      </c>
      <c r="U1671">
        <v>889653</v>
      </c>
      <c r="V1671" s="3">
        <v>46057.543055555558</v>
      </c>
      <c r="W1671" t="s">
        <v>1124</v>
      </c>
      <c r="X1671" t="s">
        <v>1125</v>
      </c>
      <c r="Y1671" t="str">
        <f>"0406622986"</f>
        <v>0406622986</v>
      </c>
      <c r="Z1671" t="s">
        <v>70</v>
      </c>
      <c r="AA1671" s="1">
        <v>46059</v>
      </c>
      <c r="AB1671" t="s">
        <v>459</v>
      </c>
      <c r="AD1671" t="s">
        <v>306</v>
      </c>
      <c r="AE1671" t="s">
        <v>460</v>
      </c>
      <c r="AF1671">
        <v>3058</v>
      </c>
      <c r="AG1671" t="s">
        <v>455</v>
      </c>
      <c r="AI1671" t="s">
        <v>59</v>
      </c>
      <c r="AL1671" t="s">
        <v>87</v>
      </c>
      <c r="AN1671" s="3">
        <v>46059.915972222225</v>
      </c>
      <c r="AO1671" t="s">
        <v>1124</v>
      </c>
    </row>
    <row r="1672" spans="1:41" x14ac:dyDescent="0.3">
      <c r="A1672" t="s">
        <v>168</v>
      </c>
      <c r="B1672" t="s">
        <v>1178</v>
      </c>
      <c r="C1672" t="s">
        <v>100</v>
      </c>
      <c r="D1672" t="s">
        <v>127</v>
      </c>
      <c r="E1672" s="1">
        <v>46059</v>
      </c>
      <c r="F1672" t="s">
        <v>2113</v>
      </c>
      <c r="G1672" t="s">
        <v>128</v>
      </c>
      <c r="H1672" s="2">
        <v>0.625</v>
      </c>
      <c r="I1672" s="2">
        <v>0.83333333333333337</v>
      </c>
      <c r="J1672" t="s">
        <v>100</v>
      </c>
      <c r="L1672" t="s">
        <v>100</v>
      </c>
      <c r="M1672" t="s">
        <v>2768</v>
      </c>
      <c r="N1672" t="s">
        <v>2769</v>
      </c>
      <c r="O1672">
        <v>20874</v>
      </c>
      <c r="Q1672" t="s">
        <v>3179</v>
      </c>
      <c r="R1672" t="s">
        <v>231</v>
      </c>
      <c r="S1672" t="s">
        <v>52</v>
      </c>
      <c r="U1672">
        <v>889638</v>
      </c>
      <c r="V1672" s="3">
        <v>46057.577777777777</v>
      </c>
      <c r="W1672" t="s">
        <v>2770</v>
      </c>
      <c r="X1672" t="s">
        <v>2771</v>
      </c>
      <c r="Y1672" t="str">
        <f>"0403681516"</f>
        <v>0403681516</v>
      </c>
      <c r="Z1672" t="s">
        <v>70</v>
      </c>
      <c r="AA1672" s="1">
        <v>46059</v>
      </c>
      <c r="AB1672" t="s">
        <v>1184</v>
      </c>
      <c r="AD1672" t="s">
        <v>168</v>
      </c>
      <c r="AE1672" t="s">
        <v>1185</v>
      </c>
      <c r="AF1672">
        <v>5066</v>
      </c>
      <c r="AG1672" t="s">
        <v>3179</v>
      </c>
      <c r="AI1672" t="s">
        <v>59</v>
      </c>
      <c r="AL1672" t="s">
        <v>4170</v>
      </c>
      <c r="AN1672" s="3">
        <v>46059.849305555559</v>
      </c>
      <c r="AO1672" t="s">
        <v>2770</v>
      </c>
    </row>
    <row r="1673" spans="1:41" x14ac:dyDescent="0.3">
      <c r="A1673" t="s">
        <v>61</v>
      </c>
      <c r="B1673" t="s">
        <v>1271</v>
      </c>
      <c r="C1673" t="s">
        <v>1272</v>
      </c>
      <c r="D1673" t="s">
        <v>184</v>
      </c>
      <c r="E1673" s="1">
        <v>46059</v>
      </c>
      <c r="F1673" t="s">
        <v>2113</v>
      </c>
      <c r="G1673" t="s">
        <v>128</v>
      </c>
      <c r="H1673" s="2">
        <v>0.625</v>
      </c>
      <c r="I1673" s="2">
        <v>0.97916666666666663</v>
      </c>
      <c r="J1673" t="s">
        <v>486</v>
      </c>
      <c r="L1673" t="s">
        <v>487</v>
      </c>
      <c r="M1673" t="s">
        <v>4171</v>
      </c>
      <c r="N1673" t="s">
        <v>4172</v>
      </c>
      <c r="O1673">
        <v>21985</v>
      </c>
      <c r="Q1673" t="s">
        <v>1045</v>
      </c>
      <c r="R1673" t="s">
        <v>67</v>
      </c>
      <c r="S1673" t="s">
        <v>52</v>
      </c>
      <c r="U1673">
        <v>889659</v>
      </c>
      <c r="V1673" s="3">
        <v>46057.20416666667</v>
      </c>
      <c r="W1673" t="s">
        <v>4173</v>
      </c>
      <c r="X1673" t="s">
        <v>4174</v>
      </c>
      <c r="Y1673" t="str">
        <f>"0426988657"</f>
        <v>0426988657</v>
      </c>
      <c r="Z1673" t="s">
        <v>70</v>
      </c>
      <c r="AB1673" t="s">
        <v>1278</v>
      </c>
      <c r="AD1673" t="s">
        <v>61</v>
      </c>
      <c r="AE1673" t="s">
        <v>1279</v>
      </c>
      <c r="AF1673">
        <v>2145</v>
      </c>
      <c r="AG1673" t="s">
        <v>1190</v>
      </c>
      <c r="AI1673" t="s">
        <v>59</v>
      </c>
      <c r="AL1673" t="s">
        <v>3887</v>
      </c>
      <c r="AN1673" s="3">
        <v>46060.013888888891</v>
      </c>
      <c r="AO1673" t="s">
        <v>4173</v>
      </c>
    </row>
    <row r="1674" spans="1:41" x14ac:dyDescent="0.3">
      <c r="A1674" t="s">
        <v>306</v>
      </c>
      <c r="B1674" t="s">
        <v>450</v>
      </c>
      <c r="C1674" t="s">
        <v>100</v>
      </c>
      <c r="D1674" t="s">
        <v>63</v>
      </c>
      <c r="E1674" s="1">
        <v>46059</v>
      </c>
      <c r="F1674" t="s">
        <v>2113</v>
      </c>
      <c r="G1674" t="s">
        <v>128</v>
      </c>
      <c r="H1674" s="2">
        <v>0.625</v>
      </c>
      <c r="I1674" s="2">
        <v>0.91666666666666663</v>
      </c>
      <c r="J1674" t="s">
        <v>451</v>
      </c>
      <c r="L1674" t="s">
        <v>473</v>
      </c>
      <c r="M1674" t="s">
        <v>474</v>
      </c>
      <c r="N1674" t="s">
        <v>475</v>
      </c>
      <c r="O1674">
        <v>5950662</v>
      </c>
      <c r="Q1674" t="s">
        <v>455</v>
      </c>
      <c r="R1674" t="s">
        <v>476</v>
      </c>
      <c r="S1674" t="s">
        <v>52</v>
      </c>
      <c r="U1674">
        <v>889683</v>
      </c>
      <c r="V1674" s="3">
        <v>46050.500694444447</v>
      </c>
      <c r="W1674" t="s">
        <v>477</v>
      </c>
      <c r="X1674" t="s">
        <v>478</v>
      </c>
      <c r="Y1674" t="str">
        <f>"0449808311"</f>
        <v>0449808311</v>
      </c>
      <c r="Z1674" t="s">
        <v>70</v>
      </c>
      <c r="AA1674" s="1">
        <v>46059</v>
      </c>
      <c r="AB1674" t="s">
        <v>459</v>
      </c>
      <c r="AD1674" t="s">
        <v>306</v>
      </c>
      <c r="AE1674" t="s">
        <v>460</v>
      </c>
      <c r="AF1674">
        <v>3058</v>
      </c>
      <c r="AG1674" t="s">
        <v>455</v>
      </c>
      <c r="AI1674" t="s">
        <v>59</v>
      </c>
      <c r="AL1674" t="s">
        <v>87</v>
      </c>
      <c r="AN1674" s="3">
        <v>46060.827777777777</v>
      </c>
      <c r="AO1674" t="s">
        <v>477</v>
      </c>
    </row>
    <row r="1675" spans="1:41" x14ac:dyDescent="0.3">
      <c r="A1675" t="s">
        <v>61</v>
      </c>
      <c r="B1675" t="s">
        <v>182</v>
      </c>
      <c r="C1675" t="s">
        <v>484</v>
      </c>
      <c r="D1675" t="s">
        <v>184</v>
      </c>
      <c r="E1675" s="1">
        <v>46059</v>
      </c>
      <c r="F1675" t="s">
        <v>2113</v>
      </c>
      <c r="G1675" t="s">
        <v>485</v>
      </c>
      <c r="H1675" s="2">
        <v>0.77083333333333337</v>
      </c>
      <c r="I1675" s="2">
        <v>0.29166666666666669</v>
      </c>
      <c r="J1675" t="s">
        <v>486</v>
      </c>
      <c r="L1675" t="s">
        <v>487</v>
      </c>
      <c r="M1675" t="s">
        <v>1490</v>
      </c>
      <c r="N1675" t="s">
        <v>1491</v>
      </c>
      <c r="O1675">
        <v>21218</v>
      </c>
      <c r="Q1675" t="s">
        <v>490</v>
      </c>
      <c r="R1675" t="s">
        <v>67</v>
      </c>
      <c r="S1675" t="s">
        <v>52</v>
      </c>
      <c r="U1675">
        <v>889662</v>
      </c>
      <c r="V1675" s="3">
        <v>46045.427777777775</v>
      </c>
      <c r="W1675" t="s">
        <v>1493</v>
      </c>
      <c r="X1675" t="s">
        <v>1494</v>
      </c>
      <c r="Y1675" t="str">
        <f>"0401746606"</f>
        <v>0401746606</v>
      </c>
      <c r="Z1675" t="s">
        <v>4175</v>
      </c>
      <c r="AB1675" t="s">
        <v>193</v>
      </c>
      <c r="AD1675" t="s">
        <v>61</v>
      </c>
      <c r="AE1675" t="s">
        <v>194</v>
      </c>
      <c r="AF1675">
        <v>2229</v>
      </c>
      <c r="AG1675" t="s">
        <v>490</v>
      </c>
      <c r="AI1675" t="s">
        <v>59</v>
      </c>
      <c r="AL1675" t="s">
        <v>3887</v>
      </c>
      <c r="AN1675" s="3">
        <v>46060.195138888892</v>
      </c>
      <c r="AO1675" t="s">
        <v>1493</v>
      </c>
    </row>
    <row r="1676" spans="1:41" x14ac:dyDescent="0.3">
      <c r="A1676" t="s">
        <v>61</v>
      </c>
      <c r="B1676" t="s">
        <v>507</v>
      </c>
      <c r="D1676" t="s">
        <v>63</v>
      </c>
      <c r="E1676" s="1">
        <v>46059</v>
      </c>
      <c r="F1676" t="s">
        <v>2113</v>
      </c>
      <c r="G1676" t="s">
        <v>485</v>
      </c>
      <c r="H1676" s="2">
        <v>0.79166666666666663</v>
      </c>
      <c r="I1676" s="2">
        <v>0.3125</v>
      </c>
      <c r="J1676" t="s">
        <v>296</v>
      </c>
      <c r="L1676" t="s">
        <v>298</v>
      </c>
      <c r="M1676" t="s">
        <v>508</v>
      </c>
      <c r="N1676" t="s">
        <v>509</v>
      </c>
      <c r="O1676">
        <v>22014</v>
      </c>
      <c r="Q1676" t="s">
        <v>516</v>
      </c>
      <c r="R1676" t="s">
        <v>67</v>
      </c>
      <c r="S1676" t="s">
        <v>52</v>
      </c>
      <c r="U1676">
        <v>889668</v>
      </c>
      <c r="V1676" s="3">
        <v>46050.370138888888</v>
      </c>
      <c r="W1676" t="s">
        <v>511</v>
      </c>
      <c r="X1676" t="s">
        <v>512</v>
      </c>
      <c r="Y1676" t="str">
        <f>"0430326260"</f>
        <v>0430326260</v>
      </c>
      <c r="Z1676" t="s">
        <v>243</v>
      </c>
      <c r="AB1676" t="s">
        <v>514</v>
      </c>
      <c r="AD1676" t="s">
        <v>61</v>
      </c>
      <c r="AE1676" t="s">
        <v>515</v>
      </c>
      <c r="AF1676">
        <v>2086</v>
      </c>
      <c r="AG1676" t="s">
        <v>516</v>
      </c>
      <c r="AI1676" t="s">
        <v>59</v>
      </c>
      <c r="AL1676" t="s">
        <v>3887</v>
      </c>
      <c r="AN1676" s="3">
        <v>46060.310416666667</v>
      </c>
      <c r="AO1676" t="s">
        <v>511</v>
      </c>
    </row>
    <row r="1677" spans="1:41" x14ac:dyDescent="0.3">
      <c r="A1677" t="s">
        <v>61</v>
      </c>
      <c r="B1677" t="s">
        <v>507</v>
      </c>
      <c r="C1677" t="s">
        <v>4176</v>
      </c>
      <c r="D1677" t="s">
        <v>63</v>
      </c>
      <c r="E1677" s="1">
        <v>46059</v>
      </c>
      <c r="F1677" t="s">
        <v>2113</v>
      </c>
      <c r="G1677" t="s">
        <v>485</v>
      </c>
      <c r="H1677" s="2">
        <v>0.79166666666666663</v>
      </c>
      <c r="I1677" s="2">
        <v>0.3125</v>
      </c>
      <c r="J1677" t="s">
        <v>296</v>
      </c>
      <c r="L1677" t="s">
        <v>298</v>
      </c>
      <c r="M1677" t="s">
        <v>508</v>
      </c>
      <c r="N1677" t="s">
        <v>509</v>
      </c>
      <c r="O1677">
        <v>22014</v>
      </c>
      <c r="Q1677" t="s">
        <v>516</v>
      </c>
      <c r="R1677" t="s">
        <v>759</v>
      </c>
      <c r="S1677" t="s">
        <v>119</v>
      </c>
      <c r="T1677" t="s">
        <v>760</v>
      </c>
      <c r="U1677" t="s">
        <v>4177</v>
      </c>
      <c r="V1677" s="3">
        <v>46065.740972222222</v>
      </c>
      <c r="W1677" t="s">
        <v>511</v>
      </c>
      <c r="X1677" t="s">
        <v>512</v>
      </c>
      <c r="Y1677" t="str">
        <f>"0430326260"</f>
        <v>0430326260</v>
      </c>
      <c r="Z1677" t="s">
        <v>70</v>
      </c>
      <c r="AB1677" t="s">
        <v>514</v>
      </c>
      <c r="AD1677" t="s">
        <v>61</v>
      </c>
      <c r="AE1677" t="s">
        <v>515</v>
      </c>
      <c r="AF1677">
        <v>2086</v>
      </c>
      <c r="AG1677" t="s">
        <v>516</v>
      </c>
      <c r="AI1677" t="s">
        <v>59</v>
      </c>
      <c r="AM1677" t="s">
        <v>4178</v>
      </c>
      <c r="AN1677" s="3">
        <v>46065.740972222222</v>
      </c>
      <c r="AO1677" t="s">
        <v>759</v>
      </c>
    </row>
    <row r="1678" spans="1:41" x14ac:dyDescent="0.3">
      <c r="A1678" t="s">
        <v>61</v>
      </c>
      <c r="B1678" t="s">
        <v>507</v>
      </c>
      <c r="C1678" t="s">
        <v>4176</v>
      </c>
      <c r="D1678" t="s">
        <v>63</v>
      </c>
      <c r="E1678" s="1">
        <v>46059</v>
      </c>
      <c r="F1678" t="s">
        <v>2113</v>
      </c>
      <c r="G1678" t="s">
        <v>485</v>
      </c>
      <c r="H1678" s="2">
        <v>0.79166666666666663</v>
      </c>
      <c r="I1678" s="2">
        <v>0.3125</v>
      </c>
      <c r="J1678" t="s">
        <v>296</v>
      </c>
      <c r="L1678" t="s">
        <v>298</v>
      </c>
      <c r="M1678" t="s">
        <v>508</v>
      </c>
      <c r="N1678" t="s">
        <v>509</v>
      </c>
      <c r="O1678">
        <v>22014</v>
      </c>
      <c r="Q1678" t="s">
        <v>516</v>
      </c>
      <c r="R1678" t="s">
        <v>759</v>
      </c>
      <c r="S1678" t="s">
        <v>119</v>
      </c>
      <c r="T1678" t="s">
        <v>760</v>
      </c>
      <c r="U1678" t="s">
        <v>4179</v>
      </c>
      <c r="V1678" s="3">
        <v>46065.741666666669</v>
      </c>
      <c r="W1678" t="s">
        <v>511</v>
      </c>
      <c r="X1678" t="s">
        <v>512</v>
      </c>
      <c r="Y1678" t="str">
        <f>"0430326260"</f>
        <v>0430326260</v>
      </c>
      <c r="Z1678" t="s">
        <v>70</v>
      </c>
      <c r="AB1678" t="s">
        <v>514</v>
      </c>
      <c r="AD1678" t="s">
        <v>61</v>
      </c>
      <c r="AE1678" t="s">
        <v>515</v>
      </c>
      <c r="AF1678">
        <v>2086</v>
      </c>
      <c r="AG1678" t="s">
        <v>516</v>
      </c>
      <c r="AI1678" t="s">
        <v>59</v>
      </c>
      <c r="AM1678" t="s">
        <v>4178</v>
      </c>
      <c r="AN1678" s="3">
        <v>46065.741666666669</v>
      </c>
      <c r="AO1678" t="s">
        <v>759</v>
      </c>
    </row>
    <row r="1679" spans="1:41" x14ac:dyDescent="0.3">
      <c r="A1679" t="s">
        <v>75</v>
      </c>
      <c r="B1679" t="s">
        <v>76</v>
      </c>
      <c r="C1679" t="s">
        <v>529</v>
      </c>
      <c r="D1679" t="s">
        <v>63</v>
      </c>
      <c r="E1679" s="1">
        <v>46059</v>
      </c>
      <c r="F1679" t="s">
        <v>2113</v>
      </c>
      <c r="G1679" t="s">
        <v>485</v>
      </c>
      <c r="H1679" s="2">
        <v>0.875</v>
      </c>
      <c r="I1679" s="2">
        <v>0.3125</v>
      </c>
      <c r="J1679" t="s">
        <v>529</v>
      </c>
      <c r="L1679" t="s">
        <v>735</v>
      </c>
      <c r="M1679" t="s">
        <v>3858</v>
      </c>
      <c r="N1679" t="s">
        <v>3859</v>
      </c>
      <c r="O1679">
        <v>20391</v>
      </c>
      <c r="Q1679" t="s">
        <v>4180</v>
      </c>
      <c r="R1679" t="s">
        <v>556</v>
      </c>
      <c r="S1679" t="s">
        <v>52</v>
      </c>
      <c r="U1679">
        <v>889671</v>
      </c>
      <c r="V1679" s="3">
        <v>46059.821527777778</v>
      </c>
      <c r="W1679" t="s">
        <v>3860</v>
      </c>
      <c r="X1679" t="s">
        <v>3861</v>
      </c>
      <c r="Y1679" t="str">
        <f>"0410642718"</f>
        <v>0410642718</v>
      </c>
      <c r="Z1679" t="s">
        <v>70</v>
      </c>
      <c r="AA1679" s="1">
        <v>46059</v>
      </c>
      <c r="AB1679" t="s">
        <v>85</v>
      </c>
      <c r="AD1679" t="s">
        <v>75</v>
      </c>
      <c r="AE1679" t="s">
        <v>86</v>
      </c>
      <c r="AF1679">
        <v>6000</v>
      </c>
      <c r="AG1679" t="s">
        <v>1737</v>
      </c>
      <c r="AI1679" t="s">
        <v>59</v>
      </c>
      <c r="AL1679" t="s">
        <v>4181</v>
      </c>
      <c r="AN1679" s="3">
        <v>46060.454861111109</v>
      </c>
      <c r="AO1679" t="s">
        <v>3860</v>
      </c>
    </row>
    <row r="1680" spans="1:41" x14ac:dyDescent="0.3">
      <c r="A1680" t="s">
        <v>61</v>
      </c>
      <c r="B1680" t="s">
        <v>182</v>
      </c>
      <c r="C1680" t="s">
        <v>484</v>
      </c>
      <c r="D1680" t="s">
        <v>184</v>
      </c>
      <c r="E1680" s="1">
        <v>46059</v>
      </c>
      <c r="F1680" t="s">
        <v>2113</v>
      </c>
      <c r="G1680" t="s">
        <v>485</v>
      </c>
      <c r="H1680" s="2">
        <v>0.89583333333333337</v>
      </c>
      <c r="I1680" s="2">
        <v>0.29166666666666669</v>
      </c>
      <c r="J1680" t="s">
        <v>486</v>
      </c>
      <c r="L1680" t="s">
        <v>487</v>
      </c>
      <c r="M1680" t="s">
        <v>488</v>
      </c>
      <c r="N1680" t="s">
        <v>489</v>
      </c>
      <c r="O1680">
        <v>5951809</v>
      </c>
      <c r="Q1680" t="s">
        <v>129</v>
      </c>
      <c r="R1680" t="s">
        <v>132</v>
      </c>
      <c r="S1680" t="s">
        <v>52</v>
      </c>
      <c r="U1680">
        <v>889663</v>
      </c>
      <c r="V1680" s="3">
        <v>46038.620138888888</v>
      </c>
      <c r="W1680" t="s">
        <v>491</v>
      </c>
      <c r="X1680" t="s">
        <v>492</v>
      </c>
      <c r="Y1680" t="str">
        <f>"0431000508"</f>
        <v>0431000508</v>
      </c>
      <c r="Z1680" t="s">
        <v>3128</v>
      </c>
      <c r="AB1680" t="s">
        <v>193</v>
      </c>
      <c r="AD1680" t="s">
        <v>61</v>
      </c>
      <c r="AE1680" t="s">
        <v>194</v>
      </c>
      <c r="AF1680">
        <v>2229</v>
      </c>
      <c r="AG1680" t="s">
        <v>129</v>
      </c>
      <c r="AI1680" t="s">
        <v>59</v>
      </c>
      <c r="AL1680" t="s">
        <v>3887</v>
      </c>
      <c r="AN1680" s="3">
        <v>46060.285416666666</v>
      </c>
      <c r="AO1680" t="s">
        <v>491</v>
      </c>
    </row>
    <row r="1681" spans="1:41" x14ac:dyDescent="0.3">
      <c r="A1681" t="s">
        <v>306</v>
      </c>
      <c r="B1681" t="s">
        <v>1353</v>
      </c>
      <c r="C1681" t="s">
        <v>1354</v>
      </c>
      <c r="D1681" t="s">
        <v>184</v>
      </c>
      <c r="E1681" s="1">
        <v>46059</v>
      </c>
      <c r="F1681" t="s">
        <v>2113</v>
      </c>
      <c r="G1681" t="s">
        <v>485</v>
      </c>
      <c r="H1681" s="2">
        <v>0.91666666666666663</v>
      </c>
      <c r="I1681" s="2">
        <v>0.3125</v>
      </c>
      <c r="J1681" t="s">
        <v>1355</v>
      </c>
      <c r="K1681" t="s">
        <v>530</v>
      </c>
      <c r="L1681" t="s">
        <v>531</v>
      </c>
      <c r="M1681" t="s">
        <v>1239</v>
      </c>
      <c r="N1681" t="s">
        <v>1240</v>
      </c>
      <c r="O1681">
        <v>5952284</v>
      </c>
      <c r="Q1681" t="s">
        <v>413</v>
      </c>
      <c r="R1681" t="s">
        <v>145</v>
      </c>
      <c r="S1681" t="s">
        <v>119</v>
      </c>
      <c r="T1681" t="s">
        <v>414</v>
      </c>
      <c r="U1681">
        <v>889780</v>
      </c>
      <c r="V1681" s="3">
        <v>46054.910416666666</v>
      </c>
      <c r="W1681" t="s">
        <v>1241</v>
      </c>
      <c r="X1681" t="s">
        <v>1242</v>
      </c>
      <c r="Y1681" t="str">
        <f>"0402086188"</f>
        <v>0402086188</v>
      </c>
      <c r="Z1681" t="s">
        <v>70</v>
      </c>
      <c r="AB1681" t="s">
        <v>1357</v>
      </c>
      <c r="AD1681" t="s">
        <v>306</v>
      </c>
      <c r="AE1681" t="s">
        <v>1358</v>
      </c>
      <c r="AF1681">
        <v>3181</v>
      </c>
      <c r="AI1681" t="s">
        <v>59</v>
      </c>
      <c r="AL1681" t="s">
        <v>1068</v>
      </c>
      <c r="AM1681" t="s">
        <v>4182</v>
      </c>
      <c r="AN1681" s="3">
        <v>46054.931250000001</v>
      </c>
      <c r="AO1681" t="s">
        <v>145</v>
      </c>
    </row>
    <row r="1682" spans="1:41" x14ac:dyDescent="0.3">
      <c r="A1682" t="s">
        <v>168</v>
      </c>
      <c r="B1682" t="s">
        <v>689</v>
      </c>
      <c r="C1682" t="s">
        <v>43</v>
      </c>
      <c r="D1682" t="s">
        <v>268</v>
      </c>
      <c r="E1682" s="1">
        <v>46029</v>
      </c>
      <c r="F1682" t="s">
        <v>44</v>
      </c>
      <c r="G1682" t="s">
        <v>45</v>
      </c>
      <c r="H1682" s="2">
        <v>0.375</v>
      </c>
      <c r="I1682" s="2">
        <v>0.72916666666666663</v>
      </c>
      <c r="J1682" t="s">
        <v>100</v>
      </c>
      <c r="L1682" t="s">
        <v>100</v>
      </c>
      <c r="M1682" t="s">
        <v>3368</v>
      </c>
      <c r="N1682" t="s">
        <v>3369</v>
      </c>
      <c r="O1682">
        <v>5952315</v>
      </c>
      <c r="P1682" t="s">
        <v>571</v>
      </c>
      <c r="Q1682" t="s">
        <v>3370</v>
      </c>
      <c r="R1682" t="s">
        <v>3371</v>
      </c>
      <c r="S1682" t="s">
        <v>52</v>
      </c>
      <c r="T1682" t="s">
        <v>252</v>
      </c>
      <c r="U1682">
        <v>887496</v>
      </c>
      <c r="V1682" s="3">
        <v>46041.397916666669</v>
      </c>
      <c r="W1682" t="s">
        <v>3371</v>
      </c>
      <c r="X1682" t="s">
        <v>3372</v>
      </c>
      <c r="Y1682" t="str">
        <f>"0481236768"</f>
        <v>0481236768</v>
      </c>
      <c r="Z1682" t="s">
        <v>366</v>
      </c>
      <c r="AA1682" s="1">
        <v>46072</v>
      </c>
      <c r="AB1682" t="s">
        <v>695</v>
      </c>
      <c r="AD1682" t="s">
        <v>168</v>
      </c>
      <c r="AE1682" t="s">
        <v>696</v>
      </c>
      <c r="AF1682">
        <v>5606</v>
      </c>
      <c r="AG1682" t="s">
        <v>3373</v>
      </c>
      <c r="AI1682" t="s">
        <v>59</v>
      </c>
      <c r="AJ1682" t="str">
        <f>"0020184971"</f>
        <v>0020184971</v>
      </c>
      <c r="AN1682" s="3">
        <v>46041.397916666669</v>
      </c>
      <c r="AO1682" t="s">
        <v>3371</v>
      </c>
    </row>
    <row r="1683" spans="1:41" x14ac:dyDescent="0.3">
      <c r="A1683" t="s">
        <v>41</v>
      </c>
      <c r="B1683" t="s">
        <v>568</v>
      </c>
      <c r="C1683" t="s">
        <v>602</v>
      </c>
      <c r="D1683" t="s">
        <v>246</v>
      </c>
      <c r="E1683" s="1">
        <v>46029</v>
      </c>
      <c r="F1683" t="s">
        <v>44</v>
      </c>
      <c r="G1683" t="s">
        <v>485</v>
      </c>
      <c r="H1683" s="2">
        <v>0.94791666666666663</v>
      </c>
      <c r="I1683" s="2">
        <v>0.30208333333333331</v>
      </c>
      <c r="J1683" t="s">
        <v>269</v>
      </c>
      <c r="L1683" t="s">
        <v>47</v>
      </c>
      <c r="M1683" t="s">
        <v>603</v>
      </c>
      <c r="N1683" t="s">
        <v>604</v>
      </c>
      <c r="O1683">
        <v>80</v>
      </c>
      <c r="P1683" t="s">
        <v>571</v>
      </c>
      <c r="Q1683" t="s">
        <v>572</v>
      </c>
      <c r="R1683" t="s">
        <v>573</v>
      </c>
      <c r="S1683" t="s">
        <v>52</v>
      </c>
      <c r="T1683" t="s">
        <v>252</v>
      </c>
      <c r="U1683">
        <v>886831</v>
      </c>
      <c r="V1683" s="3">
        <v>46034.605555555558</v>
      </c>
      <c r="W1683" t="s">
        <v>605</v>
      </c>
      <c r="X1683" t="s">
        <v>606</v>
      </c>
      <c r="Y1683" t="str">
        <f>"0414330986"</f>
        <v>0414330986</v>
      </c>
      <c r="Z1683" t="s">
        <v>345</v>
      </c>
      <c r="AA1683" s="1">
        <v>46068</v>
      </c>
      <c r="AB1683" t="s">
        <v>576</v>
      </c>
      <c r="AD1683" t="s">
        <v>41</v>
      </c>
      <c r="AE1683" t="s">
        <v>577</v>
      </c>
      <c r="AF1683">
        <v>4700</v>
      </c>
      <c r="AG1683" t="s">
        <v>572</v>
      </c>
      <c r="AI1683" t="s">
        <v>59</v>
      </c>
      <c r="AJ1683" t="str">
        <f>"0050075176"</f>
        <v>0050075176</v>
      </c>
      <c r="AN1683" s="3">
        <v>46034.605555555558</v>
      </c>
      <c r="AO1683" t="s">
        <v>573</v>
      </c>
    </row>
    <row r="1684" spans="1:41" x14ac:dyDescent="0.3">
      <c r="A1684" t="s">
        <v>61</v>
      </c>
      <c r="B1684" t="s">
        <v>1079</v>
      </c>
      <c r="C1684" t="s">
        <v>4183</v>
      </c>
      <c r="D1684" t="s">
        <v>63</v>
      </c>
      <c r="E1684" s="1">
        <v>46060</v>
      </c>
      <c r="F1684" t="s">
        <v>1374</v>
      </c>
      <c r="G1684" t="s">
        <v>45</v>
      </c>
      <c r="H1684" s="2">
        <v>0.25</v>
      </c>
      <c r="I1684" s="2">
        <v>0.60416666666666663</v>
      </c>
      <c r="J1684" t="s">
        <v>46</v>
      </c>
      <c r="L1684" t="s">
        <v>159</v>
      </c>
      <c r="M1684" t="s">
        <v>3435</v>
      </c>
      <c r="N1684" t="s">
        <v>3436</v>
      </c>
      <c r="O1684">
        <v>5951267</v>
      </c>
      <c r="Q1684" t="s">
        <v>4184</v>
      </c>
      <c r="R1684" t="s">
        <v>145</v>
      </c>
      <c r="S1684" t="s">
        <v>52</v>
      </c>
      <c r="U1684">
        <v>889673</v>
      </c>
      <c r="V1684" s="3">
        <v>46059.670138888891</v>
      </c>
      <c r="W1684" t="s">
        <v>3438</v>
      </c>
      <c r="X1684" t="s">
        <v>3439</v>
      </c>
      <c r="Y1684" t="str">
        <f>"0405574066"</f>
        <v>0405574066</v>
      </c>
      <c r="Z1684" t="s">
        <v>70</v>
      </c>
      <c r="AA1684" s="1">
        <v>46060</v>
      </c>
      <c r="AB1684" t="s">
        <v>1085</v>
      </c>
      <c r="AD1684" t="s">
        <v>61</v>
      </c>
      <c r="AE1684" t="s">
        <v>1086</v>
      </c>
      <c r="AF1684">
        <v>2031</v>
      </c>
      <c r="AG1684" t="s">
        <v>4185</v>
      </c>
      <c r="AI1684" t="s">
        <v>59</v>
      </c>
      <c r="AL1684" t="s">
        <v>4186</v>
      </c>
      <c r="AN1684" s="3">
        <v>46060.597222222219</v>
      </c>
      <c r="AO1684" t="s">
        <v>3438</v>
      </c>
    </row>
    <row r="1685" spans="1:41" x14ac:dyDescent="0.3">
      <c r="A1685" t="s">
        <v>168</v>
      </c>
      <c r="B1685" t="s">
        <v>689</v>
      </c>
      <c r="C1685" t="s">
        <v>43</v>
      </c>
      <c r="D1685" t="s">
        <v>268</v>
      </c>
      <c r="E1685" s="1">
        <v>46060</v>
      </c>
      <c r="F1685" t="s">
        <v>1374</v>
      </c>
      <c r="G1685" t="s">
        <v>45</v>
      </c>
      <c r="H1685" s="2">
        <v>0.25</v>
      </c>
      <c r="I1685" s="2">
        <v>0.25347222222222221</v>
      </c>
      <c r="J1685" t="s">
        <v>100</v>
      </c>
      <c r="L1685" t="s">
        <v>100</v>
      </c>
      <c r="M1685" t="s">
        <v>862</v>
      </c>
      <c r="N1685" t="s">
        <v>863</v>
      </c>
      <c r="O1685">
        <v>5952375</v>
      </c>
      <c r="Q1685" t="s">
        <v>692</v>
      </c>
      <c r="R1685" t="s">
        <v>864</v>
      </c>
      <c r="S1685" t="s">
        <v>52</v>
      </c>
      <c r="T1685" t="s">
        <v>252</v>
      </c>
      <c r="U1685">
        <v>889767</v>
      </c>
      <c r="V1685" s="3">
        <v>46062.362500000003</v>
      </c>
      <c r="W1685" t="s">
        <v>864</v>
      </c>
      <c r="X1685" t="s">
        <v>865</v>
      </c>
      <c r="Y1685" t="str">
        <f>"0433092113"</f>
        <v>0433092113</v>
      </c>
      <c r="Z1685" t="s">
        <v>70</v>
      </c>
      <c r="AA1685" s="1">
        <v>46075</v>
      </c>
      <c r="AB1685" t="s">
        <v>695</v>
      </c>
      <c r="AD1685" t="s">
        <v>168</v>
      </c>
      <c r="AE1685" t="s">
        <v>696</v>
      </c>
      <c r="AF1685">
        <v>5606</v>
      </c>
      <c r="AG1685" t="s">
        <v>3496</v>
      </c>
      <c r="AI1685" t="s">
        <v>59</v>
      </c>
      <c r="AJ1685" t="str">
        <f>"0020187960"</f>
        <v>0020187960</v>
      </c>
      <c r="AN1685" s="3">
        <v>46062.362500000003</v>
      </c>
      <c r="AO1685" t="s">
        <v>864</v>
      </c>
    </row>
    <row r="1686" spans="1:41" x14ac:dyDescent="0.3">
      <c r="A1686" t="s">
        <v>61</v>
      </c>
      <c r="B1686" t="s">
        <v>992</v>
      </c>
      <c r="C1686" t="s">
        <v>185</v>
      </c>
      <c r="D1686" t="s">
        <v>63</v>
      </c>
      <c r="E1686" s="1">
        <v>46060</v>
      </c>
      <c r="F1686" t="s">
        <v>1374</v>
      </c>
      <c r="G1686" t="s">
        <v>45</v>
      </c>
      <c r="H1686" s="2">
        <v>0.25</v>
      </c>
      <c r="I1686" s="2">
        <v>0.99861111111111112</v>
      </c>
      <c r="J1686" t="s">
        <v>185</v>
      </c>
      <c r="K1686" t="s">
        <v>4187</v>
      </c>
      <c r="L1686" t="s">
        <v>186</v>
      </c>
      <c r="M1686" t="s">
        <v>4188</v>
      </c>
      <c r="N1686" t="s">
        <v>4189</v>
      </c>
      <c r="O1686">
        <v>22063</v>
      </c>
      <c r="Q1686" t="s">
        <v>4190</v>
      </c>
      <c r="R1686" t="s">
        <v>67</v>
      </c>
      <c r="S1686" t="s">
        <v>52</v>
      </c>
      <c r="U1686">
        <v>889676</v>
      </c>
      <c r="V1686" s="3">
        <v>46057.313888888886</v>
      </c>
      <c r="W1686" t="s">
        <v>4191</v>
      </c>
      <c r="X1686" t="s">
        <v>4192</v>
      </c>
      <c r="Y1686" t="str">
        <f>"0420686844"</f>
        <v>0420686844</v>
      </c>
      <c r="Z1686" t="s">
        <v>70</v>
      </c>
      <c r="AB1686" t="s">
        <v>1000</v>
      </c>
      <c r="AD1686" t="s">
        <v>61</v>
      </c>
      <c r="AE1686" t="s">
        <v>1001</v>
      </c>
      <c r="AF1686">
        <v>2560</v>
      </c>
      <c r="AG1686" t="s">
        <v>4190</v>
      </c>
      <c r="AI1686" t="s">
        <v>59</v>
      </c>
      <c r="AL1686" t="s">
        <v>4193</v>
      </c>
      <c r="AN1686" s="3">
        <v>46060.71597222222</v>
      </c>
      <c r="AO1686" t="s">
        <v>4191</v>
      </c>
    </row>
    <row r="1687" spans="1:41" x14ac:dyDescent="0.3">
      <c r="A1687" t="s">
        <v>61</v>
      </c>
      <c r="B1687" t="s">
        <v>1079</v>
      </c>
      <c r="C1687" t="s">
        <v>43</v>
      </c>
      <c r="D1687" t="s">
        <v>63</v>
      </c>
      <c r="E1687" s="1">
        <v>46060</v>
      </c>
      <c r="F1687" t="s">
        <v>1374</v>
      </c>
      <c r="G1687" t="s">
        <v>45</v>
      </c>
      <c r="H1687" s="2">
        <v>0.27083333333333331</v>
      </c>
      <c r="I1687" s="2">
        <v>0.99861111111111112</v>
      </c>
      <c r="J1687" t="s">
        <v>101</v>
      </c>
      <c r="L1687" t="s">
        <v>159</v>
      </c>
      <c r="M1687" t="s">
        <v>3620</v>
      </c>
      <c r="N1687" t="s">
        <v>1180</v>
      </c>
      <c r="O1687">
        <v>161</v>
      </c>
      <c r="Q1687" t="s">
        <v>4194</v>
      </c>
      <c r="R1687" t="s">
        <v>67</v>
      </c>
      <c r="S1687" t="s">
        <v>52</v>
      </c>
      <c r="U1687">
        <v>889672</v>
      </c>
      <c r="V1687" s="3">
        <v>46059.556250000001</v>
      </c>
      <c r="W1687" t="s">
        <v>4195</v>
      </c>
      <c r="X1687" t="s">
        <v>4196</v>
      </c>
      <c r="Y1687" t="str">
        <f>"0410657613"</f>
        <v>0410657613</v>
      </c>
      <c r="Z1687" t="s">
        <v>70</v>
      </c>
      <c r="AA1687" s="1">
        <v>46060</v>
      </c>
      <c r="AB1687" t="s">
        <v>1085</v>
      </c>
      <c r="AD1687" t="s">
        <v>61</v>
      </c>
      <c r="AE1687" t="s">
        <v>1086</v>
      </c>
      <c r="AF1687">
        <v>2031</v>
      </c>
      <c r="AG1687" t="s">
        <v>4194</v>
      </c>
      <c r="AI1687" t="s">
        <v>59</v>
      </c>
      <c r="AL1687" t="s">
        <v>4197</v>
      </c>
      <c r="AN1687" s="3">
        <v>46060.57916666667</v>
      </c>
      <c r="AO1687" t="s">
        <v>4195</v>
      </c>
    </row>
    <row r="1688" spans="1:41" x14ac:dyDescent="0.3">
      <c r="A1688" t="s">
        <v>41</v>
      </c>
      <c r="B1688" t="s">
        <v>1168</v>
      </c>
      <c r="D1688" t="s">
        <v>246</v>
      </c>
      <c r="E1688" s="1">
        <v>46060</v>
      </c>
      <c r="F1688" t="s">
        <v>1374</v>
      </c>
      <c r="G1688" t="s">
        <v>45</v>
      </c>
      <c r="H1688" s="2">
        <v>0.27083333333333331</v>
      </c>
      <c r="I1688" s="2">
        <v>0.625</v>
      </c>
      <c r="J1688" t="s">
        <v>296</v>
      </c>
      <c r="L1688" t="s">
        <v>1169</v>
      </c>
      <c r="M1688" t="s">
        <v>1170</v>
      </c>
      <c r="N1688" t="s">
        <v>1171</v>
      </c>
      <c r="O1688">
        <v>5952274</v>
      </c>
      <c r="Q1688" t="s">
        <v>1172</v>
      </c>
      <c r="R1688" t="s">
        <v>573</v>
      </c>
      <c r="S1688" t="s">
        <v>52</v>
      </c>
      <c r="T1688" t="s">
        <v>252</v>
      </c>
      <c r="U1688">
        <v>889948</v>
      </c>
      <c r="V1688" s="3">
        <v>46063.345138888886</v>
      </c>
      <c r="W1688" t="s">
        <v>1173</v>
      </c>
      <c r="X1688" t="s">
        <v>1174</v>
      </c>
      <c r="Y1688" t="str">
        <f>"0432261353"</f>
        <v>0432261353</v>
      </c>
      <c r="Z1688" t="s">
        <v>290</v>
      </c>
      <c r="AA1688" s="1">
        <v>46083</v>
      </c>
      <c r="AB1688" t="s">
        <v>1175</v>
      </c>
      <c r="AD1688" t="s">
        <v>41</v>
      </c>
      <c r="AE1688" t="s">
        <v>1176</v>
      </c>
      <c r="AF1688">
        <v>4680</v>
      </c>
      <c r="AG1688" t="s">
        <v>1172</v>
      </c>
      <c r="AI1688" t="s">
        <v>59</v>
      </c>
      <c r="AJ1688" t="str">
        <f>"0050076336"</f>
        <v>0050076336</v>
      </c>
      <c r="AN1688" s="3">
        <v>46063.345138888886</v>
      </c>
      <c r="AO1688" t="s">
        <v>573</v>
      </c>
    </row>
    <row r="1689" spans="1:41" x14ac:dyDescent="0.3">
      <c r="A1689" t="s">
        <v>61</v>
      </c>
      <c r="B1689" t="s">
        <v>182</v>
      </c>
      <c r="C1689" t="s">
        <v>484</v>
      </c>
      <c r="D1689" t="s">
        <v>184</v>
      </c>
      <c r="E1689" s="1">
        <v>46060</v>
      </c>
      <c r="F1689" t="s">
        <v>1374</v>
      </c>
      <c r="G1689" t="s">
        <v>45</v>
      </c>
      <c r="H1689" s="2">
        <v>0.27083333333333331</v>
      </c>
      <c r="I1689" s="2">
        <v>0.79166666666666663</v>
      </c>
      <c r="J1689" t="s">
        <v>590</v>
      </c>
      <c r="L1689" t="s">
        <v>487</v>
      </c>
      <c r="M1689" t="s">
        <v>1463</v>
      </c>
      <c r="N1689" t="s">
        <v>1464</v>
      </c>
      <c r="O1689">
        <v>22756</v>
      </c>
      <c r="Q1689" t="s">
        <v>129</v>
      </c>
      <c r="R1689" t="s">
        <v>132</v>
      </c>
      <c r="S1689" t="s">
        <v>52</v>
      </c>
      <c r="U1689">
        <v>889680</v>
      </c>
      <c r="V1689" s="3">
        <v>46038.606249999997</v>
      </c>
      <c r="W1689" t="s">
        <v>1466</v>
      </c>
      <c r="X1689" t="s">
        <v>1467</v>
      </c>
      <c r="Y1689" t="str">
        <f>"0416856891"</f>
        <v>0416856891</v>
      </c>
      <c r="Z1689" t="s">
        <v>1013</v>
      </c>
      <c r="AB1689" t="s">
        <v>193</v>
      </c>
      <c r="AD1689" t="s">
        <v>61</v>
      </c>
      <c r="AE1689" t="s">
        <v>194</v>
      </c>
      <c r="AF1689">
        <v>2229</v>
      </c>
      <c r="AG1689" t="s">
        <v>129</v>
      </c>
      <c r="AI1689" t="s">
        <v>59</v>
      </c>
      <c r="AL1689" t="s">
        <v>4193</v>
      </c>
      <c r="AN1689" s="3">
        <v>46060.786111111112</v>
      </c>
      <c r="AO1689" t="s">
        <v>1466</v>
      </c>
    </row>
    <row r="1690" spans="1:41" x14ac:dyDescent="0.3">
      <c r="A1690" t="s">
        <v>75</v>
      </c>
      <c r="B1690" t="s">
        <v>895</v>
      </c>
      <c r="C1690" t="s">
        <v>1621</v>
      </c>
      <c r="D1690" t="s">
        <v>184</v>
      </c>
      <c r="E1690" s="1">
        <v>46060</v>
      </c>
      <c r="F1690" t="s">
        <v>1374</v>
      </c>
      <c r="G1690" t="s">
        <v>45</v>
      </c>
      <c r="H1690" s="2">
        <v>0.29166666666666669</v>
      </c>
      <c r="I1690" s="2">
        <v>0.60416666666666663</v>
      </c>
      <c r="J1690" t="s">
        <v>296</v>
      </c>
      <c r="L1690" t="s">
        <v>1453</v>
      </c>
      <c r="M1690" t="s">
        <v>1622</v>
      </c>
      <c r="N1690" t="s">
        <v>1623</v>
      </c>
      <c r="O1690">
        <v>5952211</v>
      </c>
      <c r="Q1690" t="s">
        <v>1179</v>
      </c>
      <c r="R1690" t="s">
        <v>500</v>
      </c>
      <c r="S1690" t="s">
        <v>52</v>
      </c>
      <c r="U1690">
        <v>889678</v>
      </c>
      <c r="V1690" s="3">
        <v>46042.807638888888</v>
      </c>
      <c r="W1690" t="s">
        <v>1624</v>
      </c>
      <c r="X1690" t="s">
        <v>1625</v>
      </c>
      <c r="Y1690" t="str">
        <f>"0494406921"</f>
        <v>0494406921</v>
      </c>
      <c r="Z1690" t="s">
        <v>980</v>
      </c>
      <c r="AA1690" s="1">
        <v>46060</v>
      </c>
      <c r="AB1690" t="s">
        <v>902</v>
      </c>
      <c r="AD1690" t="s">
        <v>75</v>
      </c>
      <c r="AE1690" t="s">
        <v>903</v>
      </c>
      <c r="AF1690">
        <v>6009</v>
      </c>
      <c r="AG1690" t="s">
        <v>1179</v>
      </c>
      <c r="AI1690" t="s">
        <v>59</v>
      </c>
      <c r="AL1690" t="s">
        <v>4198</v>
      </c>
      <c r="AN1690" s="3">
        <v>46060.760416666664</v>
      </c>
      <c r="AO1690" t="s">
        <v>1624</v>
      </c>
    </row>
    <row r="1691" spans="1:41" x14ac:dyDescent="0.3">
      <c r="A1691" t="s">
        <v>61</v>
      </c>
      <c r="B1691" t="s">
        <v>1271</v>
      </c>
      <c r="C1691" t="s">
        <v>1272</v>
      </c>
      <c r="D1691" t="s">
        <v>184</v>
      </c>
      <c r="E1691" s="1">
        <v>46060</v>
      </c>
      <c r="F1691" t="s">
        <v>1374</v>
      </c>
      <c r="G1691" t="s">
        <v>45</v>
      </c>
      <c r="H1691" s="2">
        <v>0.29166666666666669</v>
      </c>
      <c r="I1691" s="2">
        <v>0.8125</v>
      </c>
      <c r="J1691" t="s">
        <v>296</v>
      </c>
      <c r="L1691" t="s">
        <v>298</v>
      </c>
      <c r="M1691" t="s">
        <v>4199</v>
      </c>
      <c r="N1691" t="s">
        <v>4200</v>
      </c>
      <c r="O1691">
        <v>5952115</v>
      </c>
      <c r="Q1691" t="s">
        <v>1045</v>
      </c>
      <c r="R1691" t="s">
        <v>67</v>
      </c>
      <c r="S1691" t="s">
        <v>119</v>
      </c>
      <c r="T1691" t="s">
        <v>1619</v>
      </c>
      <c r="U1691">
        <v>889835</v>
      </c>
      <c r="V1691" s="3">
        <v>46056.494444444441</v>
      </c>
      <c r="W1691" t="s">
        <v>4201</v>
      </c>
      <c r="X1691" t="s">
        <v>4202</v>
      </c>
      <c r="Y1691" t="str">
        <f>"0432518534"</f>
        <v>0432518534</v>
      </c>
      <c r="Z1691" t="s">
        <v>234</v>
      </c>
      <c r="AA1691" s="1">
        <v>46060</v>
      </c>
      <c r="AB1691" t="s">
        <v>1278</v>
      </c>
      <c r="AD1691" t="s">
        <v>61</v>
      </c>
      <c r="AE1691" t="s">
        <v>1279</v>
      </c>
      <c r="AF1691">
        <v>2145</v>
      </c>
      <c r="AG1691" t="s">
        <v>1190</v>
      </c>
      <c r="AI1691" t="s">
        <v>59</v>
      </c>
      <c r="AL1691" t="s">
        <v>4203</v>
      </c>
      <c r="AM1691" t="s">
        <v>4204</v>
      </c>
      <c r="AN1691" s="3">
        <v>46059.658333333333</v>
      </c>
      <c r="AO1691" t="s">
        <v>67</v>
      </c>
    </row>
    <row r="1692" spans="1:41" x14ac:dyDescent="0.3">
      <c r="A1692" t="s">
        <v>61</v>
      </c>
      <c r="B1692" t="s">
        <v>1271</v>
      </c>
      <c r="C1692" t="s">
        <v>1272</v>
      </c>
      <c r="D1692" t="s">
        <v>184</v>
      </c>
      <c r="E1692" s="1">
        <v>46060</v>
      </c>
      <c r="F1692" t="s">
        <v>1374</v>
      </c>
      <c r="G1692" t="s">
        <v>45</v>
      </c>
      <c r="H1692" s="2">
        <v>0.29166666666666669</v>
      </c>
      <c r="I1692" s="2">
        <v>0.8125</v>
      </c>
      <c r="J1692" t="s">
        <v>486</v>
      </c>
      <c r="L1692" t="s">
        <v>487</v>
      </c>
      <c r="M1692" t="s">
        <v>1295</v>
      </c>
      <c r="N1692" t="s">
        <v>2176</v>
      </c>
      <c r="O1692">
        <v>5951197</v>
      </c>
      <c r="Q1692" t="s">
        <v>4205</v>
      </c>
      <c r="R1692" t="s">
        <v>132</v>
      </c>
      <c r="S1692" t="s">
        <v>52</v>
      </c>
      <c r="U1692">
        <v>889677</v>
      </c>
      <c r="V1692" s="3">
        <v>46050.392361111109</v>
      </c>
      <c r="W1692" t="s">
        <v>2177</v>
      </c>
      <c r="X1692" t="s">
        <v>2178</v>
      </c>
      <c r="Y1692" t="str">
        <f>"0414644229"</f>
        <v>0414644229</v>
      </c>
      <c r="Z1692" t="s">
        <v>70</v>
      </c>
      <c r="AA1692" s="1">
        <v>46060</v>
      </c>
      <c r="AB1692" t="s">
        <v>1278</v>
      </c>
      <c r="AD1692" t="s">
        <v>61</v>
      </c>
      <c r="AE1692" t="s">
        <v>1279</v>
      </c>
      <c r="AF1692">
        <v>2145</v>
      </c>
      <c r="AG1692" t="s">
        <v>1045</v>
      </c>
      <c r="AI1692" t="s">
        <v>59</v>
      </c>
      <c r="AL1692" t="s">
        <v>4193</v>
      </c>
      <c r="AN1692" s="3">
        <v>46060.759722222225</v>
      </c>
      <c r="AO1692" t="s">
        <v>2177</v>
      </c>
    </row>
    <row r="1693" spans="1:41" x14ac:dyDescent="0.3">
      <c r="A1693" t="s">
        <v>41</v>
      </c>
      <c r="B1693" t="s">
        <v>1452</v>
      </c>
      <c r="D1693" t="s">
        <v>246</v>
      </c>
      <c r="E1693" s="1">
        <v>46060</v>
      </c>
      <c r="F1693" t="s">
        <v>1374</v>
      </c>
      <c r="G1693" t="s">
        <v>45</v>
      </c>
      <c r="H1693" s="2">
        <v>0.29166666666666669</v>
      </c>
      <c r="I1693" s="2">
        <v>0.64583333333333337</v>
      </c>
      <c r="J1693" t="s">
        <v>296</v>
      </c>
      <c r="L1693" t="s">
        <v>1453</v>
      </c>
      <c r="M1693" t="s">
        <v>1454</v>
      </c>
      <c r="N1693" t="s">
        <v>1455</v>
      </c>
      <c r="O1693">
        <v>5951941</v>
      </c>
      <c r="Q1693" t="s">
        <v>1456</v>
      </c>
      <c r="R1693" t="s">
        <v>573</v>
      </c>
      <c r="S1693" t="s">
        <v>52</v>
      </c>
      <c r="T1693" t="s">
        <v>252</v>
      </c>
      <c r="U1693">
        <v>889953</v>
      </c>
      <c r="V1693" s="3">
        <v>46063.347222222219</v>
      </c>
      <c r="W1693" t="s">
        <v>1457</v>
      </c>
      <c r="X1693" t="s">
        <v>1458</v>
      </c>
      <c r="Y1693" t="str">
        <f>"0413847722"</f>
        <v>0413847722</v>
      </c>
      <c r="Z1693" t="s">
        <v>1635</v>
      </c>
      <c r="AA1693" s="1">
        <v>46097</v>
      </c>
      <c r="AB1693" t="s">
        <v>1459</v>
      </c>
      <c r="AD1693" t="s">
        <v>41</v>
      </c>
      <c r="AE1693" t="s">
        <v>1460</v>
      </c>
      <c r="AF1693">
        <v>4740</v>
      </c>
      <c r="AG1693" t="s">
        <v>1456</v>
      </c>
      <c r="AI1693" t="s">
        <v>59</v>
      </c>
      <c r="AJ1693" t="str">
        <f>"0050076628"</f>
        <v>0050076628</v>
      </c>
      <c r="AN1693" s="3">
        <v>46063.347222222219</v>
      </c>
      <c r="AO1693" t="s">
        <v>573</v>
      </c>
    </row>
    <row r="1694" spans="1:41" x14ac:dyDescent="0.3">
      <c r="A1694" t="s">
        <v>61</v>
      </c>
      <c r="B1694" t="s">
        <v>1079</v>
      </c>
      <c r="C1694" t="s">
        <v>43</v>
      </c>
      <c r="D1694" t="s">
        <v>63</v>
      </c>
      <c r="E1694" s="1">
        <v>46060</v>
      </c>
      <c r="F1694" t="s">
        <v>1374</v>
      </c>
      <c r="G1694" t="s">
        <v>45</v>
      </c>
      <c r="H1694" s="2">
        <v>0.29166666666666669</v>
      </c>
      <c r="I1694" s="2">
        <v>0.64583333333333337</v>
      </c>
      <c r="J1694" t="s">
        <v>185</v>
      </c>
      <c r="K1694" t="s">
        <v>1290</v>
      </c>
      <c r="L1694" t="s">
        <v>47</v>
      </c>
      <c r="M1694" t="s">
        <v>369</v>
      </c>
      <c r="N1694" t="s">
        <v>4206</v>
      </c>
      <c r="O1694">
        <v>21716</v>
      </c>
      <c r="Q1694" t="s">
        <v>4067</v>
      </c>
      <c r="R1694" t="s">
        <v>67</v>
      </c>
      <c r="S1694" t="s">
        <v>52</v>
      </c>
      <c r="U1694">
        <v>889674</v>
      </c>
      <c r="V1694" s="3">
        <v>46057.404861111114</v>
      </c>
      <c r="W1694" t="s">
        <v>4207</v>
      </c>
      <c r="X1694" t="s">
        <v>4208</v>
      </c>
      <c r="Y1694" t="str">
        <f>"0418890073"</f>
        <v>0418890073</v>
      </c>
      <c r="Z1694" t="s">
        <v>503</v>
      </c>
      <c r="AA1694" s="1">
        <v>46060</v>
      </c>
      <c r="AB1694" t="s">
        <v>1085</v>
      </c>
      <c r="AD1694" t="s">
        <v>61</v>
      </c>
      <c r="AE1694" t="s">
        <v>1086</v>
      </c>
      <c r="AF1694">
        <v>2031</v>
      </c>
      <c r="AG1694" t="s">
        <v>1576</v>
      </c>
      <c r="AI1694" t="s">
        <v>59</v>
      </c>
      <c r="AL1694" t="s">
        <v>4193</v>
      </c>
      <c r="AN1694" s="3">
        <v>46060.625694444447</v>
      </c>
      <c r="AO1694" t="s">
        <v>4207</v>
      </c>
    </row>
    <row r="1695" spans="1:41" x14ac:dyDescent="0.3">
      <c r="A1695" t="s">
        <v>61</v>
      </c>
      <c r="B1695" t="s">
        <v>1079</v>
      </c>
      <c r="C1695" t="s">
        <v>43</v>
      </c>
      <c r="D1695" t="s">
        <v>63</v>
      </c>
      <c r="E1695" s="1">
        <v>46060</v>
      </c>
      <c r="F1695" t="s">
        <v>1374</v>
      </c>
      <c r="G1695" t="s">
        <v>45</v>
      </c>
      <c r="H1695" s="2">
        <v>0.29166666666666669</v>
      </c>
      <c r="I1695" s="2">
        <v>0.72916666666666663</v>
      </c>
      <c r="J1695" t="s">
        <v>185</v>
      </c>
      <c r="K1695" t="s">
        <v>1290</v>
      </c>
      <c r="L1695" t="s">
        <v>186</v>
      </c>
      <c r="M1695" t="s">
        <v>1474</v>
      </c>
      <c r="N1695" t="s">
        <v>1475</v>
      </c>
      <c r="O1695">
        <v>22552</v>
      </c>
      <c r="Q1695" t="s">
        <v>3389</v>
      </c>
      <c r="R1695" t="s">
        <v>67</v>
      </c>
      <c r="S1695" t="s">
        <v>52</v>
      </c>
      <c r="U1695">
        <v>889679</v>
      </c>
      <c r="V1695" s="3">
        <v>46057.404861111114</v>
      </c>
      <c r="W1695" t="s">
        <v>1476</v>
      </c>
      <c r="X1695" t="s">
        <v>1477</v>
      </c>
      <c r="Y1695" t="str">
        <f>"0421669341"</f>
        <v>0421669341</v>
      </c>
      <c r="Z1695" t="s">
        <v>550</v>
      </c>
      <c r="AB1695" t="s">
        <v>1085</v>
      </c>
      <c r="AD1695" t="s">
        <v>61</v>
      </c>
      <c r="AE1695" t="s">
        <v>1086</v>
      </c>
      <c r="AF1695">
        <v>2031</v>
      </c>
      <c r="AG1695" t="s">
        <v>1576</v>
      </c>
      <c r="AI1695" t="s">
        <v>59</v>
      </c>
      <c r="AL1695" t="s">
        <v>4193</v>
      </c>
      <c r="AN1695" s="3">
        <v>46060.767361111109</v>
      </c>
      <c r="AO1695" t="s">
        <v>1476</v>
      </c>
    </row>
    <row r="1696" spans="1:41" x14ac:dyDescent="0.3">
      <c r="A1696" t="s">
        <v>61</v>
      </c>
      <c r="B1696" t="s">
        <v>507</v>
      </c>
      <c r="D1696" t="s">
        <v>63</v>
      </c>
      <c r="E1696" s="1">
        <v>46060</v>
      </c>
      <c r="F1696" t="s">
        <v>1374</v>
      </c>
      <c r="G1696" t="s">
        <v>45</v>
      </c>
      <c r="H1696" s="2">
        <v>0.29166666666666669</v>
      </c>
      <c r="I1696" s="2">
        <v>0.8125</v>
      </c>
      <c r="J1696" t="s">
        <v>296</v>
      </c>
      <c r="L1696" t="s">
        <v>298</v>
      </c>
      <c r="M1696" t="s">
        <v>729</v>
      </c>
      <c r="N1696" t="s">
        <v>2870</v>
      </c>
      <c r="O1696">
        <v>5952286</v>
      </c>
      <c r="Q1696" t="s">
        <v>516</v>
      </c>
      <c r="R1696" t="s">
        <v>67</v>
      </c>
      <c r="S1696" t="s">
        <v>52</v>
      </c>
      <c r="U1696">
        <v>889682</v>
      </c>
      <c r="V1696" s="3">
        <v>46050.370138888888</v>
      </c>
      <c r="W1696" t="s">
        <v>2872</v>
      </c>
      <c r="X1696" t="s">
        <v>2873</v>
      </c>
      <c r="Y1696" t="str">
        <f>"0411260975"</f>
        <v>0411260975</v>
      </c>
      <c r="Z1696" t="s">
        <v>2876</v>
      </c>
      <c r="AB1696" t="s">
        <v>514</v>
      </c>
      <c r="AD1696" t="s">
        <v>61</v>
      </c>
      <c r="AE1696" t="s">
        <v>515</v>
      </c>
      <c r="AF1696">
        <v>2086</v>
      </c>
      <c r="AG1696" t="s">
        <v>516</v>
      </c>
      <c r="AI1696" t="s">
        <v>59</v>
      </c>
      <c r="AL1696" t="s">
        <v>4193</v>
      </c>
      <c r="AN1696" s="3">
        <v>46060.821527777778</v>
      </c>
      <c r="AO1696" t="s">
        <v>2872</v>
      </c>
    </row>
    <row r="1697" spans="1:41" x14ac:dyDescent="0.3">
      <c r="A1697" t="s">
        <v>61</v>
      </c>
      <c r="B1697" t="s">
        <v>1271</v>
      </c>
      <c r="C1697" t="s">
        <v>1272</v>
      </c>
      <c r="D1697" t="s">
        <v>184</v>
      </c>
      <c r="E1697" s="1">
        <v>46060</v>
      </c>
      <c r="F1697" t="s">
        <v>1374</v>
      </c>
      <c r="G1697" t="s">
        <v>45</v>
      </c>
      <c r="H1697" s="2">
        <v>0.29166666666666669</v>
      </c>
      <c r="I1697" s="2">
        <v>0.8125</v>
      </c>
      <c r="J1697" t="s">
        <v>486</v>
      </c>
      <c r="L1697" t="s">
        <v>487</v>
      </c>
      <c r="M1697" t="s">
        <v>392</v>
      </c>
      <c r="N1697" t="s">
        <v>1280</v>
      </c>
      <c r="O1697">
        <v>5952420</v>
      </c>
      <c r="Q1697" t="s">
        <v>1190</v>
      </c>
      <c r="R1697" t="s">
        <v>67</v>
      </c>
      <c r="S1697" t="s">
        <v>52</v>
      </c>
      <c r="U1697">
        <v>889681</v>
      </c>
      <c r="V1697" s="3">
        <v>46056.350694444445</v>
      </c>
      <c r="W1697" t="s">
        <v>1781</v>
      </c>
      <c r="X1697" t="s">
        <v>1782</v>
      </c>
      <c r="Y1697" t="str">
        <f>"0435135581"</f>
        <v>0435135581</v>
      </c>
      <c r="Z1697" t="s">
        <v>782</v>
      </c>
      <c r="AA1697" s="1">
        <v>46060</v>
      </c>
      <c r="AB1697" t="s">
        <v>1278</v>
      </c>
      <c r="AD1697" t="s">
        <v>61</v>
      </c>
      <c r="AE1697" t="s">
        <v>1279</v>
      </c>
      <c r="AF1697">
        <v>2145</v>
      </c>
      <c r="AG1697" t="s">
        <v>1190</v>
      </c>
      <c r="AI1697" t="s">
        <v>59</v>
      </c>
      <c r="AL1697" t="s">
        <v>4193</v>
      </c>
      <c r="AN1697" s="3">
        <v>46060.808333333334</v>
      </c>
      <c r="AO1697" t="s">
        <v>1781</v>
      </c>
    </row>
    <row r="1698" spans="1:41" x14ac:dyDescent="0.3">
      <c r="A1698" t="s">
        <v>61</v>
      </c>
      <c r="B1698" t="s">
        <v>768</v>
      </c>
      <c r="C1698" t="s">
        <v>296</v>
      </c>
      <c r="D1698" t="s">
        <v>769</v>
      </c>
      <c r="E1698" s="1">
        <v>46060</v>
      </c>
      <c r="F1698" t="s">
        <v>1374</v>
      </c>
      <c r="G1698" t="s">
        <v>45</v>
      </c>
      <c r="H1698" s="2">
        <v>0.3125</v>
      </c>
      <c r="I1698" s="2">
        <v>0.625</v>
      </c>
      <c r="J1698" t="s">
        <v>296</v>
      </c>
      <c r="L1698" t="s">
        <v>298</v>
      </c>
      <c r="M1698" t="s">
        <v>770</v>
      </c>
      <c r="N1698" t="s">
        <v>771</v>
      </c>
      <c r="O1698">
        <v>5952291</v>
      </c>
      <c r="Q1698" t="s">
        <v>1957</v>
      </c>
      <c r="R1698" t="s">
        <v>67</v>
      </c>
      <c r="S1698" t="s">
        <v>52</v>
      </c>
      <c r="U1698">
        <v>889675</v>
      </c>
      <c r="V1698" s="3">
        <v>46050.375</v>
      </c>
      <c r="W1698" t="s">
        <v>773</v>
      </c>
      <c r="X1698" t="s">
        <v>774</v>
      </c>
      <c r="Y1698" t="str">
        <f>"0432174467"</f>
        <v>0432174467</v>
      </c>
      <c r="Z1698" t="s">
        <v>234</v>
      </c>
      <c r="AA1698" s="1">
        <v>46060</v>
      </c>
      <c r="AB1698" t="s">
        <v>775</v>
      </c>
      <c r="AD1698" t="s">
        <v>61</v>
      </c>
      <c r="AE1698" t="s">
        <v>776</v>
      </c>
      <c r="AF1698">
        <v>2076</v>
      </c>
      <c r="AG1698" t="s">
        <v>1957</v>
      </c>
      <c r="AI1698" t="s">
        <v>59</v>
      </c>
      <c r="AL1698" t="s">
        <v>4193</v>
      </c>
      <c r="AN1698" s="3">
        <v>46060.637499999997</v>
      </c>
      <c r="AO1698" t="s">
        <v>773</v>
      </c>
    </row>
    <row r="1699" spans="1:41" x14ac:dyDescent="0.3">
      <c r="A1699" t="s">
        <v>61</v>
      </c>
      <c r="B1699" t="s">
        <v>1079</v>
      </c>
      <c r="C1699" t="s">
        <v>2037</v>
      </c>
      <c r="D1699" t="s">
        <v>63</v>
      </c>
      <c r="E1699" s="1">
        <v>46060</v>
      </c>
      <c r="F1699" t="s">
        <v>1374</v>
      </c>
      <c r="G1699" t="s">
        <v>128</v>
      </c>
      <c r="H1699" s="2">
        <v>0.52083333333333337</v>
      </c>
      <c r="I1699" s="2">
        <v>0.875</v>
      </c>
      <c r="J1699" t="s">
        <v>46</v>
      </c>
      <c r="L1699" t="s">
        <v>47</v>
      </c>
      <c r="M1699" t="s">
        <v>4106</v>
      </c>
      <c r="N1699" t="s">
        <v>4107</v>
      </c>
      <c r="O1699">
        <v>21085</v>
      </c>
      <c r="Q1699" t="s">
        <v>2242</v>
      </c>
      <c r="R1699" t="s">
        <v>132</v>
      </c>
      <c r="S1699" t="s">
        <v>52</v>
      </c>
      <c r="U1699">
        <v>889693</v>
      </c>
      <c r="V1699" s="3">
        <v>46059.352777777778</v>
      </c>
      <c r="W1699" t="s">
        <v>4109</v>
      </c>
      <c r="X1699" t="s">
        <v>4110</v>
      </c>
      <c r="Y1699" t="str">
        <f>"0401833113"</f>
        <v>0401833113</v>
      </c>
      <c r="Z1699" t="s">
        <v>550</v>
      </c>
      <c r="AA1699" s="1">
        <v>46060</v>
      </c>
      <c r="AB1699" t="s">
        <v>1085</v>
      </c>
      <c r="AD1699" t="s">
        <v>61</v>
      </c>
      <c r="AE1699" t="s">
        <v>1086</v>
      </c>
      <c r="AF1699">
        <v>2031</v>
      </c>
      <c r="AG1699" t="s">
        <v>1087</v>
      </c>
      <c r="AI1699" t="s">
        <v>59</v>
      </c>
      <c r="AL1699" t="s">
        <v>4209</v>
      </c>
      <c r="AN1699" s="3">
        <v>46060.831944444442</v>
      </c>
      <c r="AO1699" t="s">
        <v>4109</v>
      </c>
    </row>
    <row r="1700" spans="1:41" x14ac:dyDescent="0.3">
      <c r="A1700" t="s">
        <v>168</v>
      </c>
      <c r="B1700" t="s">
        <v>1312</v>
      </c>
      <c r="C1700" t="s">
        <v>1313</v>
      </c>
      <c r="D1700" t="s">
        <v>268</v>
      </c>
      <c r="E1700" s="1">
        <v>46060</v>
      </c>
      <c r="F1700" t="s">
        <v>1374</v>
      </c>
      <c r="G1700" t="s">
        <v>128</v>
      </c>
      <c r="H1700" s="2">
        <v>0.54166666666666663</v>
      </c>
      <c r="I1700" s="2">
        <v>0.89583333333333337</v>
      </c>
      <c r="J1700" t="s">
        <v>1314</v>
      </c>
      <c r="K1700" t="s">
        <v>849</v>
      </c>
      <c r="L1700" t="s">
        <v>47</v>
      </c>
      <c r="M1700" t="s">
        <v>1315</v>
      </c>
      <c r="N1700" t="s">
        <v>1316</v>
      </c>
      <c r="O1700">
        <v>22278</v>
      </c>
      <c r="Q1700" t="s">
        <v>705</v>
      </c>
      <c r="R1700" t="s">
        <v>176</v>
      </c>
      <c r="S1700" t="s">
        <v>119</v>
      </c>
      <c r="T1700" t="s">
        <v>414</v>
      </c>
      <c r="U1700">
        <v>889876</v>
      </c>
      <c r="V1700" s="3">
        <v>46059.415277777778</v>
      </c>
      <c r="W1700" t="s">
        <v>1317</v>
      </c>
      <c r="X1700" t="s">
        <v>1318</v>
      </c>
      <c r="Y1700" t="str">
        <f>"0413259096"</f>
        <v>0413259096</v>
      </c>
      <c r="Z1700" t="s">
        <v>70</v>
      </c>
      <c r="AB1700" t="s">
        <v>1312</v>
      </c>
      <c r="AC1700" t="s">
        <v>1319</v>
      </c>
      <c r="AD1700" t="s">
        <v>168</v>
      </c>
      <c r="AE1700" t="s">
        <v>1320</v>
      </c>
      <c r="AF1700">
        <v>5417</v>
      </c>
      <c r="AI1700" t="s">
        <v>59</v>
      </c>
      <c r="AL1700" t="s">
        <v>4210</v>
      </c>
      <c r="AM1700" t="s">
        <v>4211</v>
      </c>
      <c r="AN1700" s="3">
        <v>46059.450694444444</v>
      </c>
      <c r="AO1700" t="s">
        <v>231</v>
      </c>
    </row>
    <row r="1701" spans="1:41" x14ac:dyDescent="0.3">
      <c r="A1701" t="s">
        <v>41</v>
      </c>
      <c r="B1701" t="s">
        <v>589</v>
      </c>
      <c r="C1701" t="s">
        <v>590</v>
      </c>
      <c r="D1701" t="s">
        <v>246</v>
      </c>
      <c r="E1701" s="1">
        <v>46060</v>
      </c>
      <c r="F1701" t="s">
        <v>1374</v>
      </c>
      <c r="G1701" t="s">
        <v>128</v>
      </c>
      <c r="H1701" s="2">
        <v>0.60416666666666663</v>
      </c>
      <c r="I1701" s="2">
        <v>0.95833333333333337</v>
      </c>
      <c r="J1701" t="s">
        <v>591</v>
      </c>
      <c r="L1701" t="s">
        <v>592</v>
      </c>
      <c r="M1701" t="s">
        <v>593</v>
      </c>
      <c r="N1701" t="s">
        <v>594</v>
      </c>
      <c r="O1701">
        <v>5952427</v>
      </c>
      <c r="P1701" t="s">
        <v>249</v>
      </c>
      <c r="Q1701" t="s">
        <v>596</v>
      </c>
      <c r="R1701" t="s">
        <v>392</v>
      </c>
      <c r="S1701" t="s">
        <v>52</v>
      </c>
      <c r="T1701" t="s">
        <v>252</v>
      </c>
      <c r="U1701">
        <v>889909</v>
      </c>
      <c r="V1701" s="3">
        <v>46062.880555555559</v>
      </c>
      <c r="W1701" t="s">
        <v>597</v>
      </c>
      <c r="X1701" t="s">
        <v>598</v>
      </c>
      <c r="Y1701" t="str">
        <f>"0432677728"</f>
        <v>0432677728</v>
      </c>
      <c r="Z1701" t="s">
        <v>290</v>
      </c>
      <c r="AA1701" s="1">
        <v>46082</v>
      </c>
      <c r="AB1701" t="s">
        <v>599</v>
      </c>
      <c r="AC1701" t="s">
        <v>600</v>
      </c>
      <c r="AD1701" t="s">
        <v>41</v>
      </c>
      <c r="AE1701" t="s">
        <v>600</v>
      </c>
      <c r="AF1701">
        <v>4610</v>
      </c>
      <c r="AG1701" t="s">
        <v>601</v>
      </c>
      <c r="AI1701" t="s">
        <v>59</v>
      </c>
      <c r="AJ1701" t="str">
        <f>"0050075752"</f>
        <v>0050075752</v>
      </c>
      <c r="AN1701" s="3">
        <v>46062.880555555559</v>
      </c>
      <c r="AO1701" t="s">
        <v>392</v>
      </c>
    </row>
    <row r="1702" spans="1:41" x14ac:dyDescent="0.3">
      <c r="A1702" t="s">
        <v>168</v>
      </c>
      <c r="B1702" t="s">
        <v>607</v>
      </c>
      <c r="C1702" t="s">
        <v>267</v>
      </c>
      <c r="D1702" t="s">
        <v>268</v>
      </c>
      <c r="E1702" s="1">
        <v>46060</v>
      </c>
      <c r="F1702" t="s">
        <v>1374</v>
      </c>
      <c r="G1702" t="s">
        <v>45</v>
      </c>
      <c r="H1702" s="2">
        <v>0.60416666666666663</v>
      </c>
      <c r="I1702" s="2">
        <v>0.95833333333333337</v>
      </c>
      <c r="J1702" t="s">
        <v>269</v>
      </c>
      <c r="K1702" t="s">
        <v>608</v>
      </c>
      <c r="L1702" t="s">
        <v>609</v>
      </c>
      <c r="M1702" t="s">
        <v>610</v>
      </c>
      <c r="N1702" t="s">
        <v>611</v>
      </c>
      <c r="O1702">
        <v>5952121</v>
      </c>
      <c r="P1702" t="s">
        <v>249</v>
      </c>
      <c r="Q1702" t="s">
        <v>612</v>
      </c>
      <c r="R1702" t="s">
        <v>613</v>
      </c>
      <c r="S1702" t="s">
        <v>52</v>
      </c>
      <c r="T1702" t="s">
        <v>252</v>
      </c>
      <c r="U1702">
        <v>889745</v>
      </c>
      <c r="V1702" s="3">
        <v>46062.01666666667</v>
      </c>
      <c r="W1702" t="s">
        <v>613</v>
      </c>
      <c r="X1702" t="s">
        <v>614</v>
      </c>
      <c r="Y1702" t="str">
        <f>"0412297150"</f>
        <v>0412297150</v>
      </c>
      <c r="Z1702" t="s">
        <v>290</v>
      </c>
      <c r="AA1702" s="1">
        <v>46077</v>
      </c>
      <c r="AB1702" t="s">
        <v>615</v>
      </c>
      <c r="AC1702" t="s">
        <v>616</v>
      </c>
      <c r="AD1702" t="s">
        <v>168</v>
      </c>
      <c r="AE1702" t="s">
        <v>617</v>
      </c>
      <c r="AF1702">
        <v>5290</v>
      </c>
      <c r="AG1702" t="s">
        <v>618</v>
      </c>
      <c r="AI1702" t="s">
        <v>59</v>
      </c>
      <c r="AJ1702" t="str">
        <f>"0020171780"</f>
        <v>0020171780</v>
      </c>
      <c r="AM1702" t="s">
        <v>2025</v>
      </c>
      <c r="AN1702" s="3">
        <v>46062.01666666667</v>
      </c>
      <c r="AO1702" t="s">
        <v>613</v>
      </c>
    </row>
    <row r="1703" spans="1:41" x14ac:dyDescent="0.3">
      <c r="A1703" t="s">
        <v>61</v>
      </c>
      <c r="B1703" t="s">
        <v>1937</v>
      </c>
      <c r="C1703" t="s">
        <v>1627</v>
      </c>
      <c r="D1703" t="s">
        <v>184</v>
      </c>
      <c r="E1703" s="1">
        <v>46060</v>
      </c>
      <c r="F1703" t="s">
        <v>1374</v>
      </c>
      <c r="G1703" t="s">
        <v>128</v>
      </c>
      <c r="H1703" s="2">
        <v>0.60416666666666663</v>
      </c>
      <c r="I1703" s="2">
        <v>0.9375</v>
      </c>
      <c r="J1703" t="s">
        <v>486</v>
      </c>
      <c r="L1703" t="s">
        <v>2436</v>
      </c>
      <c r="M1703" t="s">
        <v>2075</v>
      </c>
      <c r="N1703" t="s">
        <v>2883</v>
      </c>
      <c r="O1703">
        <v>22004</v>
      </c>
      <c r="Q1703" t="s">
        <v>4212</v>
      </c>
      <c r="R1703" t="s">
        <v>1248</v>
      </c>
      <c r="S1703" t="s">
        <v>52</v>
      </c>
      <c r="U1703">
        <v>889695</v>
      </c>
      <c r="V1703" s="3">
        <v>46060.368055555555</v>
      </c>
      <c r="W1703" t="s">
        <v>2885</v>
      </c>
      <c r="X1703" t="s">
        <v>2886</v>
      </c>
      <c r="Y1703" t="str">
        <f>"0450422953"</f>
        <v>0450422953</v>
      </c>
      <c r="Z1703" t="s">
        <v>70</v>
      </c>
      <c r="AA1703" s="1">
        <v>46060</v>
      </c>
      <c r="AB1703" t="s">
        <v>1942</v>
      </c>
      <c r="AD1703" t="s">
        <v>61</v>
      </c>
      <c r="AE1703" t="s">
        <v>1943</v>
      </c>
      <c r="AF1703">
        <v>2065</v>
      </c>
      <c r="AG1703" t="s">
        <v>4212</v>
      </c>
      <c r="AI1703" t="s">
        <v>59</v>
      </c>
      <c r="AL1703" t="s">
        <v>87</v>
      </c>
      <c r="AN1703" s="3">
        <v>46060.929166666669</v>
      </c>
      <c r="AO1703" t="s">
        <v>2885</v>
      </c>
    </row>
    <row r="1704" spans="1:41" x14ac:dyDescent="0.3">
      <c r="A1704" t="s">
        <v>61</v>
      </c>
      <c r="B1704" t="s">
        <v>1271</v>
      </c>
      <c r="C1704" t="s">
        <v>1272</v>
      </c>
      <c r="D1704" t="s">
        <v>184</v>
      </c>
      <c r="E1704" s="1">
        <v>46060</v>
      </c>
      <c r="F1704" t="s">
        <v>1374</v>
      </c>
      <c r="G1704" t="s">
        <v>128</v>
      </c>
      <c r="H1704" s="2">
        <v>0.625</v>
      </c>
      <c r="I1704" s="2">
        <v>0.97916666666666663</v>
      </c>
      <c r="J1704" t="s">
        <v>590</v>
      </c>
      <c r="L1704" t="s">
        <v>487</v>
      </c>
      <c r="M1704" t="s">
        <v>1273</v>
      </c>
      <c r="N1704" t="s">
        <v>1274</v>
      </c>
      <c r="O1704">
        <v>5950810</v>
      </c>
      <c r="Q1704" t="s">
        <v>1275</v>
      </c>
      <c r="R1704" t="s">
        <v>132</v>
      </c>
      <c r="S1704" t="s">
        <v>52</v>
      </c>
      <c r="U1704">
        <v>889697</v>
      </c>
      <c r="V1704" s="3">
        <v>46028.57708333333</v>
      </c>
      <c r="W1704" t="s">
        <v>1276</v>
      </c>
      <c r="X1704" t="s">
        <v>1277</v>
      </c>
      <c r="Y1704" t="str">
        <f>"0405246691"</f>
        <v>0405246691</v>
      </c>
      <c r="Z1704" t="s">
        <v>585</v>
      </c>
      <c r="AB1704" t="s">
        <v>1278</v>
      </c>
      <c r="AD1704" t="s">
        <v>61</v>
      </c>
      <c r="AE1704" t="s">
        <v>1279</v>
      </c>
      <c r="AF1704">
        <v>2145</v>
      </c>
      <c r="AG1704" t="s">
        <v>1275</v>
      </c>
      <c r="AI1704" t="s">
        <v>59</v>
      </c>
      <c r="AL1704" t="s">
        <v>4193</v>
      </c>
      <c r="AN1704" s="3">
        <v>46060.958333333336</v>
      </c>
      <c r="AO1704" t="s">
        <v>1276</v>
      </c>
    </row>
    <row r="1705" spans="1:41" x14ac:dyDescent="0.3">
      <c r="A1705" t="s">
        <v>168</v>
      </c>
      <c r="B1705" t="s">
        <v>2606</v>
      </c>
      <c r="C1705" t="s">
        <v>602</v>
      </c>
      <c r="D1705" t="s">
        <v>268</v>
      </c>
      <c r="E1705" s="1">
        <v>46060</v>
      </c>
      <c r="F1705" t="s">
        <v>1374</v>
      </c>
      <c r="G1705" t="s">
        <v>128</v>
      </c>
      <c r="H1705" s="2">
        <v>0.625</v>
      </c>
      <c r="I1705" s="2">
        <v>0.97916666666666663</v>
      </c>
      <c r="J1705" t="s">
        <v>4213</v>
      </c>
      <c r="K1705" t="s">
        <v>849</v>
      </c>
      <c r="L1705" t="s">
        <v>172</v>
      </c>
      <c r="M1705" t="s">
        <v>4214</v>
      </c>
      <c r="N1705" t="s">
        <v>4215</v>
      </c>
      <c r="O1705">
        <v>5951844</v>
      </c>
      <c r="Q1705" t="s">
        <v>705</v>
      </c>
      <c r="R1705" t="s">
        <v>231</v>
      </c>
      <c r="S1705" t="s">
        <v>119</v>
      </c>
      <c r="U1705">
        <v>889874</v>
      </c>
      <c r="V1705" s="3">
        <v>46059.566666666666</v>
      </c>
      <c r="W1705" t="s">
        <v>4216</v>
      </c>
      <c r="X1705" t="s">
        <v>4217</v>
      </c>
      <c r="Y1705" t="str">
        <f>"0497079363"</f>
        <v>0497079363</v>
      </c>
      <c r="Z1705" t="s">
        <v>70</v>
      </c>
      <c r="AB1705" t="s">
        <v>2608</v>
      </c>
      <c r="AC1705" t="s">
        <v>2609</v>
      </c>
      <c r="AD1705" t="s">
        <v>168</v>
      </c>
      <c r="AE1705" t="s">
        <v>2610</v>
      </c>
      <c r="AF1705">
        <v>5211</v>
      </c>
      <c r="AI1705" t="s">
        <v>59</v>
      </c>
      <c r="AL1705" t="s">
        <v>4218</v>
      </c>
      <c r="AM1705" t="s">
        <v>4219</v>
      </c>
      <c r="AN1705" s="3">
        <v>46059.588194444441</v>
      </c>
      <c r="AO1705" t="s">
        <v>231</v>
      </c>
    </row>
    <row r="1706" spans="1:41" x14ac:dyDescent="0.3">
      <c r="A1706" t="s">
        <v>61</v>
      </c>
      <c r="B1706" t="s">
        <v>753</v>
      </c>
      <c r="C1706" t="s">
        <v>2343</v>
      </c>
      <c r="D1706" t="s">
        <v>754</v>
      </c>
      <c r="E1706" s="1">
        <v>46060</v>
      </c>
      <c r="F1706" t="s">
        <v>1374</v>
      </c>
      <c r="G1706" t="s">
        <v>485</v>
      </c>
      <c r="H1706" s="2">
        <v>0.79166666666666663</v>
      </c>
      <c r="I1706" s="2">
        <v>0.3125</v>
      </c>
      <c r="J1706" t="s">
        <v>590</v>
      </c>
      <c r="L1706" t="s">
        <v>487</v>
      </c>
      <c r="M1706" t="s">
        <v>1645</v>
      </c>
      <c r="N1706" t="s">
        <v>1646</v>
      </c>
      <c r="O1706">
        <v>5951065</v>
      </c>
      <c r="Q1706" t="s">
        <v>2438</v>
      </c>
      <c r="R1706" t="s">
        <v>67</v>
      </c>
      <c r="S1706" t="s">
        <v>52</v>
      </c>
      <c r="U1706">
        <v>889708</v>
      </c>
      <c r="V1706" s="3">
        <v>46051.422222222223</v>
      </c>
      <c r="W1706" t="s">
        <v>1647</v>
      </c>
      <c r="X1706" t="s">
        <v>1648</v>
      </c>
      <c r="Y1706" t="str">
        <f>"0408979009"</f>
        <v>0408979009</v>
      </c>
      <c r="Z1706" t="s">
        <v>1375</v>
      </c>
      <c r="AA1706" s="1">
        <v>46060</v>
      </c>
      <c r="AB1706" t="s">
        <v>764</v>
      </c>
      <c r="AD1706" t="s">
        <v>61</v>
      </c>
      <c r="AE1706" t="s">
        <v>765</v>
      </c>
      <c r="AF1706">
        <v>2220</v>
      </c>
      <c r="AG1706" t="s">
        <v>2438</v>
      </c>
      <c r="AI1706" t="s">
        <v>59</v>
      </c>
      <c r="AL1706" t="s">
        <v>4193</v>
      </c>
      <c r="AN1706" s="3">
        <v>46061.301388888889</v>
      </c>
      <c r="AO1706" t="s">
        <v>1647</v>
      </c>
    </row>
    <row r="1707" spans="1:41" x14ac:dyDescent="0.3">
      <c r="A1707" t="s">
        <v>61</v>
      </c>
      <c r="B1707" t="s">
        <v>1079</v>
      </c>
      <c r="C1707" t="s">
        <v>484</v>
      </c>
      <c r="D1707" t="s">
        <v>63</v>
      </c>
      <c r="E1707" s="1">
        <v>46060</v>
      </c>
      <c r="F1707" t="s">
        <v>1374</v>
      </c>
      <c r="G1707" t="s">
        <v>485</v>
      </c>
      <c r="H1707" s="2">
        <v>0.79166666666666663</v>
      </c>
      <c r="I1707" s="2">
        <v>0.3125</v>
      </c>
      <c r="J1707" t="s">
        <v>486</v>
      </c>
      <c r="L1707" t="s">
        <v>487</v>
      </c>
      <c r="M1707" t="s">
        <v>1578</v>
      </c>
      <c r="N1707" t="s">
        <v>3786</v>
      </c>
      <c r="O1707">
        <v>5951273</v>
      </c>
      <c r="Q1707" t="s">
        <v>4220</v>
      </c>
      <c r="R1707" t="s">
        <v>1248</v>
      </c>
      <c r="S1707" t="s">
        <v>52</v>
      </c>
      <c r="U1707">
        <v>889709</v>
      </c>
      <c r="V1707" s="3">
        <v>46060.423611111109</v>
      </c>
      <c r="W1707" t="s">
        <v>3787</v>
      </c>
      <c r="X1707" t="s">
        <v>3788</v>
      </c>
      <c r="Y1707" t="str">
        <f>"0413492261"</f>
        <v>0413492261</v>
      </c>
      <c r="Z1707" t="s">
        <v>70</v>
      </c>
      <c r="AA1707" s="1">
        <v>46060</v>
      </c>
      <c r="AB1707" t="s">
        <v>1085</v>
      </c>
      <c r="AD1707" t="s">
        <v>61</v>
      </c>
      <c r="AE1707" t="s">
        <v>1086</v>
      </c>
      <c r="AF1707">
        <v>2031</v>
      </c>
      <c r="AG1707" t="s">
        <v>4220</v>
      </c>
      <c r="AI1707" t="s">
        <v>59</v>
      </c>
      <c r="AL1707" t="s">
        <v>87</v>
      </c>
      <c r="AN1707" s="3">
        <v>46061.305555555555</v>
      </c>
      <c r="AO1707" t="s">
        <v>3787</v>
      </c>
    </row>
    <row r="1708" spans="1:41" x14ac:dyDescent="0.3">
      <c r="A1708" t="s">
        <v>61</v>
      </c>
      <c r="B1708" t="s">
        <v>1271</v>
      </c>
      <c r="C1708" t="s">
        <v>1272</v>
      </c>
      <c r="D1708" t="s">
        <v>184</v>
      </c>
      <c r="E1708" s="1">
        <v>46060</v>
      </c>
      <c r="F1708" t="s">
        <v>1374</v>
      </c>
      <c r="G1708" t="s">
        <v>485</v>
      </c>
      <c r="H1708" s="2">
        <v>0.79166666666666663</v>
      </c>
      <c r="I1708" s="2">
        <v>0.3125</v>
      </c>
      <c r="J1708" t="s">
        <v>486</v>
      </c>
      <c r="L1708" t="s">
        <v>487</v>
      </c>
      <c r="M1708" t="s">
        <v>488</v>
      </c>
      <c r="N1708" t="s">
        <v>489</v>
      </c>
      <c r="O1708">
        <v>5951809</v>
      </c>
      <c r="Q1708" t="s">
        <v>4221</v>
      </c>
      <c r="R1708" t="s">
        <v>1248</v>
      </c>
      <c r="S1708" t="s">
        <v>52</v>
      </c>
      <c r="U1708">
        <v>889713</v>
      </c>
      <c r="V1708" s="3">
        <v>46060.413194444445</v>
      </c>
      <c r="W1708" t="s">
        <v>491</v>
      </c>
      <c r="X1708" t="s">
        <v>492</v>
      </c>
      <c r="Y1708" t="str">
        <f>"0431000508"</f>
        <v>0431000508</v>
      </c>
      <c r="Z1708" t="s">
        <v>70</v>
      </c>
      <c r="AA1708" s="1">
        <v>46060</v>
      </c>
      <c r="AB1708" t="s">
        <v>1278</v>
      </c>
      <c r="AD1708" t="s">
        <v>61</v>
      </c>
      <c r="AE1708" t="s">
        <v>1279</v>
      </c>
      <c r="AF1708">
        <v>2145</v>
      </c>
      <c r="AG1708" t="s">
        <v>1045</v>
      </c>
      <c r="AI1708" t="s">
        <v>59</v>
      </c>
      <c r="AL1708" t="s">
        <v>87</v>
      </c>
      <c r="AN1708" s="3">
        <v>46061.320833333331</v>
      </c>
      <c r="AO1708" t="s">
        <v>491</v>
      </c>
    </row>
    <row r="1709" spans="1:41" x14ac:dyDescent="0.3">
      <c r="A1709" t="s">
        <v>61</v>
      </c>
      <c r="B1709" t="s">
        <v>1271</v>
      </c>
      <c r="C1709" t="s">
        <v>1272</v>
      </c>
      <c r="D1709" t="s">
        <v>184</v>
      </c>
      <c r="E1709" s="1">
        <v>46060</v>
      </c>
      <c r="F1709" t="s">
        <v>1374</v>
      </c>
      <c r="G1709" t="s">
        <v>485</v>
      </c>
      <c r="H1709" s="2">
        <v>0.79166666666666663</v>
      </c>
      <c r="I1709" s="2">
        <v>0.3125</v>
      </c>
      <c r="J1709" t="s">
        <v>486</v>
      </c>
      <c r="L1709" t="s">
        <v>487</v>
      </c>
      <c r="M1709" t="s">
        <v>2064</v>
      </c>
      <c r="N1709" t="s">
        <v>2065</v>
      </c>
      <c r="O1709">
        <v>5952410</v>
      </c>
      <c r="Q1709" t="s">
        <v>1190</v>
      </c>
      <c r="R1709" t="s">
        <v>67</v>
      </c>
      <c r="S1709" t="s">
        <v>52</v>
      </c>
      <c r="U1709">
        <v>889712</v>
      </c>
      <c r="V1709" s="3">
        <v>46059.52847222222</v>
      </c>
      <c r="W1709" t="s">
        <v>2067</v>
      </c>
      <c r="X1709" t="s">
        <v>2068</v>
      </c>
      <c r="Y1709" t="str">
        <f>"0410100247"</f>
        <v>0410100247</v>
      </c>
      <c r="Z1709" t="s">
        <v>70</v>
      </c>
      <c r="AA1709" s="1">
        <v>46060</v>
      </c>
      <c r="AB1709" t="s">
        <v>1278</v>
      </c>
      <c r="AD1709" t="s">
        <v>61</v>
      </c>
      <c r="AE1709" t="s">
        <v>1279</v>
      </c>
      <c r="AF1709">
        <v>2145</v>
      </c>
      <c r="AG1709" t="s">
        <v>1045</v>
      </c>
      <c r="AI1709" t="s">
        <v>59</v>
      </c>
      <c r="AN1709" s="3">
        <v>46061.320138888892</v>
      </c>
      <c r="AO1709" t="s">
        <v>2067</v>
      </c>
    </row>
    <row r="1710" spans="1:41" x14ac:dyDescent="0.3">
      <c r="A1710" t="s">
        <v>61</v>
      </c>
      <c r="B1710" t="s">
        <v>1937</v>
      </c>
      <c r="C1710" t="s">
        <v>296</v>
      </c>
      <c r="D1710" t="s">
        <v>184</v>
      </c>
      <c r="E1710" s="1">
        <v>46060</v>
      </c>
      <c r="F1710" t="s">
        <v>1374</v>
      </c>
      <c r="G1710" t="s">
        <v>485</v>
      </c>
      <c r="H1710" s="2">
        <v>0.79166666666666663</v>
      </c>
      <c r="I1710" s="2">
        <v>0.3125</v>
      </c>
      <c r="J1710" t="s">
        <v>296</v>
      </c>
      <c r="L1710" t="s">
        <v>1453</v>
      </c>
      <c r="M1710" t="s">
        <v>4222</v>
      </c>
      <c r="N1710" t="s">
        <v>4223</v>
      </c>
      <c r="O1710">
        <v>5952422</v>
      </c>
      <c r="Q1710" t="s">
        <v>4224</v>
      </c>
      <c r="R1710" t="s">
        <v>67</v>
      </c>
      <c r="S1710" t="s">
        <v>52</v>
      </c>
      <c r="U1710">
        <v>889710</v>
      </c>
      <c r="V1710" s="3">
        <v>46059.552083333336</v>
      </c>
      <c r="W1710" t="s">
        <v>4225</v>
      </c>
      <c r="X1710" t="s">
        <v>4226</v>
      </c>
      <c r="Y1710" t="str">
        <f>"0450516294"</f>
        <v>0450516294</v>
      </c>
      <c r="Z1710" t="s">
        <v>503</v>
      </c>
      <c r="AB1710" t="s">
        <v>1942</v>
      </c>
      <c r="AD1710" t="s">
        <v>61</v>
      </c>
      <c r="AE1710" t="s">
        <v>1943</v>
      </c>
      <c r="AF1710">
        <v>2065</v>
      </c>
      <c r="AG1710" t="s">
        <v>2986</v>
      </c>
      <c r="AI1710" t="s">
        <v>59</v>
      </c>
      <c r="AL1710" t="s">
        <v>4227</v>
      </c>
      <c r="AN1710" s="3">
        <v>46061.3125</v>
      </c>
      <c r="AO1710" t="s">
        <v>4225</v>
      </c>
    </row>
    <row r="1711" spans="1:41" x14ac:dyDescent="0.3">
      <c r="A1711" t="s">
        <v>168</v>
      </c>
      <c r="B1711" t="s">
        <v>336</v>
      </c>
      <c r="C1711" t="s">
        <v>602</v>
      </c>
      <c r="D1711" t="s">
        <v>268</v>
      </c>
      <c r="E1711" s="1">
        <v>46060</v>
      </c>
      <c r="F1711" t="s">
        <v>1374</v>
      </c>
      <c r="G1711" t="s">
        <v>485</v>
      </c>
      <c r="H1711" s="2">
        <v>0.875</v>
      </c>
      <c r="I1711" s="2">
        <v>0.3125</v>
      </c>
      <c r="J1711" t="s">
        <v>269</v>
      </c>
      <c r="K1711" t="s">
        <v>712</v>
      </c>
      <c r="L1711" t="s">
        <v>713</v>
      </c>
      <c r="M1711" t="s">
        <v>476</v>
      </c>
      <c r="N1711" t="s">
        <v>714</v>
      </c>
      <c r="O1711">
        <v>5951199</v>
      </c>
      <c r="P1711" t="s">
        <v>712</v>
      </c>
      <c r="Q1711" t="s">
        <v>1737</v>
      </c>
      <c r="R1711" t="s">
        <v>1248</v>
      </c>
      <c r="S1711" t="s">
        <v>52</v>
      </c>
      <c r="U1711">
        <v>889714</v>
      </c>
      <c r="V1711" s="3">
        <v>46060.394444444442</v>
      </c>
      <c r="W1711" t="s">
        <v>715</v>
      </c>
      <c r="X1711" t="s">
        <v>716</v>
      </c>
      <c r="Y1711" t="str">
        <f>"0426611875"</f>
        <v>0426611875</v>
      </c>
      <c r="Z1711" t="s">
        <v>70</v>
      </c>
      <c r="AB1711" t="s">
        <v>346</v>
      </c>
      <c r="AD1711" t="s">
        <v>168</v>
      </c>
      <c r="AE1711" t="s">
        <v>347</v>
      </c>
      <c r="AF1711">
        <v>5042</v>
      </c>
      <c r="AG1711" t="s">
        <v>342</v>
      </c>
      <c r="AI1711" t="s">
        <v>59</v>
      </c>
      <c r="AL1711" t="s">
        <v>4228</v>
      </c>
      <c r="AN1711" s="3">
        <v>46061.324305555558</v>
      </c>
      <c r="AO1711" t="s">
        <v>715</v>
      </c>
    </row>
    <row r="1712" spans="1:41" x14ac:dyDescent="0.3">
      <c r="A1712" t="s">
        <v>306</v>
      </c>
      <c r="B1712" t="s">
        <v>528</v>
      </c>
      <c r="C1712" t="s">
        <v>529</v>
      </c>
      <c r="D1712" t="s">
        <v>63</v>
      </c>
      <c r="E1712" s="1">
        <v>46060</v>
      </c>
      <c r="F1712" t="s">
        <v>1374</v>
      </c>
      <c r="G1712" t="s">
        <v>485</v>
      </c>
      <c r="H1712" s="2">
        <v>0.89583333333333337</v>
      </c>
      <c r="I1712" s="2">
        <v>0.3125</v>
      </c>
      <c r="J1712" t="s">
        <v>529</v>
      </c>
      <c r="K1712" t="s">
        <v>530</v>
      </c>
      <c r="L1712" t="s">
        <v>531</v>
      </c>
      <c r="M1712" t="s">
        <v>1603</v>
      </c>
      <c r="N1712" t="s">
        <v>4229</v>
      </c>
      <c r="O1712">
        <v>20405</v>
      </c>
      <c r="Q1712" t="s">
        <v>4230</v>
      </c>
      <c r="R1712" t="s">
        <v>500</v>
      </c>
      <c r="S1712" t="s">
        <v>52</v>
      </c>
      <c r="U1712">
        <v>889711</v>
      </c>
      <c r="V1712" s="3">
        <v>46060.756249999999</v>
      </c>
      <c r="W1712" t="s">
        <v>4231</v>
      </c>
      <c r="X1712" t="s">
        <v>4232</v>
      </c>
      <c r="Y1712" t="str">
        <f>"0402357912"</f>
        <v>0402357912</v>
      </c>
      <c r="Z1712" t="s">
        <v>70</v>
      </c>
      <c r="AA1712" s="1">
        <v>46060</v>
      </c>
      <c r="AB1712" t="s">
        <v>537</v>
      </c>
      <c r="AD1712" t="s">
        <v>306</v>
      </c>
      <c r="AE1712" t="s">
        <v>538</v>
      </c>
      <c r="AF1712">
        <v>3152</v>
      </c>
      <c r="AG1712" t="s">
        <v>4233</v>
      </c>
      <c r="AI1712" t="s">
        <v>59</v>
      </c>
      <c r="AL1712" t="s">
        <v>87</v>
      </c>
      <c r="AN1712" s="3">
        <v>46061.31527777778</v>
      </c>
      <c r="AO1712" t="s">
        <v>4231</v>
      </c>
    </row>
    <row r="1713" spans="1:41" x14ac:dyDescent="0.3">
      <c r="A1713" t="s">
        <v>306</v>
      </c>
      <c r="B1713" t="s">
        <v>528</v>
      </c>
      <c r="C1713" t="s">
        <v>529</v>
      </c>
      <c r="D1713" t="s">
        <v>63</v>
      </c>
      <c r="E1713" s="1">
        <v>46060</v>
      </c>
      <c r="F1713" t="s">
        <v>1374</v>
      </c>
      <c r="G1713" t="s">
        <v>485</v>
      </c>
      <c r="H1713" s="2">
        <v>0.89583333333333337</v>
      </c>
      <c r="I1713" s="2">
        <v>0.3125</v>
      </c>
      <c r="J1713" t="s">
        <v>529</v>
      </c>
      <c r="K1713" t="s">
        <v>530</v>
      </c>
      <c r="L1713" t="s">
        <v>531</v>
      </c>
      <c r="M1713" t="s">
        <v>1239</v>
      </c>
      <c r="N1713" t="s">
        <v>1240</v>
      </c>
      <c r="O1713">
        <v>5952284</v>
      </c>
      <c r="Q1713" t="s">
        <v>2415</v>
      </c>
      <c r="R1713" t="s">
        <v>476</v>
      </c>
      <c r="S1713" t="s">
        <v>52</v>
      </c>
      <c r="U1713">
        <v>889715</v>
      </c>
      <c r="V1713" s="3">
        <v>46058.629166666666</v>
      </c>
      <c r="W1713" t="s">
        <v>1241</v>
      </c>
      <c r="X1713" t="s">
        <v>1242</v>
      </c>
      <c r="Y1713" t="str">
        <f>"0402086188"</f>
        <v>0402086188</v>
      </c>
      <c r="Z1713" t="s">
        <v>70</v>
      </c>
      <c r="AA1713" s="1">
        <v>46060</v>
      </c>
      <c r="AB1713" t="s">
        <v>537</v>
      </c>
      <c r="AD1713" t="s">
        <v>306</v>
      </c>
      <c r="AE1713" t="s">
        <v>538</v>
      </c>
      <c r="AF1713">
        <v>3152</v>
      </c>
      <c r="AG1713" t="s">
        <v>2415</v>
      </c>
      <c r="AI1713" t="s">
        <v>59</v>
      </c>
      <c r="AL1713" t="s">
        <v>87</v>
      </c>
      <c r="AN1713" s="3">
        <v>46061.324999999997</v>
      </c>
      <c r="AO1713" t="s">
        <v>1241</v>
      </c>
    </row>
    <row r="1714" spans="1:41" x14ac:dyDescent="0.3">
      <c r="A1714" t="s">
        <v>306</v>
      </c>
      <c r="B1714" t="s">
        <v>1060</v>
      </c>
      <c r="C1714" t="s">
        <v>3250</v>
      </c>
      <c r="D1714" t="s">
        <v>184</v>
      </c>
      <c r="E1714" s="1">
        <v>46060</v>
      </c>
      <c r="F1714" t="s">
        <v>1374</v>
      </c>
      <c r="G1714" t="s">
        <v>485</v>
      </c>
      <c r="H1714" s="2">
        <v>0.89583333333333337</v>
      </c>
      <c r="I1714" s="2">
        <v>0.3125</v>
      </c>
      <c r="J1714" t="s">
        <v>4234</v>
      </c>
      <c r="K1714" t="s">
        <v>530</v>
      </c>
      <c r="L1714" t="s">
        <v>531</v>
      </c>
      <c r="M1714" t="s">
        <v>532</v>
      </c>
      <c r="N1714" t="s">
        <v>533</v>
      </c>
      <c r="O1714">
        <v>20495</v>
      </c>
      <c r="Q1714" t="s">
        <v>1063</v>
      </c>
      <c r="R1714" t="s">
        <v>145</v>
      </c>
      <c r="S1714" t="s">
        <v>119</v>
      </c>
      <c r="T1714" t="s">
        <v>414</v>
      </c>
      <c r="U1714">
        <v>889801</v>
      </c>
      <c r="V1714" s="3">
        <v>46059.929861111108</v>
      </c>
      <c r="W1714" t="s">
        <v>535</v>
      </c>
      <c r="X1714" t="s">
        <v>536</v>
      </c>
      <c r="Y1714" t="str">
        <f>"0447625522"</f>
        <v>0447625522</v>
      </c>
      <c r="Z1714" t="s">
        <v>70</v>
      </c>
      <c r="AB1714" t="s">
        <v>1066</v>
      </c>
      <c r="AD1714" t="s">
        <v>306</v>
      </c>
      <c r="AE1714" t="s">
        <v>1067</v>
      </c>
      <c r="AF1714">
        <v>3084</v>
      </c>
      <c r="AI1714" t="s">
        <v>59</v>
      </c>
      <c r="AL1714" t="s">
        <v>1729</v>
      </c>
      <c r="AM1714" t="s">
        <v>4235</v>
      </c>
      <c r="AN1714" s="3">
        <v>46060</v>
      </c>
      <c r="AO1714" t="s">
        <v>556</v>
      </c>
    </row>
    <row r="1715" spans="1:41" x14ac:dyDescent="0.3">
      <c r="A1715" t="s">
        <v>306</v>
      </c>
      <c r="B1715" t="s">
        <v>528</v>
      </c>
      <c r="C1715" t="s">
        <v>1326</v>
      </c>
      <c r="D1715" t="s">
        <v>63</v>
      </c>
      <c r="E1715" s="1">
        <v>46060</v>
      </c>
      <c r="F1715" t="s">
        <v>1374</v>
      </c>
      <c r="G1715" t="s">
        <v>485</v>
      </c>
      <c r="H1715" s="2">
        <v>0.89583333333333337</v>
      </c>
      <c r="I1715" s="2">
        <v>0.3125</v>
      </c>
      <c r="J1715" t="s">
        <v>269</v>
      </c>
      <c r="L1715" t="s">
        <v>1327</v>
      </c>
      <c r="M1715" t="s">
        <v>1328</v>
      </c>
      <c r="N1715" t="s">
        <v>1329</v>
      </c>
      <c r="O1715">
        <v>20185</v>
      </c>
      <c r="Q1715" t="s">
        <v>2016</v>
      </c>
      <c r="R1715" t="s">
        <v>500</v>
      </c>
      <c r="S1715" t="s">
        <v>52</v>
      </c>
      <c r="U1715">
        <v>889703</v>
      </c>
      <c r="V1715" s="3">
        <v>46060.791666666664</v>
      </c>
      <c r="W1715" t="s">
        <v>1331</v>
      </c>
      <c r="X1715" t="s">
        <v>1332</v>
      </c>
      <c r="Y1715" t="str">
        <f>"0422616195"</f>
        <v>0422616195</v>
      </c>
      <c r="Z1715" t="s">
        <v>70</v>
      </c>
      <c r="AA1715" s="1">
        <v>46060</v>
      </c>
      <c r="AB1715" t="s">
        <v>537</v>
      </c>
      <c r="AD1715" t="s">
        <v>306</v>
      </c>
      <c r="AE1715" t="s">
        <v>538</v>
      </c>
      <c r="AF1715">
        <v>3152</v>
      </c>
      <c r="AG1715" t="s">
        <v>2016</v>
      </c>
      <c r="AI1715" t="s">
        <v>59</v>
      </c>
      <c r="AN1715" s="3">
        <v>46061.216666666667</v>
      </c>
      <c r="AO1715" t="s">
        <v>1331</v>
      </c>
    </row>
    <row r="1716" spans="1:41" x14ac:dyDescent="0.3">
      <c r="A1716" t="s">
        <v>61</v>
      </c>
      <c r="B1716" t="s">
        <v>753</v>
      </c>
      <c r="C1716" t="s">
        <v>2343</v>
      </c>
      <c r="D1716" t="s">
        <v>754</v>
      </c>
      <c r="E1716" s="1">
        <v>46060</v>
      </c>
      <c r="F1716" t="s">
        <v>1374</v>
      </c>
      <c r="G1716" t="s">
        <v>485</v>
      </c>
      <c r="H1716" s="2">
        <v>0.94791666666666663</v>
      </c>
      <c r="I1716" s="2">
        <v>0.30208333333333331</v>
      </c>
      <c r="J1716" t="s">
        <v>590</v>
      </c>
      <c r="L1716" t="s">
        <v>487</v>
      </c>
      <c r="M1716" t="s">
        <v>3789</v>
      </c>
      <c r="N1716" t="s">
        <v>3790</v>
      </c>
      <c r="O1716">
        <v>5951666</v>
      </c>
      <c r="Q1716" t="s">
        <v>2438</v>
      </c>
      <c r="R1716" t="s">
        <v>67</v>
      </c>
      <c r="S1716" t="s">
        <v>52</v>
      </c>
      <c r="U1716">
        <v>889716</v>
      </c>
      <c r="V1716" s="3">
        <v>46051.422222222223</v>
      </c>
      <c r="W1716" t="s">
        <v>3791</v>
      </c>
      <c r="X1716" t="s">
        <v>3792</v>
      </c>
      <c r="Y1716" t="str">
        <f>"0404505571"</f>
        <v>0404505571</v>
      </c>
      <c r="Z1716" t="s">
        <v>234</v>
      </c>
      <c r="AA1716" s="1">
        <v>46060</v>
      </c>
      <c r="AB1716" t="s">
        <v>764</v>
      </c>
      <c r="AD1716" t="s">
        <v>61</v>
      </c>
      <c r="AE1716" t="s">
        <v>765</v>
      </c>
      <c r="AF1716">
        <v>2220</v>
      </c>
      <c r="AG1716" t="s">
        <v>2438</v>
      </c>
      <c r="AI1716" t="s">
        <v>59</v>
      </c>
      <c r="AL1716" t="s">
        <v>4193</v>
      </c>
      <c r="AN1716" s="3">
        <v>46061.32916666667</v>
      </c>
      <c r="AO1716" t="s">
        <v>3791</v>
      </c>
    </row>
    <row r="1717" spans="1:41" x14ac:dyDescent="0.3">
      <c r="A1717" t="s">
        <v>168</v>
      </c>
      <c r="B1717" t="s">
        <v>689</v>
      </c>
      <c r="C1717" t="s">
        <v>43</v>
      </c>
      <c r="D1717" t="s">
        <v>268</v>
      </c>
      <c r="E1717" s="1">
        <v>46030</v>
      </c>
      <c r="F1717" t="s">
        <v>621</v>
      </c>
      <c r="G1717" t="s">
        <v>45</v>
      </c>
      <c r="H1717" s="2">
        <v>0.35416666666666669</v>
      </c>
      <c r="I1717" s="2">
        <v>0.72916666666666663</v>
      </c>
      <c r="J1717" t="s">
        <v>100</v>
      </c>
      <c r="L1717" t="s">
        <v>100</v>
      </c>
      <c r="M1717" t="s">
        <v>3368</v>
      </c>
      <c r="N1717" t="s">
        <v>3369</v>
      </c>
      <c r="O1717">
        <v>5952315</v>
      </c>
      <c r="P1717" t="s">
        <v>571</v>
      </c>
      <c r="Q1717" t="s">
        <v>3370</v>
      </c>
      <c r="R1717" t="s">
        <v>3371</v>
      </c>
      <c r="S1717" t="s">
        <v>52</v>
      </c>
      <c r="T1717" t="s">
        <v>252</v>
      </c>
      <c r="U1717">
        <v>887497</v>
      </c>
      <c r="V1717" s="3">
        <v>46041.397916666669</v>
      </c>
      <c r="W1717" t="s">
        <v>3371</v>
      </c>
      <c r="X1717" t="s">
        <v>3372</v>
      </c>
      <c r="Y1717" t="str">
        <f>"0481236768"</f>
        <v>0481236768</v>
      </c>
      <c r="Z1717" t="s">
        <v>1635</v>
      </c>
      <c r="AA1717" s="1">
        <v>46072</v>
      </c>
      <c r="AB1717" t="s">
        <v>695</v>
      </c>
      <c r="AD1717" t="s">
        <v>168</v>
      </c>
      <c r="AE1717" t="s">
        <v>696</v>
      </c>
      <c r="AF1717">
        <v>5606</v>
      </c>
      <c r="AG1717" t="s">
        <v>3373</v>
      </c>
      <c r="AI1717" t="s">
        <v>59</v>
      </c>
      <c r="AJ1717" t="str">
        <f>"0020184971"</f>
        <v>0020184971</v>
      </c>
      <c r="AN1717" s="3">
        <v>46041.397916666669</v>
      </c>
      <c r="AO1717" t="s">
        <v>3371</v>
      </c>
    </row>
    <row r="1718" spans="1:41" x14ac:dyDescent="0.3">
      <c r="A1718" t="s">
        <v>41</v>
      </c>
      <c r="B1718" t="s">
        <v>1168</v>
      </c>
      <c r="D1718" t="s">
        <v>246</v>
      </c>
      <c r="E1718" s="1">
        <v>46061</v>
      </c>
      <c r="F1718" t="s">
        <v>1617</v>
      </c>
      <c r="G1718" t="s">
        <v>45</v>
      </c>
      <c r="H1718" s="2">
        <v>0.27083333333333331</v>
      </c>
      <c r="I1718" s="2">
        <v>0.625</v>
      </c>
      <c r="J1718" t="s">
        <v>296</v>
      </c>
      <c r="L1718" t="s">
        <v>1169</v>
      </c>
      <c r="M1718" t="s">
        <v>1170</v>
      </c>
      <c r="N1718" t="s">
        <v>1171</v>
      </c>
      <c r="O1718">
        <v>5952274</v>
      </c>
      <c r="Q1718" t="s">
        <v>1172</v>
      </c>
      <c r="R1718" t="s">
        <v>573</v>
      </c>
      <c r="S1718" t="s">
        <v>52</v>
      </c>
      <c r="T1718" t="s">
        <v>252</v>
      </c>
      <c r="U1718">
        <v>889949</v>
      </c>
      <c r="V1718" s="3">
        <v>46063.345138888886</v>
      </c>
      <c r="W1718" t="s">
        <v>1173</v>
      </c>
      <c r="X1718" t="s">
        <v>1174</v>
      </c>
      <c r="Y1718" t="str">
        <f>"0432261353"</f>
        <v>0432261353</v>
      </c>
      <c r="Z1718" t="s">
        <v>375</v>
      </c>
      <c r="AA1718" s="1">
        <v>46083</v>
      </c>
      <c r="AB1718" t="s">
        <v>1175</v>
      </c>
      <c r="AD1718" t="s">
        <v>41</v>
      </c>
      <c r="AE1718" t="s">
        <v>1176</v>
      </c>
      <c r="AF1718">
        <v>4680</v>
      </c>
      <c r="AG1718" t="s">
        <v>1172</v>
      </c>
      <c r="AI1718" t="s">
        <v>59</v>
      </c>
      <c r="AJ1718" t="str">
        <f>"0050076336"</f>
        <v>0050076336</v>
      </c>
      <c r="AN1718" s="3">
        <v>46063.345138888886</v>
      </c>
      <c r="AO1718" t="s">
        <v>573</v>
      </c>
    </row>
    <row r="1719" spans="1:41" x14ac:dyDescent="0.3">
      <c r="A1719" t="s">
        <v>61</v>
      </c>
      <c r="B1719" t="s">
        <v>1271</v>
      </c>
      <c r="C1719" t="s">
        <v>1272</v>
      </c>
      <c r="D1719" t="s">
        <v>184</v>
      </c>
      <c r="E1719" s="1">
        <v>46061</v>
      </c>
      <c r="F1719" t="s">
        <v>1617</v>
      </c>
      <c r="G1719" t="s">
        <v>45</v>
      </c>
      <c r="H1719" s="2">
        <v>0.29166666666666669</v>
      </c>
      <c r="I1719" s="2">
        <v>0.8125</v>
      </c>
      <c r="J1719" t="s">
        <v>486</v>
      </c>
      <c r="L1719" t="s">
        <v>487</v>
      </c>
      <c r="M1719" t="s">
        <v>596</v>
      </c>
      <c r="N1719" t="s">
        <v>1280</v>
      </c>
      <c r="O1719">
        <v>5952187</v>
      </c>
      <c r="Q1719" t="s">
        <v>1045</v>
      </c>
      <c r="R1719" t="s">
        <v>132</v>
      </c>
      <c r="S1719" t="s">
        <v>52</v>
      </c>
      <c r="U1719">
        <v>889728</v>
      </c>
      <c r="V1719" s="3">
        <v>46057.565972222219</v>
      </c>
      <c r="W1719" t="s">
        <v>1281</v>
      </c>
      <c r="X1719" t="s">
        <v>1282</v>
      </c>
      <c r="Y1719" t="str">
        <f>"0417203844"</f>
        <v>0417203844</v>
      </c>
      <c r="Z1719" t="s">
        <v>3029</v>
      </c>
      <c r="AB1719" t="s">
        <v>1278</v>
      </c>
      <c r="AD1719" t="s">
        <v>61</v>
      </c>
      <c r="AE1719" t="s">
        <v>1279</v>
      </c>
      <c r="AF1719">
        <v>2145</v>
      </c>
      <c r="AG1719" t="s">
        <v>1190</v>
      </c>
      <c r="AI1719" t="s">
        <v>59</v>
      </c>
      <c r="AL1719" t="s">
        <v>4236</v>
      </c>
      <c r="AN1719" s="3">
        <v>46061.78402777778</v>
      </c>
      <c r="AO1719" t="s">
        <v>1281</v>
      </c>
    </row>
    <row r="1720" spans="1:41" x14ac:dyDescent="0.3">
      <c r="A1720" t="s">
        <v>61</v>
      </c>
      <c r="B1720" t="s">
        <v>1079</v>
      </c>
      <c r="C1720" t="s">
        <v>4237</v>
      </c>
      <c r="D1720" t="s">
        <v>63</v>
      </c>
      <c r="E1720" s="1">
        <v>46061</v>
      </c>
      <c r="F1720" t="s">
        <v>1617</v>
      </c>
      <c r="G1720" t="s">
        <v>128</v>
      </c>
      <c r="H1720" s="2">
        <v>0.52083333333333337</v>
      </c>
      <c r="I1720" s="2">
        <v>0.8125</v>
      </c>
      <c r="J1720" t="s">
        <v>296</v>
      </c>
      <c r="L1720" t="s">
        <v>1453</v>
      </c>
      <c r="M1720" t="s">
        <v>3538</v>
      </c>
      <c r="N1720" t="s">
        <v>3539</v>
      </c>
      <c r="O1720">
        <v>5952132</v>
      </c>
      <c r="Q1720" t="s">
        <v>4220</v>
      </c>
      <c r="R1720" t="s">
        <v>500</v>
      </c>
      <c r="S1720" t="s">
        <v>52</v>
      </c>
      <c r="U1720">
        <v>889729</v>
      </c>
      <c r="V1720" s="3">
        <v>46060.730555555558</v>
      </c>
      <c r="W1720" t="s">
        <v>3540</v>
      </c>
      <c r="X1720" t="s">
        <v>3541</v>
      </c>
      <c r="Y1720" t="str">
        <f>"0401507107"</f>
        <v>0401507107</v>
      </c>
      <c r="Z1720" t="s">
        <v>70</v>
      </c>
      <c r="AA1720" s="1">
        <v>46061</v>
      </c>
      <c r="AB1720" t="s">
        <v>1085</v>
      </c>
      <c r="AD1720" t="s">
        <v>61</v>
      </c>
      <c r="AE1720" t="s">
        <v>1086</v>
      </c>
      <c r="AF1720">
        <v>2031</v>
      </c>
      <c r="AG1720" t="s">
        <v>187</v>
      </c>
      <c r="AI1720" t="s">
        <v>59</v>
      </c>
      <c r="AL1720" t="s">
        <v>4238</v>
      </c>
      <c r="AM1720" t="s">
        <v>4239</v>
      </c>
      <c r="AN1720" s="3">
        <v>46061.811805555553</v>
      </c>
      <c r="AO1720" t="s">
        <v>3540</v>
      </c>
    </row>
    <row r="1721" spans="1:41" x14ac:dyDescent="0.3">
      <c r="A1721" t="s">
        <v>168</v>
      </c>
      <c r="B1721" t="s">
        <v>2904</v>
      </c>
      <c r="C1721" t="s">
        <v>267</v>
      </c>
      <c r="D1721" t="s">
        <v>268</v>
      </c>
      <c r="E1721" s="1">
        <v>46061</v>
      </c>
      <c r="F1721" t="s">
        <v>1617</v>
      </c>
      <c r="G1721" t="s">
        <v>128</v>
      </c>
      <c r="H1721" s="2">
        <v>0.54166666666666663</v>
      </c>
      <c r="I1721" s="2">
        <v>0.89583333333333337</v>
      </c>
      <c r="J1721" t="s">
        <v>4213</v>
      </c>
      <c r="K1721" t="s">
        <v>750</v>
      </c>
      <c r="L1721" t="s">
        <v>298</v>
      </c>
      <c r="M1721" t="s">
        <v>2204</v>
      </c>
      <c r="N1721" t="s">
        <v>4240</v>
      </c>
      <c r="O1721">
        <v>5951826</v>
      </c>
      <c r="Q1721" t="s">
        <v>413</v>
      </c>
      <c r="R1721" t="s">
        <v>231</v>
      </c>
      <c r="S1721" t="s">
        <v>119</v>
      </c>
      <c r="U1721">
        <v>889786</v>
      </c>
      <c r="V1721" s="3">
        <v>46057.640972222223</v>
      </c>
      <c r="W1721" t="s">
        <v>4241</v>
      </c>
      <c r="X1721" t="s">
        <v>4242</v>
      </c>
      <c r="Y1721" t="str">
        <f>"0439853939"</f>
        <v>0439853939</v>
      </c>
      <c r="Z1721" t="s">
        <v>70</v>
      </c>
      <c r="AB1721" t="s">
        <v>2906</v>
      </c>
      <c r="AD1721" t="s">
        <v>168</v>
      </c>
      <c r="AE1721" t="s">
        <v>2907</v>
      </c>
      <c r="AF1721">
        <v>5253</v>
      </c>
      <c r="AI1721" t="s">
        <v>59</v>
      </c>
      <c r="AL1721" t="s">
        <v>4243</v>
      </c>
      <c r="AM1721" t="s">
        <v>4243</v>
      </c>
      <c r="AN1721" s="3">
        <v>46059.582638888889</v>
      </c>
      <c r="AO1721" t="s">
        <v>231</v>
      </c>
    </row>
    <row r="1722" spans="1:41" x14ac:dyDescent="0.3">
      <c r="A1722" t="s">
        <v>41</v>
      </c>
      <c r="B1722" t="s">
        <v>589</v>
      </c>
      <c r="C1722" t="s">
        <v>590</v>
      </c>
      <c r="D1722" t="s">
        <v>246</v>
      </c>
      <c r="E1722" s="1">
        <v>46061</v>
      </c>
      <c r="F1722" t="s">
        <v>1617</v>
      </c>
      <c r="G1722" t="s">
        <v>128</v>
      </c>
      <c r="H1722" s="2">
        <v>0.60416666666666663</v>
      </c>
      <c r="I1722" s="2">
        <v>0.95833333333333337</v>
      </c>
      <c r="J1722" t="s">
        <v>591</v>
      </c>
      <c r="L1722" t="s">
        <v>592</v>
      </c>
      <c r="M1722" t="s">
        <v>593</v>
      </c>
      <c r="N1722" t="s">
        <v>594</v>
      </c>
      <c r="O1722">
        <v>5952427</v>
      </c>
      <c r="P1722" t="s">
        <v>249</v>
      </c>
      <c r="Q1722" t="s">
        <v>596</v>
      </c>
      <c r="R1722" t="s">
        <v>392</v>
      </c>
      <c r="S1722" t="s">
        <v>52</v>
      </c>
      <c r="T1722" t="s">
        <v>252</v>
      </c>
      <c r="U1722">
        <v>889910</v>
      </c>
      <c r="V1722" s="3">
        <v>46062.880555555559</v>
      </c>
      <c r="W1722" t="s">
        <v>597</v>
      </c>
      <c r="X1722" t="s">
        <v>598</v>
      </c>
      <c r="Y1722" t="str">
        <f>"0432677728"</f>
        <v>0432677728</v>
      </c>
      <c r="Z1722" t="s">
        <v>375</v>
      </c>
      <c r="AA1722" s="1">
        <v>46082</v>
      </c>
      <c r="AB1722" t="s">
        <v>599</v>
      </c>
      <c r="AC1722" t="s">
        <v>600</v>
      </c>
      <c r="AD1722" t="s">
        <v>41</v>
      </c>
      <c r="AE1722" t="s">
        <v>600</v>
      </c>
      <c r="AF1722">
        <v>4610</v>
      </c>
      <c r="AG1722" t="s">
        <v>601</v>
      </c>
      <c r="AI1722" t="s">
        <v>59</v>
      </c>
      <c r="AJ1722" t="str">
        <f>"0050075752"</f>
        <v>0050075752</v>
      </c>
      <c r="AN1722" s="3">
        <v>46062.880555555559</v>
      </c>
      <c r="AO1722" t="s">
        <v>392</v>
      </c>
    </row>
    <row r="1723" spans="1:41" x14ac:dyDescent="0.3">
      <c r="A1723" t="s">
        <v>168</v>
      </c>
      <c r="B1723" t="s">
        <v>607</v>
      </c>
      <c r="C1723" t="s">
        <v>267</v>
      </c>
      <c r="D1723" t="s">
        <v>268</v>
      </c>
      <c r="E1723" s="1">
        <v>46061</v>
      </c>
      <c r="F1723" t="s">
        <v>1617</v>
      </c>
      <c r="G1723" t="s">
        <v>45</v>
      </c>
      <c r="H1723" s="2">
        <v>0.60416666666666663</v>
      </c>
      <c r="I1723" s="2">
        <v>0.95833333333333337</v>
      </c>
      <c r="J1723" t="s">
        <v>269</v>
      </c>
      <c r="K1723" t="s">
        <v>608</v>
      </c>
      <c r="L1723" t="s">
        <v>609</v>
      </c>
      <c r="M1723" t="s">
        <v>610</v>
      </c>
      <c r="N1723" t="s">
        <v>611</v>
      </c>
      <c r="O1723">
        <v>5952121</v>
      </c>
      <c r="P1723" t="s">
        <v>249</v>
      </c>
      <c r="Q1723" t="s">
        <v>612</v>
      </c>
      <c r="R1723" t="s">
        <v>613</v>
      </c>
      <c r="S1723" t="s">
        <v>52</v>
      </c>
      <c r="T1723" t="s">
        <v>252</v>
      </c>
      <c r="U1723">
        <v>889746</v>
      </c>
      <c r="V1723" s="3">
        <v>46062.01666666667</v>
      </c>
      <c r="W1723" t="s">
        <v>613</v>
      </c>
      <c r="X1723" t="s">
        <v>614</v>
      </c>
      <c r="Y1723" t="str">
        <f>"0412297150"</f>
        <v>0412297150</v>
      </c>
      <c r="Z1723" t="s">
        <v>375</v>
      </c>
      <c r="AA1723" s="1">
        <v>46077</v>
      </c>
      <c r="AB1723" t="s">
        <v>615</v>
      </c>
      <c r="AC1723" t="s">
        <v>616</v>
      </c>
      <c r="AD1723" t="s">
        <v>168</v>
      </c>
      <c r="AE1723" t="s">
        <v>617</v>
      </c>
      <c r="AF1723">
        <v>5290</v>
      </c>
      <c r="AG1723" t="s">
        <v>618</v>
      </c>
      <c r="AI1723" t="s">
        <v>59</v>
      </c>
      <c r="AJ1723" t="str">
        <f>"0020171780"</f>
        <v>0020171780</v>
      </c>
      <c r="AM1723" t="s">
        <v>2025</v>
      </c>
      <c r="AN1723" s="3">
        <v>46062.01666666667</v>
      </c>
      <c r="AO1723" t="s">
        <v>613</v>
      </c>
    </row>
    <row r="1724" spans="1:41" x14ac:dyDescent="0.3">
      <c r="A1724" t="s">
        <v>61</v>
      </c>
      <c r="B1724" t="s">
        <v>1271</v>
      </c>
      <c r="C1724" t="s">
        <v>1272</v>
      </c>
      <c r="D1724" t="s">
        <v>184</v>
      </c>
      <c r="E1724" s="1">
        <v>46061</v>
      </c>
      <c r="F1724" t="s">
        <v>1617</v>
      </c>
      <c r="G1724" t="s">
        <v>128</v>
      </c>
      <c r="H1724" s="2">
        <v>0.625</v>
      </c>
      <c r="I1724" s="2">
        <v>0.97916666666666663</v>
      </c>
      <c r="J1724" t="s">
        <v>590</v>
      </c>
      <c r="L1724" t="s">
        <v>487</v>
      </c>
      <c r="M1724" t="s">
        <v>1273</v>
      </c>
      <c r="N1724" t="s">
        <v>1274</v>
      </c>
      <c r="O1724">
        <v>5950810</v>
      </c>
      <c r="Q1724" t="s">
        <v>1275</v>
      </c>
      <c r="R1724" t="s">
        <v>132</v>
      </c>
      <c r="S1724" t="s">
        <v>52</v>
      </c>
      <c r="U1724">
        <v>889741</v>
      </c>
      <c r="V1724" s="3">
        <v>46028.57708333333</v>
      </c>
      <c r="W1724" t="s">
        <v>1276</v>
      </c>
      <c r="X1724" t="s">
        <v>1277</v>
      </c>
      <c r="Y1724" t="str">
        <f>"0405246691"</f>
        <v>0405246691</v>
      </c>
      <c r="Z1724" t="s">
        <v>254</v>
      </c>
      <c r="AB1724" t="s">
        <v>1278</v>
      </c>
      <c r="AD1724" t="s">
        <v>61</v>
      </c>
      <c r="AE1724" t="s">
        <v>1279</v>
      </c>
      <c r="AF1724">
        <v>2145</v>
      </c>
      <c r="AG1724" t="s">
        <v>1275</v>
      </c>
      <c r="AI1724" t="s">
        <v>59</v>
      </c>
      <c r="AL1724" t="s">
        <v>4193</v>
      </c>
      <c r="AN1724" s="3">
        <v>46061.975694444445</v>
      </c>
      <c r="AO1724" t="s">
        <v>1276</v>
      </c>
    </row>
    <row r="1725" spans="1:41" x14ac:dyDescent="0.3">
      <c r="A1725" t="s">
        <v>61</v>
      </c>
      <c r="B1725" t="s">
        <v>182</v>
      </c>
      <c r="C1725" t="s">
        <v>484</v>
      </c>
      <c r="D1725" t="s">
        <v>184</v>
      </c>
      <c r="E1725" s="1">
        <v>46061</v>
      </c>
      <c r="F1725" t="s">
        <v>1617</v>
      </c>
      <c r="G1725" t="s">
        <v>485</v>
      </c>
      <c r="H1725" s="2">
        <v>0.77083333333333337</v>
      </c>
      <c r="I1725" s="2">
        <v>0.29166666666666669</v>
      </c>
      <c r="J1725" t="s">
        <v>486</v>
      </c>
      <c r="L1725" t="s">
        <v>487</v>
      </c>
      <c r="M1725" t="s">
        <v>1490</v>
      </c>
      <c r="N1725" t="s">
        <v>1491</v>
      </c>
      <c r="O1725">
        <v>21218</v>
      </c>
      <c r="Q1725" t="s">
        <v>490</v>
      </c>
      <c r="R1725" t="s">
        <v>67</v>
      </c>
      <c r="S1725" t="s">
        <v>52</v>
      </c>
      <c r="U1725">
        <v>889747</v>
      </c>
      <c r="V1725" s="3">
        <v>46045.427777777775</v>
      </c>
      <c r="W1725" t="s">
        <v>1493</v>
      </c>
      <c r="X1725" t="s">
        <v>1494</v>
      </c>
      <c r="Y1725" t="str">
        <f>"0401746606"</f>
        <v>0401746606</v>
      </c>
      <c r="Z1725" t="s">
        <v>4244</v>
      </c>
      <c r="AA1725" s="1">
        <v>46061</v>
      </c>
      <c r="AB1725" t="s">
        <v>193</v>
      </c>
      <c r="AD1725" t="s">
        <v>61</v>
      </c>
      <c r="AE1725" t="s">
        <v>194</v>
      </c>
      <c r="AF1725">
        <v>2229</v>
      </c>
      <c r="AG1725" t="s">
        <v>490</v>
      </c>
      <c r="AI1725" t="s">
        <v>59</v>
      </c>
      <c r="AL1725" t="s">
        <v>4193</v>
      </c>
      <c r="AN1725" s="3">
        <v>46062.220833333333</v>
      </c>
      <c r="AO1725" t="s">
        <v>1493</v>
      </c>
    </row>
    <row r="1726" spans="1:41" x14ac:dyDescent="0.3">
      <c r="A1726" t="s">
        <v>306</v>
      </c>
      <c r="B1726" t="s">
        <v>2411</v>
      </c>
      <c r="C1726" t="s">
        <v>1354</v>
      </c>
      <c r="D1726" t="s">
        <v>184</v>
      </c>
      <c r="E1726" s="1">
        <v>46061</v>
      </c>
      <c r="F1726" t="s">
        <v>1617</v>
      </c>
      <c r="G1726" t="s">
        <v>485</v>
      </c>
      <c r="H1726" s="2">
        <v>0.79166666666666663</v>
      </c>
      <c r="I1726" s="2">
        <v>0.3125</v>
      </c>
      <c r="J1726" t="s">
        <v>1354</v>
      </c>
      <c r="L1726" t="s">
        <v>735</v>
      </c>
      <c r="M1726" t="s">
        <v>1651</v>
      </c>
      <c r="N1726" t="s">
        <v>1652</v>
      </c>
      <c r="O1726">
        <v>20581</v>
      </c>
      <c r="Q1726" t="s">
        <v>145</v>
      </c>
      <c r="R1726" t="s">
        <v>145</v>
      </c>
      <c r="S1726" t="s">
        <v>52</v>
      </c>
      <c r="U1726">
        <v>889749</v>
      </c>
      <c r="V1726" s="3">
        <v>46061.633333333331</v>
      </c>
      <c r="W1726" t="s">
        <v>1654</v>
      </c>
      <c r="X1726" t="s">
        <v>1655</v>
      </c>
      <c r="Y1726" t="str">
        <f>"0420857417"</f>
        <v>0420857417</v>
      </c>
      <c r="Z1726" t="s">
        <v>70</v>
      </c>
      <c r="AA1726" s="1">
        <v>46061</v>
      </c>
      <c r="AB1726" t="s">
        <v>2412</v>
      </c>
      <c r="AD1726" t="s">
        <v>306</v>
      </c>
      <c r="AE1726" t="s">
        <v>827</v>
      </c>
      <c r="AF1726">
        <v>3181</v>
      </c>
      <c r="AI1726" t="s">
        <v>59</v>
      </c>
      <c r="AL1726" t="s">
        <v>4245</v>
      </c>
      <c r="AN1726" s="3">
        <v>46062.279861111114</v>
      </c>
      <c r="AO1726" t="s">
        <v>1654</v>
      </c>
    </row>
    <row r="1727" spans="1:41" x14ac:dyDescent="0.3">
      <c r="A1727" t="s">
        <v>61</v>
      </c>
      <c r="B1727" t="s">
        <v>350</v>
      </c>
      <c r="C1727" t="s">
        <v>1659</v>
      </c>
      <c r="D1727" t="s">
        <v>63</v>
      </c>
      <c r="E1727" s="1">
        <v>46061</v>
      </c>
      <c r="F1727" t="s">
        <v>1617</v>
      </c>
      <c r="G1727" t="s">
        <v>485</v>
      </c>
      <c r="H1727" s="2">
        <v>0.79166666666666663</v>
      </c>
      <c r="I1727" s="2">
        <v>0.3125</v>
      </c>
      <c r="J1727" t="s">
        <v>529</v>
      </c>
      <c r="L1727" t="s">
        <v>735</v>
      </c>
      <c r="M1727" t="s">
        <v>1660</v>
      </c>
      <c r="N1727" t="s">
        <v>1661</v>
      </c>
      <c r="O1727">
        <v>22268</v>
      </c>
      <c r="Q1727" t="s">
        <v>2126</v>
      </c>
      <c r="R1727" t="s">
        <v>1248</v>
      </c>
      <c r="S1727" t="s">
        <v>52</v>
      </c>
      <c r="U1727">
        <v>889750</v>
      </c>
      <c r="V1727" s="3">
        <v>46058.895833333336</v>
      </c>
      <c r="W1727" t="s">
        <v>1663</v>
      </c>
      <c r="X1727" t="s">
        <v>1664</v>
      </c>
      <c r="Y1727" t="str">
        <f>"0404243284"</f>
        <v>0404243284</v>
      </c>
      <c r="Z1727" t="s">
        <v>70</v>
      </c>
      <c r="AA1727" s="1">
        <v>46061</v>
      </c>
      <c r="AB1727" t="s">
        <v>356</v>
      </c>
      <c r="AD1727" t="s">
        <v>61</v>
      </c>
      <c r="AE1727" t="s">
        <v>357</v>
      </c>
      <c r="AF1727">
        <v>2153</v>
      </c>
      <c r="AG1727" t="s">
        <v>2126</v>
      </c>
      <c r="AI1727" t="s">
        <v>59</v>
      </c>
      <c r="AL1727" t="s">
        <v>4246</v>
      </c>
      <c r="AN1727" s="3">
        <v>46062.280555555553</v>
      </c>
      <c r="AO1727" t="s">
        <v>1663</v>
      </c>
    </row>
    <row r="1728" spans="1:41" x14ac:dyDescent="0.3">
      <c r="A1728" t="s">
        <v>168</v>
      </c>
      <c r="B1728" t="s">
        <v>4247</v>
      </c>
      <c r="C1728" t="s">
        <v>4248</v>
      </c>
      <c r="D1728" t="s">
        <v>268</v>
      </c>
      <c r="E1728" s="1">
        <v>46061</v>
      </c>
      <c r="F1728" t="s">
        <v>1617</v>
      </c>
      <c r="G1728" t="s">
        <v>485</v>
      </c>
      <c r="H1728" s="2">
        <v>0.875</v>
      </c>
      <c r="I1728" s="2">
        <v>0.27083333333333331</v>
      </c>
      <c r="J1728" t="s">
        <v>296</v>
      </c>
      <c r="K1728" t="s">
        <v>849</v>
      </c>
      <c r="L1728" t="s">
        <v>2455</v>
      </c>
      <c r="M1728" t="s">
        <v>1576</v>
      </c>
      <c r="N1728" t="s">
        <v>4249</v>
      </c>
      <c r="O1728">
        <v>5950689</v>
      </c>
      <c r="Q1728" t="s">
        <v>413</v>
      </c>
      <c r="R1728" t="s">
        <v>1248</v>
      </c>
      <c r="S1728" t="s">
        <v>52</v>
      </c>
      <c r="U1728">
        <v>889754</v>
      </c>
      <c r="V1728" s="3">
        <v>46061.472916666666</v>
      </c>
      <c r="W1728" t="s">
        <v>4250</v>
      </c>
      <c r="X1728" t="s">
        <v>4251</v>
      </c>
      <c r="Y1728" t="str">
        <f>"0412919378"</f>
        <v>0412919378</v>
      </c>
      <c r="Z1728" t="s">
        <v>70</v>
      </c>
      <c r="AA1728" s="1">
        <v>46061</v>
      </c>
      <c r="AB1728" t="s">
        <v>4252</v>
      </c>
      <c r="AD1728" t="s">
        <v>168</v>
      </c>
      <c r="AE1728" t="s">
        <v>4253</v>
      </c>
      <c r="AF1728">
        <v>5118</v>
      </c>
      <c r="AI1728" t="s">
        <v>59</v>
      </c>
      <c r="AL1728" t="s">
        <v>4254</v>
      </c>
      <c r="AM1728" t="s">
        <v>4255</v>
      </c>
      <c r="AN1728" s="3">
        <v>46062.297222222223</v>
      </c>
      <c r="AO1728" t="s">
        <v>4250</v>
      </c>
    </row>
    <row r="1729" spans="1:41" x14ac:dyDescent="0.3">
      <c r="A1729" t="s">
        <v>168</v>
      </c>
      <c r="B1729" t="s">
        <v>1312</v>
      </c>
      <c r="C1729" t="s">
        <v>1313</v>
      </c>
      <c r="D1729" t="s">
        <v>268</v>
      </c>
      <c r="E1729" s="1">
        <v>46061</v>
      </c>
      <c r="F1729" t="s">
        <v>1617</v>
      </c>
      <c r="G1729" t="s">
        <v>485</v>
      </c>
      <c r="H1729" s="2">
        <v>0.875</v>
      </c>
      <c r="I1729" s="2">
        <v>0.3125</v>
      </c>
      <c r="J1729" t="s">
        <v>1314</v>
      </c>
      <c r="K1729" t="s">
        <v>849</v>
      </c>
      <c r="L1729" t="s">
        <v>47</v>
      </c>
      <c r="M1729" t="s">
        <v>1315</v>
      </c>
      <c r="N1729" t="s">
        <v>1316</v>
      </c>
      <c r="O1729">
        <v>22278</v>
      </c>
      <c r="Q1729" t="s">
        <v>705</v>
      </c>
      <c r="R1729" t="s">
        <v>176</v>
      </c>
      <c r="S1729" t="s">
        <v>119</v>
      </c>
      <c r="T1729" t="s">
        <v>414</v>
      </c>
      <c r="U1729">
        <v>889877</v>
      </c>
      <c r="V1729" s="3">
        <v>46059.415972222225</v>
      </c>
      <c r="W1729" t="s">
        <v>1317</v>
      </c>
      <c r="X1729" t="s">
        <v>1318</v>
      </c>
      <c r="Y1729" t="str">
        <f>"0413259096"</f>
        <v>0413259096</v>
      </c>
      <c r="Z1729" t="s">
        <v>70</v>
      </c>
      <c r="AB1729" t="s">
        <v>1312</v>
      </c>
      <c r="AC1729" t="s">
        <v>1319</v>
      </c>
      <c r="AD1729" t="s">
        <v>168</v>
      </c>
      <c r="AE1729" t="s">
        <v>1320</v>
      </c>
      <c r="AF1729">
        <v>5417</v>
      </c>
      <c r="AI1729" t="s">
        <v>59</v>
      </c>
      <c r="AL1729" t="s">
        <v>4256</v>
      </c>
      <c r="AM1729" t="s">
        <v>4257</v>
      </c>
      <c r="AN1729" s="3">
        <v>46059.450694444444</v>
      </c>
      <c r="AO1729" t="s">
        <v>231</v>
      </c>
    </row>
    <row r="1730" spans="1:41" x14ac:dyDescent="0.3">
      <c r="A1730" t="s">
        <v>61</v>
      </c>
      <c r="B1730" t="s">
        <v>158</v>
      </c>
      <c r="C1730" t="s">
        <v>745</v>
      </c>
      <c r="D1730" t="s">
        <v>127</v>
      </c>
      <c r="E1730" s="1">
        <v>46061</v>
      </c>
      <c r="F1730" t="s">
        <v>1617</v>
      </c>
      <c r="G1730" t="s">
        <v>485</v>
      </c>
      <c r="H1730" s="2">
        <v>0.875</v>
      </c>
      <c r="I1730" s="2">
        <v>0.29166666666666669</v>
      </c>
      <c r="J1730" t="s">
        <v>296</v>
      </c>
      <c r="L1730" t="s">
        <v>159</v>
      </c>
      <c r="M1730" t="s">
        <v>160</v>
      </c>
      <c r="N1730" t="s">
        <v>161</v>
      </c>
      <c r="O1730">
        <v>5952008</v>
      </c>
      <c r="Q1730" t="s">
        <v>4258</v>
      </c>
      <c r="R1730" t="s">
        <v>500</v>
      </c>
      <c r="S1730" t="s">
        <v>52</v>
      </c>
      <c r="U1730">
        <v>889752</v>
      </c>
      <c r="V1730" s="3">
        <v>46060.522222222222</v>
      </c>
      <c r="W1730" t="s">
        <v>163</v>
      </c>
      <c r="X1730" t="s">
        <v>164</v>
      </c>
      <c r="Y1730" t="str">
        <f>"0482375205"</f>
        <v>0482375205</v>
      </c>
      <c r="Z1730" t="s">
        <v>70</v>
      </c>
      <c r="AA1730" s="1">
        <v>46061</v>
      </c>
      <c r="AB1730" t="s">
        <v>166</v>
      </c>
      <c r="AD1730" t="s">
        <v>61</v>
      </c>
      <c r="AE1730" t="s">
        <v>167</v>
      </c>
      <c r="AF1730">
        <v>2011</v>
      </c>
      <c r="AG1730" t="s">
        <v>2986</v>
      </c>
      <c r="AI1730" t="s">
        <v>59</v>
      </c>
      <c r="AL1730" t="s">
        <v>4259</v>
      </c>
      <c r="AN1730" s="3">
        <v>46062.291666666664</v>
      </c>
      <c r="AO1730" t="s">
        <v>163</v>
      </c>
    </row>
    <row r="1731" spans="1:41" x14ac:dyDescent="0.3">
      <c r="A1731" t="s">
        <v>168</v>
      </c>
      <c r="B1731" t="s">
        <v>266</v>
      </c>
      <c r="C1731" t="s">
        <v>267</v>
      </c>
      <c r="D1731" t="s">
        <v>268</v>
      </c>
      <c r="E1731" s="1">
        <v>46061</v>
      </c>
      <c r="F1731" t="s">
        <v>1617</v>
      </c>
      <c r="G1731" t="s">
        <v>485</v>
      </c>
      <c r="H1731" s="2">
        <v>0.875</v>
      </c>
      <c r="I1731" s="2">
        <v>0.3125</v>
      </c>
      <c r="J1731" t="s">
        <v>269</v>
      </c>
      <c r="K1731" t="s">
        <v>297</v>
      </c>
      <c r="L1731" t="s">
        <v>47</v>
      </c>
      <c r="M1731" t="s">
        <v>517</v>
      </c>
      <c r="N1731" t="s">
        <v>518</v>
      </c>
      <c r="O1731">
        <v>5951368</v>
      </c>
      <c r="Q1731" t="s">
        <v>274</v>
      </c>
      <c r="R1731" t="s">
        <v>176</v>
      </c>
      <c r="S1731" t="s">
        <v>52</v>
      </c>
      <c r="U1731">
        <v>889756</v>
      </c>
      <c r="V1731" s="3">
        <v>45993.45208333333</v>
      </c>
      <c r="W1731" t="s">
        <v>519</v>
      </c>
      <c r="X1731" t="s">
        <v>520</v>
      </c>
      <c r="Y1731" t="str">
        <f>"0420208072"</f>
        <v>0420208072</v>
      </c>
      <c r="Z1731" t="s">
        <v>1609</v>
      </c>
      <c r="AB1731" t="s">
        <v>277</v>
      </c>
      <c r="AC1731" t="s">
        <v>278</v>
      </c>
      <c r="AD1731" t="s">
        <v>168</v>
      </c>
      <c r="AE1731" t="s">
        <v>279</v>
      </c>
      <c r="AF1731">
        <v>5092</v>
      </c>
      <c r="AG1731" t="s">
        <v>274</v>
      </c>
      <c r="AI1731" t="s">
        <v>59</v>
      </c>
      <c r="AL1731" t="s">
        <v>4260</v>
      </c>
      <c r="AM1731" t="s">
        <v>281</v>
      </c>
      <c r="AN1731" s="3">
        <v>46062.330555555556</v>
      </c>
      <c r="AO1731" t="s">
        <v>519</v>
      </c>
    </row>
    <row r="1732" spans="1:41" x14ac:dyDescent="0.3">
      <c r="A1732" t="s">
        <v>306</v>
      </c>
      <c r="B1732" t="s">
        <v>528</v>
      </c>
      <c r="C1732" t="s">
        <v>529</v>
      </c>
      <c r="D1732" t="s">
        <v>63</v>
      </c>
      <c r="E1732" s="1">
        <v>46061</v>
      </c>
      <c r="F1732" t="s">
        <v>1617</v>
      </c>
      <c r="G1732" t="s">
        <v>485</v>
      </c>
      <c r="H1732" s="2">
        <v>0.89583333333333337</v>
      </c>
      <c r="I1732" s="2">
        <v>0.3125</v>
      </c>
      <c r="J1732" t="s">
        <v>529</v>
      </c>
      <c r="L1732" t="s">
        <v>531</v>
      </c>
      <c r="M1732" t="s">
        <v>532</v>
      </c>
      <c r="N1732" t="s">
        <v>533</v>
      </c>
      <c r="O1732">
        <v>20495</v>
      </c>
      <c r="Q1732" t="s">
        <v>4261</v>
      </c>
      <c r="R1732" t="s">
        <v>145</v>
      </c>
      <c r="S1732" t="s">
        <v>52</v>
      </c>
      <c r="U1732">
        <v>889748</v>
      </c>
      <c r="V1732" s="3">
        <v>46061.76666666667</v>
      </c>
      <c r="W1732" t="s">
        <v>535</v>
      </c>
      <c r="X1732" t="s">
        <v>536</v>
      </c>
      <c r="Y1732" t="str">
        <f>"0447625522"</f>
        <v>0447625522</v>
      </c>
      <c r="Z1732" t="s">
        <v>70</v>
      </c>
      <c r="AA1732" s="1">
        <v>46061</v>
      </c>
      <c r="AB1732" t="s">
        <v>537</v>
      </c>
      <c r="AD1732" t="s">
        <v>306</v>
      </c>
      <c r="AE1732" t="s">
        <v>538</v>
      </c>
      <c r="AF1732">
        <v>3152</v>
      </c>
      <c r="AG1732" t="s">
        <v>1087</v>
      </c>
      <c r="AI1732" t="s">
        <v>59</v>
      </c>
      <c r="AL1732" t="s">
        <v>4262</v>
      </c>
      <c r="AN1732" s="3">
        <v>46062.265972222223</v>
      </c>
      <c r="AO1732" t="s">
        <v>535</v>
      </c>
    </row>
    <row r="1733" spans="1:41" x14ac:dyDescent="0.3">
      <c r="A1733" t="s">
        <v>306</v>
      </c>
      <c r="B1733" t="s">
        <v>528</v>
      </c>
      <c r="C1733" t="s">
        <v>529</v>
      </c>
      <c r="D1733" t="s">
        <v>63</v>
      </c>
      <c r="E1733" s="1">
        <v>46061</v>
      </c>
      <c r="F1733" t="s">
        <v>1617</v>
      </c>
      <c r="G1733" t="s">
        <v>485</v>
      </c>
      <c r="H1733" s="2">
        <v>0.89583333333333337</v>
      </c>
      <c r="I1733" s="2">
        <v>0.3125</v>
      </c>
      <c r="J1733" t="s">
        <v>529</v>
      </c>
      <c r="K1733" t="s">
        <v>530</v>
      </c>
      <c r="L1733" t="s">
        <v>531</v>
      </c>
      <c r="M1733" t="s">
        <v>3863</v>
      </c>
      <c r="N1733" t="s">
        <v>3864</v>
      </c>
      <c r="O1733">
        <v>20445</v>
      </c>
      <c r="Q1733" t="s">
        <v>4263</v>
      </c>
      <c r="R1733" t="s">
        <v>476</v>
      </c>
      <c r="S1733" t="s">
        <v>52</v>
      </c>
      <c r="U1733">
        <v>889751</v>
      </c>
      <c r="V1733" s="3">
        <v>46058.604166666664</v>
      </c>
      <c r="W1733" t="s">
        <v>3866</v>
      </c>
      <c r="X1733" t="s">
        <v>3867</v>
      </c>
      <c r="Y1733" t="str">
        <f>"0403574680"</f>
        <v>0403574680</v>
      </c>
      <c r="Z1733" t="s">
        <v>70</v>
      </c>
      <c r="AB1733" t="s">
        <v>537</v>
      </c>
      <c r="AD1733" t="s">
        <v>306</v>
      </c>
      <c r="AE1733" t="s">
        <v>538</v>
      </c>
      <c r="AF1733">
        <v>3152</v>
      </c>
      <c r="AG1733" t="s">
        <v>2415</v>
      </c>
      <c r="AI1733" t="s">
        <v>59</v>
      </c>
      <c r="AL1733" t="s">
        <v>87</v>
      </c>
      <c r="AN1733" s="3">
        <v>46062.284722222219</v>
      </c>
      <c r="AO1733" t="s">
        <v>3866</v>
      </c>
    </row>
    <row r="1734" spans="1:41" x14ac:dyDescent="0.3">
      <c r="A1734" t="s">
        <v>306</v>
      </c>
      <c r="B1734" t="s">
        <v>1435</v>
      </c>
      <c r="C1734" t="s">
        <v>1523</v>
      </c>
      <c r="D1734" t="s">
        <v>1436</v>
      </c>
      <c r="E1734" s="1">
        <v>46061</v>
      </c>
      <c r="F1734" t="s">
        <v>1617</v>
      </c>
      <c r="G1734" t="s">
        <v>485</v>
      </c>
      <c r="H1734" s="2">
        <v>0.89583333333333337</v>
      </c>
      <c r="I1734" s="2">
        <v>0.3125</v>
      </c>
      <c r="J1734" t="s">
        <v>296</v>
      </c>
      <c r="K1734" t="s">
        <v>4264</v>
      </c>
      <c r="L1734" t="s">
        <v>1337</v>
      </c>
      <c r="M1734" t="s">
        <v>1338</v>
      </c>
      <c r="N1734" t="s">
        <v>1339</v>
      </c>
      <c r="O1734">
        <v>20818</v>
      </c>
      <c r="Q1734" t="s">
        <v>413</v>
      </c>
      <c r="R1734" t="s">
        <v>1248</v>
      </c>
      <c r="S1734" t="s">
        <v>52</v>
      </c>
      <c r="U1734">
        <v>889755</v>
      </c>
      <c r="V1734" s="3">
        <v>46060.419444444444</v>
      </c>
      <c r="W1734" t="s">
        <v>1340</v>
      </c>
      <c r="X1734" t="s">
        <v>1341</v>
      </c>
      <c r="Y1734" t="str">
        <f>"0449240065"</f>
        <v>0449240065</v>
      </c>
      <c r="Z1734" t="s">
        <v>70</v>
      </c>
      <c r="AA1734" s="1">
        <v>46061</v>
      </c>
      <c r="AB1734" t="s">
        <v>1438</v>
      </c>
      <c r="AD1734" t="s">
        <v>306</v>
      </c>
      <c r="AE1734" t="s">
        <v>1439</v>
      </c>
      <c r="AF1734">
        <v>3128</v>
      </c>
      <c r="AG1734" t="s">
        <v>413</v>
      </c>
      <c r="AI1734" t="s">
        <v>59</v>
      </c>
      <c r="AL1734" t="s">
        <v>4265</v>
      </c>
      <c r="AM1734" t="s">
        <v>4266</v>
      </c>
      <c r="AN1734" s="3">
        <v>46062.306944444441</v>
      </c>
      <c r="AO1734" t="s">
        <v>1340</v>
      </c>
    </row>
    <row r="1735" spans="1:41" x14ac:dyDescent="0.3">
      <c r="A1735" t="s">
        <v>61</v>
      </c>
      <c r="B1735" t="s">
        <v>753</v>
      </c>
      <c r="C1735" t="s">
        <v>2343</v>
      </c>
      <c r="D1735" t="s">
        <v>754</v>
      </c>
      <c r="E1735" s="1">
        <v>46061</v>
      </c>
      <c r="F1735" t="s">
        <v>1617</v>
      </c>
      <c r="G1735" t="s">
        <v>485</v>
      </c>
      <c r="H1735" s="2">
        <v>0.94791666666666663</v>
      </c>
      <c r="I1735" s="2">
        <v>0.30208333333333331</v>
      </c>
      <c r="J1735" t="s">
        <v>590</v>
      </c>
      <c r="L1735" t="s">
        <v>487</v>
      </c>
      <c r="M1735" t="s">
        <v>1645</v>
      </c>
      <c r="N1735" t="s">
        <v>1646</v>
      </c>
      <c r="O1735">
        <v>5951065</v>
      </c>
      <c r="Q1735" t="s">
        <v>758</v>
      </c>
      <c r="R1735" t="s">
        <v>67</v>
      </c>
      <c r="S1735" t="s">
        <v>52</v>
      </c>
      <c r="U1735">
        <v>889760</v>
      </c>
      <c r="V1735" s="3">
        <v>46058.362500000003</v>
      </c>
      <c r="W1735" t="s">
        <v>1647</v>
      </c>
      <c r="X1735" t="s">
        <v>1648</v>
      </c>
      <c r="Y1735" t="str">
        <f>"0408979009"</f>
        <v>0408979009</v>
      </c>
      <c r="Z1735" t="s">
        <v>70</v>
      </c>
      <c r="AA1735" s="1">
        <v>46061</v>
      </c>
      <c r="AB1735" t="s">
        <v>764</v>
      </c>
      <c r="AD1735" t="s">
        <v>61</v>
      </c>
      <c r="AE1735" t="s">
        <v>765</v>
      </c>
      <c r="AF1735">
        <v>2220</v>
      </c>
      <c r="AG1735" t="s">
        <v>758</v>
      </c>
      <c r="AI1735" t="s">
        <v>59</v>
      </c>
      <c r="AL1735" t="s">
        <v>4193</v>
      </c>
      <c r="AN1735" s="3">
        <v>46062.35</v>
      </c>
      <c r="AO1735" t="s">
        <v>1647</v>
      </c>
    </row>
    <row r="1736" spans="1:41" x14ac:dyDescent="0.3">
      <c r="A1736" t="s">
        <v>306</v>
      </c>
      <c r="B1736" t="s">
        <v>1334</v>
      </c>
      <c r="C1736" t="s">
        <v>269</v>
      </c>
      <c r="D1736" t="s">
        <v>1336</v>
      </c>
      <c r="E1736" s="1">
        <v>46061</v>
      </c>
      <c r="F1736" t="s">
        <v>1617</v>
      </c>
      <c r="G1736" t="s">
        <v>485</v>
      </c>
      <c r="H1736" s="2">
        <v>0.95833333333333337</v>
      </c>
      <c r="I1736" s="2">
        <v>0.3125</v>
      </c>
      <c r="J1736" t="s">
        <v>1524</v>
      </c>
      <c r="L1736" t="s">
        <v>464</v>
      </c>
      <c r="M1736" t="s">
        <v>1638</v>
      </c>
      <c r="N1736" t="s">
        <v>1639</v>
      </c>
      <c r="O1736">
        <v>5952325</v>
      </c>
      <c r="P1736" t="s">
        <v>4267</v>
      </c>
      <c r="Q1736" t="s">
        <v>413</v>
      </c>
      <c r="R1736" t="s">
        <v>145</v>
      </c>
      <c r="S1736" t="s">
        <v>52</v>
      </c>
      <c r="U1736">
        <v>889753</v>
      </c>
      <c r="V1736" s="3">
        <v>46046.759722222225</v>
      </c>
      <c r="W1736" t="s">
        <v>1640</v>
      </c>
      <c r="X1736" t="s">
        <v>1641</v>
      </c>
      <c r="Y1736" t="str">
        <f>"0413340060"</f>
        <v>0413340060</v>
      </c>
      <c r="Z1736" t="s">
        <v>70</v>
      </c>
      <c r="AA1736" s="1">
        <v>46061</v>
      </c>
      <c r="AB1736" t="s">
        <v>1342</v>
      </c>
      <c r="AD1736" t="s">
        <v>306</v>
      </c>
      <c r="AE1736" t="s">
        <v>1343</v>
      </c>
      <c r="AF1736">
        <v>3144</v>
      </c>
      <c r="AG1736" t="s">
        <v>705</v>
      </c>
      <c r="AI1736" t="s">
        <v>59</v>
      </c>
      <c r="AL1736" t="s">
        <v>4268</v>
      </c>
      <c r="AM1736" t="s">
        <v>4269</v>
      </c>
      <c r="AN1736" s="3">
        <v>46062.294444444444</v>
      </c>
      <c r="AO1736" t="s">
        <v>1640</v>
      </c>
    </row>
    <row r="1737" spans="1:41" x14ac:dyDescent="0.3">
      <c r="A1737" t="s">
        <v>41</v>
      </c>
      <c r="B1737" t="s">
        <v>589</v>
      </c>
      <c r="C1737" t="s">
        <v>590</v>
      </c>
      <c r="D1737" t="s">
        <v>246</v>
      </c>
      <c r="E1737" s="1">
        <v>46031</v>
      </c>
      <c r="F1737" t="s">
        <v>2113</v>
      </c>
      <c r="G1737" t="s">
        <v>45</v>
      </c>
      <c r="H1737" s="2">
        <v>0.29166666666666669</v>
      </c>
      <c r="I1737" s="2">
        <v>0.71875</v>
      </c>
      <c r="J1737" t="s">
        <v>591</v>
      </c>
      <c r="L1737" t="s">
        <v>592</v>
      </c>
      <c r="M1737" t="s">
        <v>593</v>
      </c>
      <c r="N1737" t="s">
        <v>594</v>
      </c>
      <c r="O1737">
        <v>5952427</v>
      </c>
      <c r="P1737" t="s">
        <v>595</v>
      </c>
      <c r="Q1737" t="s">
        <v>596</v>
      </c>
      <c r="R1737" t="s">
        <v>392</v>
      </c>
      <c r="S1737" t="s">
        <v>52</v>
      </c>
      <c r="T1737" t="s">
        <v>252</v>
      </c>
      <c r="U1737">
        <v>886901</v>
      </c>
      <c r="V1737" s="3">
        <v>46035.52847222222</v>
      </c>
      <c r="W1737" t="s">
        <v>597</v>
      </c>
      <c r="X1737" t="s">
        <v>598</v>
      </c>
      <c r="Y1737" t="str">
        <f>"0432677728"</f>
        <v>0432677728</v>
      </c>
      <c r="Z1737" t="s">
        <v>345</v>
      </c>
      <c r="AA1737" s="1">
        <v>46054</v>
      </c>
      <c r="AB1737" t="s">
        <v>599</v>
      </c>
      <c r="AC1737" t="s">
        <v>600</v>
      </c>
      <c r="AD1737" t="s">
        <v>41</v>
      </c>
      <c r="AE1737" t="s">
        <v>600</v>
      </c>
      <c r="AF1737">
        <v>4610</v>
      </c>
      <c r="AG1737" t="s">
        <v>601</v>
      </c>
      <c r="AI1737" t="s">
        <v>59</v>
      </c>
      <c r="AJ1737" t="str">
        <f>"0050075752"</f>
        <v>0050075752</v>
      </c>
      <c r="AN1737" s="3">
        <v>46035.52847222222</v>
      </c>
      <c r="AO1737" t="s">
        <v>392</v>
      </c>
    </row>
    <row r="1738" spans="1:41" x14ac:dyDescent="0.3">
      <c r="A1738" t="s">
        <v>61</v>
      </c>
      <c r="B1738" t="s">
        <v>620</v>
      </c>
      <c r="C1738" t="s">
        <v>43</v>
      </c>
      <c r="D1738" t="s">
        <v>63</v>
      </c>
      <c r="E1738" s="1">
        <v>46062</v>
      </c>
      <c r="F1738" t="s">
        <v>569</v>
      </c>
      <c r="G1738" t="s">
        <v>45</v>
      </c>
      <c r="H1738" s="2">
        <v>0.25</v>
      </c>
      <c r="I1738" s="2">
        <v>0.5</v>
      </c>
      <c r="J1738" t="s">
        <v>185</v>
      </c>
      <c r="L1738" t="s">
        <v>186</v>
      </c>
      <c r="M1738" t="s">
        <v>622</v>
      </c>
      <c r="N1738" t="s">
        <v>623</v>
      </c>
      <c r="O1738">
        <v>20720</v>
      </c>
      <c r="Q1738" t="s">
        <v>624</v>
      </c>
      <c r="R1738" t="s">
        <v>132</v>
      </c>
      <c r="S1738" t="s">
        <v>52</v>
      </c>
      <c r="U1738">
        <v>889778</v>
      </c>
      <c r="V1738" s="3">
        <v>46059.34097222222</v>
      </c>
      <c r="W1738" t="s">
        <v>625</v>
      </c>
      <c r="X1738" t="s">
        <v>626</v>
      </c>
      <c r="Y1738" t="str">
        <f>"0469365147"</f>
        <v>0469365147</v>
      </c>
      <c r="Z1738" t="s">
        <v>1916</v>
      </c>
      <c r="AB1738" t="s">
        <v>628</v>
      </c>
      <c r="AD1738" t="s">
        <v>61</v>
      </c>
      <c r="AE1738" t="s">
        <v>629</v>
      </c>
      <c r="AF1738">
        <v>2305</v>
      </c>
      <c r="AG1738" t="s">
        <v>630</v>
      </c>
      <c r="AI1738" t="s">
        <v>59</v>
      </c>
      <c r="AL1738" t="s">
        <v>4270</v>
      </c>
      <c r="AN1738" s="3">
        <v>46062.498611111114</v>
      </c>
      <c r="AO1738" t="s">
        <v>625</v>
      </c>
    </row>
    <row r="1739" spans="1:41" x14ac:dyDescent="0.3">
      <c r="A1739" t="s">
        <v>874</v>
      </c>
      <c r="B1739" t="s">
        <v>875</v>
      </c>
      <c r="D1739" t="s">
        <v>388</v>
      </c>
      <c r="E1739" s="1">
        <v>46062</v>
      </c>
      <c r="F1739" t="s">
        <v>569</v>
      </c>
      <c r="G1739" t="s">
        <v>45</v>
      </c>
      <c r="H1739" s="2">
        <v>0.25</v>
      </c>
      <c r="I1739" s="2">
        <v>0.25069444444444444</v>
      </c>
      <c r="J1739" t="s">
        <v>876</v>
      </c>
      <c r="L1739" t="s">
        <v>877</v>
      </c>
      <c r="M1739" t="s">
        <v>878</v>
      </c>
      <c r="N1739" t="s">
        <v>879</v>
      </c>
      <c r="O1739">
        <v>5951689</v>
      </c>
      <c r="P1739" t="s">
        <v>249</v>
      </c>
      <c r="Q1739" t="s">
        <v>880</v>
      </c>
      <c r="R1739" t="s">
        <v>392</v>
      </c>
      <c r="S1739" t="s">
        <v>52</v>
      </c>
      <c r="U1739">
        <v>889818</v>
      </c>
      <c r="V1739" s="3">
        <v>46062.65347222222</v>
      </c>
      <c r="W1739" t="s">
        <v>881</v>
      </c>
      <c r="X1739" t="s">
        <v>882</v>
      </c>
      <c r="Y1739" t="str">
        <f>"0474765680"</f>
        <v>0474765680</v>
      </c>
      <c r="Z1739" t="s">
        <v>70</v>
      </c>
      <c r="AA1739" s="1">
        <v>46110</v>
      </c>
      <c r="AB1739" t="s">
        <v>883</v>
      </c>
      <c r="AD1739" t="s">
        <v>397</v>
      </c>
      <c r="AE1739" t="s">
        <v>884</v>
      </c>
      <c r="AG1739" t="s">
        <v>880</v>
      </c>
      <c r="AI1739" t="s">
        <v>59</v>
      </c>
      <c r="AJ1739" t="str">
        <f>"0090000061"</f>
        <v>0090000061</v>
      </c>
      <c r="AN1739" s="3">
        <v>46069.445138888892</v>
      </c>
      <c r="AO1739" t="s">
        <v>392</v>
      </c>
    </row>
    <row r="1740" spans="1:41" x14ac:dyDescent="0.3">
      <c r="A1740" t="s">
        <v>168</v>
      </c>
      <c r="B1740" t="s">
        <v>215</v>
      </c>
      <c r="C1740" t="s">
        <v>43</v>
      </c>
      <c r="D1740" t="s">
        <v>127</v>
      </c>
      <c r="E1740" s="1">
        <v>46062</v>
      </c>
      <c r="F1740" t="s">
        <v>569</v>
      </c>
      <c r="G1740" t="s">
        <v>45</v>
      </c>
      <c r="H1740" s="2">
        <v>0.27083333333333331</v>
      </c>
      <c r="I1740" s="2">
        <v>0.58333333333333337</v>
      </c>
      <c r="J1740" t="s">
        <v>258</v>
      </c>
      <c r="K1740" t="s">
        <v>259</v>
      </c>
      <c r="L1740" t="s">
        <v>186</v>
      </c>
      <c r="M1740" t="s">
        <v>1117</v>
      </c>
      <c r="N1740" t="s">
        <v>1118</v>
      </c>
      <c r="O1740">
        <v>5952419</v>
      </c>
      <c r="Q1740" t="s">
        <v>219</v>
      </c>
      <c r="R1740" t="s">
        <v>176</v>
      </c>
      <c r="S1740" t="s">
        <v>52</v>
      </c>
      <c r="U1740">
        <v>889809</v>
      </c>
      <c r="V1740" s="3">
        <v>46043.772222222222</v>
      </c>
      <c r="W1740" t="s">
        <v>1119</v>
      </c>
      <c r="X1740" t="s">
        <v>1120</v>
      </c>
      <c r="Y1740" t="str">
        <f>"0433820679"</f>
        <v>0433820679</v>
      </c>
      <c r="Z1740" t="s">
        <v>3817</v>
      </c>
      <c r="AB1740" t="s">
        <v>222</v>
      </c>
      <c r="AD1740" t="s">
        <v>168</v>
      </c>
      <c r="AE1740" t="s">
        <v>223</v>
      </c>
      <c r="AF1740">
        <v>5069</v>
      </c>
      <c r="AG1740" t="s">
        <v>219</v>
      </c>
      <c r="AI1740" t="s">
        <v>59</v>
      </c>
      <c r="AL1740" t="s">
        <v>2839</v>
      </c>
      <c r="AN1740" s="3">
        <v>46062.584722222222</v>
      </c>
      <c r="AO1740" t="s">
        <v>1119</v>
      </c>
    </row>
    <row r="1741" spans="1:41" x14ac:dyDescent="0.3">
      <c r="A1741" t="s">
        <v>41</v>
      </c>
      <c r="B1741" t="s">
        <v>1168</v>
      </c>
      <c r="D1741" t="s">
        <v>246</v>
      </c>
      <c r="E1741" s="1">
        <v>46062</v>
      </c>
      <c r="F1741" t="s">
        <v>569</v>
      </c>
      <c r="G1741" t="s">
        <v>45</v>
      </c>
      <c r="H1741" s="2">
        <v>0.27083333333333331</v>
      </c>
      <c r="I1741" s="2">
        <v>0.625</v>
      </c>
      <c r="J1741" t="s">
        <v>296</v>
      </c>
      <c r="L1741" t="s">
        <v>1169</v>
      </c>
      <c r="M1741" t="s">
        <v>1170</v>
      </c>
      <c r="N1741" t="s">
        <v>1171</v>
      </c>
      <c r="O1741">
        <v>5952274</v>
      </c>
      <c r="Q1741" t="s">
        <v>1172</v>
      </c>
      <c r="R1741" t="s">
        <v>573</v>
      </c>
      <c r="S1741" t="s">
        <v>52</v>
      </c>
      <c r="T1741" t="s">
        <v>252</v>
      </c>
      <c r="U1741">
        <v>890644</v>
      </c>
      <c r="V1741" s="3">
        <v>46069.606944444444</v>
      </c>
      <c r="W1741" t="s">
        <v>1173</v>
      </c>
      <c r="X1741" t="s">
        <v>1174</v>
      </c>
      <c r="Y1741" t="str">
        <f>"0432261353"</f>
        <v>0432261353</v>
      </c>
      <c r="Z1741" t="s">
        <v>84</v>
      </c>
      <c r="AA1741" s="1">
        <v>46083</v>
      </c>
      <c r="AB1741" t="s">
        <v>1175</v>
      </c>
      <c r="AD1741" t="s">
        <v>41</v>
      </c>
      <c r="AE1741" t="s">
        <v>1176</v>
      </c>
      <c r="AF1741">
        <v>4680</v>
      </c>
      <c r="AG1741" t="s">
        <v>1172</v>
      </c>
      <c r="AI1741" t="s">
        <v>59</v>
      </c>
      <c r="AJ1741" t="str">
        <f>"0050076336"</f>
        <v>0050076336</v>
      </c>
      <c r="AN1741" s="3">
        <v>46069.606944444444</v>
      </c>
      <c r="AO1741" t="s">
        <v>573</v>
      </c>
    </row>
    <row r="1742" spans="1:41" x14ac:dyDescent="0.3">
      <c r="A1742" t="s">
        <v>61</v>
      </c>
      <c r="B1742" t="s">
        <v>62</v>
      </c>
      <c r="C1742" t="s">
        <v>43</v>
      </c>
      <c r="D1742" t="s">
        <v>63</v>
      </c>
      <c r="E1742" s="1">
        <v>46062</v>
      </c>
      <c r="F1742" t="s">
        <v>569</v>
      </c>
      <c r="G1742" t="s">
        <v>45</v>
      </c>
      <c r="H1742" s="2">
        <v>0.27083333333333331</v>
      </c>
      <c r="I1742" s="2">
        <v>0.99861111111111112</v>
      </c>
      <c r="J1742" t="s">
        <v>101</v>
      </c>
      <c r="L1742" t="s">
        <v>159</v>
      </c>
      <c r="M1742" t="s">
        <v>1765</v>
      </c>
      <c r="N1742" t="s">
        <v>1766</v>
      </c>
      <c r="O1742">
        <v>339</v>
      </c>
      <c r="Q1742" t="s">
        <v>66</v>
      </c>
      <c r="R1742" t="s">
        <v>67</v>
      </c>
      <c r="S1742" t="s">
        <v>52</v>
      </c>
      <c r="U1742">
        <v>889807</v>
      </c>
      <c r="V1742" s="3">
        <v>46056.435416666667</v>
      </c>
      <c r="W1742" t="s">
        <v>1768</v>
      </c>
      <c r="X1742" t="s">
        <v>1769</v>
      </c>
      <c r="Y1742" t="str">
        <f>"0419654987"</f>
        <v>0419654987</v>
      </c>
      <c r="Z1742" t="s">
        <v>70</v>
      </c>
      <c r="AB1742" t="s">
        <v>71</v>
      </c>
      <c r="AD1742" t="s">
        <v>61</v>
      </c>
      <c r="AE1742" t="s">
        <v>72</v>
      </c>
      <c r="AF1742">
        <v>2747</v>
      </c>
      <c r="AG1742" t="s">
        <v>73</v>
      </c>
      <c r="AI1742" t="s">
        <v>59</v>
      </c>
      <c r="AL1742" t="s">
        <v>4271</v>
      </c>
      <c r="AN1742" s="3">
        <v>46062.57916666667</v>
      </c>
      <c r="AO1742" t="s">
        <v>1768</v>
      </c>
    </row>
    <row r="1743" spans="1:41" x14ac:dyDescent="0.3">
      <c r="A1743" t="s">
        <v>168</v>
      </c>
      <c r="B1743" t="s">
        <v>376</v>
      </c>
      <c r="C1743" t="s">
        <v>43</v>
      </c>
      <c r="D1743" t="s">
        <v>127</v>
      </c>
      <c r="E1743" s="1">
        <v>46062</v>
      </c>
      <c r="F1743" t="s">
        <v>569</v>
      </c>
      <c r="G1743" t="s">
        <v>45</v>
      </c>
      <c r="H1743" s="2">
        <v>0.27083333333333331</v>
      </c>
      <c r="I1743" s="2">
        <v>0.5</v>
      </c>
      <c r="J1743" t="s">
        <v>185</v>
      </c>
      <c r="K1743" t="s">
        <v>678</v>
      </c>
      <c r="L1743" t="s">
        <v>186</v>
      </c>
      <c r="M1743" t="s">
        <v>867</v>
      </c>
      <c r="N1743" t="s">
        <v>868</v>
      </c>
      <c r="O1743">
        <v>5951869</v>
      </c>
      <c r="Q1743" t="s">
        <v>670</v>
      </c>
      <c r="R1743" t="s">
        <v>231</v>
      </c>
      <c r="S1743" t="s">
        <v>52</v>
      </c>
      <c r="U1743">
        <v>889788</v>
      </c>
      <c r="V1743" s="3">
        <v>46035.644444444442</v>
      </c>
      <c r="W1743" t="s">
        <v>870</v>
      </c>
      <c r="X1743" t="s">
        <v>871</v>
      </c>
      <c r="Y1743" t="str">
        <f>"0435211342"</f>
        <v>0435211342</v>
      </c>
      <c r="Z1743" t="s">
        <v>1225</v>
      </c>
      <c r="AB1743" t="s">
        <v>383</v>
      </c>
      <c r="AD1743" t="s">
        <v>168</v>
      </c>
      <c r="AE1743" t="s">
        <v>384</v>
      </c>
      <c r="AF1743">
        <v>5000</v>
      </c>
      <c r="AG1743" t="s">
        <v>674</v>
      </c>
      <c r="AI1743" t="s">
        <v>59</v>
      </c>
      <c r="AL1743" t="s">
        <v>4272</v>
      </c>
      <c r="AM1743" t="s">
        <v>685</v>
      </c>
      <c r="AN1743" s="3">
        <v>46062.521527777775</v>
      </c>
      <c r="AO1743" t="s">
        <v>870</v>
      </c>
    </row>
    <row r="1744" spans="1:41" x14ac:dyDescent="0.3">
      <c r="A1744" t="s">
        <v>168</v>
      </c>
      <c r="B1744" t="s">
        <v>215</v>
      </c>
      <c r="C1744" t="s">
        <v>43</v>
      </c>
      <c r="D1744" t="s">
        <v>127</v>
      </c>
      <c r="E1744" s="1">
        <v>46062</v>
      </c>
      <c r="F1744" t="s">
        <v>569</v>
      </c>
      <c r="G1744" t="s">
        <v>45</v>
      </c>
      <c r="H1744" s="2">
        <v>0.27083333333333331</v>
      </c>
      <c r="I1744" s="2">
        <v>0.58333333333333337</v>
      </c>
      <c r="J1744" t="s">
        <v>1011</v>
      </c>
      <c r="K1744" t="s">
        <v>1012</v>
      </c>
      <c r="L1744" t="s">
        <v>186</v>
      </c>
      <c r="M1744" t="s">
        <v>651</v>
      </c>
      <c r="N1744" t="s">
        <v>412</v>
      </c>
      <c r="O1744">
        <v>21855</v>
      </c>
      <c r="Q1744" t="s">
        <v>219</v>
      </c>
      <c r="R1744" t="s">
        <v>176</v>
      </c>
      <c r="S1744" t="s">
        <v>52</v>
      </c>
      <c r="U1744">
        <v>889806</v>
      </c>
      <c r="V1744" s="3">
        <v>46043.797222222223</v>
      </c>
      <c r="W1744" t="s">
        <v>652</v>
      </c>
      <c r="X1744" t="s">
        <v>653</v>
      </c>
      <c r="Y1744" t="str">
        <f>"0407317111"</f>
        <v>0407317111</v>
      </c>
      <c r="Z1744" t="s">
        <v>1155</v>
      </c>
      <c r="AB1744" t="s">
        <v>222</v>
      </c>
      <c r="AD1744" t="s">
        <v>168</v>
      </c>
      <c r="AE1744" t="s">
        <v>223</v>
      </c>
      <c r="AF1744">
        <v>5069</v>
      </c>
      <c r="AG1744" t="s">
        <v>219</v>
      </c>
      <c r="AI1744" t="s">
        <v>59</v>
      </c>
      <c r="AL1744" t="s">
        <v>2839</v>
      </c>
      <c r="AN1744" s="3">
        <v>46062.570833333331</v>
      </c>
      <c r="AO1744" t="s">
        <v>652</v>
      </c>
    </row>
    <row r="1745" spans="1:41" x14ac:dyDescent="0.3">
      <c r="A1745" t="s">
        <v>168</v>
      </c>
      <c r="B1745" t="s">
        <v>441</v>
      </c>
      <c r="C1745" t="s">
        <v>43</v>
      </c>
      <c r="E1745" s="1">
        <v>46062</v>
      </c>
      <c r="F1745" t="s">
        <v>569</v>
      </c>
      <c r="G1745" t="s">
        <v>45</v>
      </c>
      <c r="H1745" s="2">
        <v>0.29166666666666669</v>
      </c>
      <c r="I1745" s="2">
        <v>0.625</v>
      </c>
      <c r="J1745" t="s">
        <v>185</v>
      </c>
      <c r="K1745" t="s">
        <v>678</v>
      </c>
      <c r="L1745" t="s">
        <v>186</v>
      </c>
      <c r="M1745" t="s">
        <v>1715</v>
      </c>
      <c r="N1745" t="s">
        <v>1716</v>
      </c>
      <c r="O1745">
        <v>5952401</v>
      </c>
      <c r="Q1745" t="s">
        <v>944</v>
      </c>
      <c r="R1745" t="s">
        <v>500</v>
      </c>
      <c r="S1745" t="s">
        <v>52</v>
      </c>
      <c r="U1745">
        <v>889787</v>
      </c>
      <c r="V1745" s="3">
        <v>46050.959027777775</v>
      </c>
      <c r="W1745" t="s">
        <v>1717</v>
      </c>
      <c r="X1745" t="s">
        <v>1718</v>
      </c>
      <c r="Y1745" t="str">
        <f>"0498043204"</f>
        <v>0498043204</v>
      </c>
      <c r="Z1745" t="s">
        <v>4273</v>
      </c>
      <c r="AB1745" t="s">
        <v>448</v>
      </c>
      <c r="AD1745" t="s">
        <v>168</v>
      </c>
      <c r="AE1745" t="s">
        <v>180</v>
      </c>
      <c r="AF1745">
        <v>5063</v>
      </c>
      <c r="AG1745" t="s">
        <v>944</v>
      </c>
      <c r="AI1745" t="s">
        <v>59</v>
      </c>
      <c r="AL1745" t="s">
        <v>4274</v>
      </c>
      <c r="AN1745" s="3">
        <v>46062.51666666667</v>
      </c>
      <c r="AO1745" t="s">
        <v>1717</v>
      </c>
    </row>
    <row r="1746" spans="1:41" x14ac:dyDescent="0.3">
      <c r="A1746" t="s">
        <v>61</v>
      </c>
      <c r="B1746" t="s">
        <v>1079</v>
      </c>
      <c r="C1746" t="s">
        <v>4183</v>
      </c>
      <c r="D1746" t="s">
        <v>63</v>
      </c>
      <c r="E1746" s="1">
        <v>46062</v>
      </c>
      <c r="F1746" t="s">
        <v>569</v>
      </c>
      <c r="G1746" t="s">
        <v>45</v>
      </c>
      <c r="H1746" s="2">
        <v>0.29166666666666669</v>
      </c>
      <c r="I1746" s="2">
        <v>0.64583333333333337</v>
      </c>
      <c r="J1746" t="s">
        <v>46</v>
      </c>
      <c r="L1746" t="s">
        <v>47</v>
      </c>
      <c r="M1746" t="s">
        <v>1603</v>
      </c>
      <c r="N1746" t="s">
        <v>1871</v>
      </c>
      <c r="O1746">
        <v>21717</v>
      </c>
      <c r="Q1746" t="s">
        <v>852</v>
      </c>
      <c r="R1746" t="s">
        <v>67</v>
      </c>
      <c r="S1746" t="s">
        <v>52</v>
      </c>
      <c r="U1746">
        <v>889816</v>
      </c>
      <c r="V1746" s="3">
        <v>46059.604166666664</v>
      </c>
      <c r="W1746" t="s">
        <v>1872</v>
      </c>
      <c r="X1746" t="s">
        <v>1873</v>
      </c>
      <c r="Y1746" t="str">
        <f>"0432570815"</f>
        <v>0432570815</v>
      </c>
      <c r="Z1746" t="s">
        <v>345</v>
      </c>
      <c r="AA1746" s="1">
        <v>46062</v>
      </c>
      <c r="AB1746" t="s">
        <v>1085</v>
      </c>
      <c r="AD1746" t="s">
        <v>61</v>
      </c>
      <c r="AE1746" t="s">
        <v>1086</v>
      </c>
      <c r="AF1746">
        <v>2031</v>
      </c>
      <c r="AG1746" t="s">
        <v>4185</v>
      </c>
      <c r="AI1746" t="s">
        <v>59</v>
      </c>
      <c r="AL1746" t="s">
        <v>4270</v>
      </c>
      <c r="AN1746" s="3">
        <v>46062.645138888889</v>
      </c>
      <c r="AO1746" t="s">
        <v>1872</v>
      </c>
    </row>
    <row r="1747" spans="1:41" x14ac:dyDescent="0.3">
      <c r="A1747" t="s">
        <v>168</v>
      </c>
      <c r="B1747" t="s">
        <v>266</v>
      </c>
      <c r="D1747" t="s">
        <v>268</v>
      </c>
      <c r="E1747" s="1">
        <v>46062</v>
      </c>
      <c r="F1747" t="s">
        <v>569</v>
      </c>
      <c r="G1747" t="s">
        <v>45</v>
      </c>
      <c r="H1747" s="2">
        <v>0.29166666666666669</v>
      </c>
      <c r="I1747" s="2">
        <v>0.64583333333333337</v>
      </c>
      <c r="J1747" t="s">
        <v>296</v>
      </c>
      <c r="K1747" t="s">
        <v>297</v>
      </c>
      <c r="L1747" t="s">
        <v>298</v>
      </c>
      <c r="M1747" t="s">
        <v>299</v>
      </c>
      <c r="N1747" t="s">
        <v>300</v>
      </c>
      <c r="O1747">
        <v>5951986</v>
      </c>
      <c r="Q1747" t="s">
        <v>274</v>
      </c>
      <c r="R1747" t="s">
        <v>176</v>
      </c>
      <c r="S1747" t="s">
        <v>52</v>
      </c>
      <c r="U1747">
        <v>889821</v>
      </c>
      <c r="V1747" s="3">
        <v>45993.425000000003</v>
      </c>
      <c r="W1747" t="s">
        <v>302</v>
      </c>
      <c r="X1747" t="s">
        <v>303</v>
      </c>
      <c r="Y1747" t="str">
        <f>"0452633734"</f>
        <v>0452633734</v>
      </c>
      <c r="Z1747" t="s">
        <v>4275</v>
      </c>
      <c r="AB1747" t="s">
        <v>277</v>
      </c>
      <c r="AC1747" t="s">
        <v>278</v>
      </c>
      <c r="AD1747" t="s">
        <v>168</v>
      </c>
      <c r="AE1747" t="s">
        <v>279</v>
      </c>
      <c r="AF1747">
        <v>5092</v>
      </c>
      <c r="AG1747" t="s">
        <v>274</v>
      </c>
      <c r="AI1747" t="s">
        <v>59</v>
      </c>
      <c r="AL1747" t="s">
        <v>4276</v>
      </c>
      <c r="AM1747" t="s">
        <v>281</v>
      </c>
      <c r="AN1747" s="3">
        <v>46062.665972222225</v>
      </c>
      <c r="AO1747" t="s">
        <v>302</v>
      </c>
    </row>
    <row r="1748" spans="1:41" x14ac:dyDescent="0.3">
      <c r="A1748" t="s">
        <v>306</v>
      </c>
      <c r="B1748" t="s">
        <v>1238</v>
      </c>
      <c r="C1748" t="s">
        <v>43</v>
      </c>
      <c r="D1748" t="s">
        <v>90</v>
      </c>
      <c r="E1748" s="1">
        <v>46062</v>
      </c>
      <c r="F1748" t="s">
        <v>569</v>
      </c>
      <c r="G1748" t="s">
        <v>45</v>
      </c>
      <c r="H1748" s="2">
        <v>0.29166666666666669</v>
      </c>
      <c r="I1748" s="2">
        <v>0.72916666666666663</v>
      </c>
      <c r="J1748" t="s">
        <v>701</v>
      </c>
      <c r="L1748" t="s">
        <v>702</v>
      </c>
      <c r="M1748" t="s">
        <v>703</v>
      </c>
      <c r="N1748" t="s">
        <v>704</v>
      </c>
      <c r="O1748">
        <v>20947</v>
      </c>
      <c r="Q1748" t="s">
        <v>1245</v>
      </c>
      <c r="R1748" t="s">
        <v>476</v>
      </c>
      <c r="S1748" t="s">
        <v>52</v>
      </c>
      <c r="U1748">
        <v>889832</v>
      </c>
      <c r="V1748" s="3">
        <v>46058.621527777781</v>
      </c>
      <c r="W1748" t="s">
        <v>706</v>
      </c>
      <c r="X1748" t="s">
        <v>707</v>
      </c>
      <c r="Y1748" t="str">
        <f>"0437759431"</f>
        <v>0437759431</v>
      </c>
      <c r="Z1748" t="s">
        <v>70</v>
      </c>
      <c r="AA1748" s="1">
        <v>46062</v>
      </c>
      <c r="AB1748" t="s">
        <v>1243</v>
      </c>
      <c r="AD1748" t="s">
        <v>306</v>
      </c>
      <c r="AE1748" t="s">
        <v>1244</v>
      </c>
      <c r="AF1748">
        <v>3065</v>
      </c>
      <c r="AG1748" t="s">
        <v>1245</v>
      </c>
      <c r="AI1748" t="s">
        <v>59</v>
      </c>
      <c r="AL1748" t="s">
        <v>87</v>
      </c>
      <c r="AN1748" s="3">
        <v>46062.704861111109</v>
      </c>
      <c r="AO1748" t="s">
        <v>706</v>
      </c>
    </row>
    <row r="1749" spans="1:41" x14ac:dyDescent="0.3">
      <c r="A1749" t="s">
        <v>168</v>
      </c>
      <c r="B1749" t="s">
        <v>376</v>
      </c>
      <c r="C1749" t="s">
        <v>216</v>
      </c>
      <c r="D1749" t="s">
        <v>1386</v>
      </c>
      <c r="E1749" s="1">
        <v>46062</v>
      </c>
      <c r="F1749" t="s">
        <v>569</v>
      </c>
      <c r="G1749" t="s">
        <v>45</v>
      </c>
      <c r="H1749" s="2">
        <v>0.29166666666666669</v>
      </c>
      <c r="I1749" s="2">
        <v>0.625</v>
      </c>
      <c r="J1749" t="s">
        <v>101</v>
      </c>
      <c r="L1749" t="s">
        <v>159</v>
      </c>
      <c r="M1749" t="s">
        <v>842</v>
      </c>
      <c r="N1749" t="s">
        <v>1247</v>
      </c>
      <c r="O1749">
        <v>5951105</v>
      </c>
      <c r="Q1749" t="s">
        <v>1605</v>
      </c>
      <c r="R1749" t="s">
        <v>1923</v>
      </c>
      <c r="S1749" t="s">
        <v>52</v>
      </c>
      <c r="U1749">
        <v>889814</v>
      </c>
      <c r="V1749" s="3">
        <v>46059.372916666667</v>
      </c>
      <c r="W1749" t="s">
        <v>1249</v>
      </c>
      <c r="X1749" t="s">
        <v>1250</v>
      </c>
      <c r="Y1749" t="str">
        <f>"0407977988"</f>
        <v>0407977988</v>
      </c>
      <c r="Z1749" t="s">
        <v>70</v>
      </c>
      <c r="AA1749" s="1">
        <v>46062</v>
      </c>
      <c r="AB1749" t="s">
        <v>383</v>
      </c>
      <c r="AD1749" t="s">
        <v>168</v>
      </c>
      <c r="AE1749" t="s">
        <v>384</v>
      </c>
      <c r="AF1749">
        <v>5000</v>
      </c>
      <c r="AI1749" t="s">
        <v>59</v>
      </c>
      <c r="AL1749" t="s">
        <v>4277</v>
      </c>
      <c r="AN1749" s="3">
        <v>46062.620138888888</v>
      </c>
      <c r="AO1749" t="s">
        <v>1249</v>
      </c>
    </row>
    <row r="1750" spans="1:41" x14ac:dyDescent="0.3">
      <c r="A1750" t="s">
        <v>168</v>
      </c>
      <c r="B1750" t="s">
        <v>336</v>
      </c>
      <c r="C1750" t="s">
        <v>602</v>
      </c>
      <c r="D1750" t="s">
        <v>268</v>
      </c>
      <c r="E1750" s="1">
        <v>46062</v>
      </c>
      <c r="F1750" t="s">
        <v>569</v>
      </c>
      <c r="G1750" t="s">
        <v>45</v>
      </c>
      <c r="H1750" s="2">
        <v>0.29166666666666669</v>
      </c>
      <c r="I1750" s="2">
        <v>0.64583333333333337</v>
      </c>
      <c r="J1750" t="s">
        <v>269</v>
      </c>
      <c r="K1750" t="s">
        <v>712</v>
      </c>
      <c r="L1750" t="s">
        <v>713</v>
      </c>
      <c r="M1750" t="s">
        <v>476</v>
      </c>
      <c r="N1750" t="s">
        <v>714</v>
      </c>
      <c r="O1750">
        <v>5951199</v>
      </c>
      <c r="P1750" t="s">
        <v>712</v>
      </c>
      <c r="Q1750" t="s">
        <v>342</v>
      </c>
      <c r="R1750" t="s">
        <v>231</v>
      </c>
      <c r="S1750" t="s">
        <v>52</v>
      </c>
      <c r="U1750">
        <v>889819</v>
      </c>
      <c r="V1750" s="3">
        <v>46057.476388888892</v>
      </c>
      <c r="W1750" t="s">
        <v>715</v>
      </c>
      <c r="X1750" t="s">
        <v>716</v>
      </c>
      <c r="Y1750" t="str">
        <f>"0426611875"</f>
        <v>0426611875</v>
      </c>
      <c r="Z1750" t="s">
        <v>70</v>
      </c>
      <c r="AA1750" s="1">
        <v>46062</v>
      </c>
      <c r="AB1750" t="s">
        <v>346</v>
      </c>
      <c r="AD1750" t="s">
        <v>168</v>
      </c>
      <c r="AE1750" t="s">
        <v>347</v>
      </c>
      <c r="AF1750">
        <v>5042</v>
      </c>
      <c r="AG1750" t="s">
        <v>342</v>
      </c>
      <c r="AI1750" t="s">
        <v>59</v>
      </c>
      <c r="AL1750" t="s">
        <v>4278</v>
      </c>
      <c r="AN1750" s="3">
        <v>46062.661805555559</v>
      </c>
      <c r="AO1750" t="s">
        <v>715</v>
      </c>
    </row>
    <row r="1751" spans="1:41" x14ac:dyDescent="0.3">
      <c r="A1751" t="s">
        <v>61</v>
      </c>
      <c r="B1751" t="s">
        <v>753</v>
      </c>
      <c r="C1751" t="s">
        <v>216</v>
      </c>
      <c r="D1751" t="s">
        <v>754</v>
      </c>
      <c r="E1751" s="1">
        <v>46062</v>
      </c>
      <c r="F1751" t="s">
        <v>569</v>
      </c>
      <c r="G1751" t="s">
        <v>45</v>
      </c>
      <c r="H1751" s="2">
        <v>0.29166666666666669</v>
      </c>
      <c r="I1751" s="2">
        <v>0.5625</v>
      </c>
      <c r="J1751" t="s">
        <v>101</v>
      </c>
      <c r="L1751" t="s">
        <v>159</v>
      </c>
      <c r="M1751" t="s">
        <v>4279</v>
      </c>
      <c r="N1751" t="s">
        <v>4280</v>
      </c>
      <c r="O1751">
        <v>5950744</v>
      </c>
      <c r="Q1751" t="s">
        <v>3816</v>
      </c>
      <c r="R1751" t="s">
        <v>67</v>
      </c>
      <c r="S1751" t="s">
        <v>52</v>
      </c>
      <c r="U1751">
        <v>889794</v>
      </c>
      <c r="V1751" s="3">
        <v>46058.591666666667</v>
      </c>
      <c r="W1751" t="s">
        <v>4281</v>
      </c>
      <c r="X1751" t="s">
        <v>4282</v>
      </c>
      <c r="Y1751" t="str">
        <f>"0431947335"</f>
        <v>0431947335</v>
      </c>
      <c r="Z1751" t="s">
        <v>585</v>
      </c>
      <c r="AB1751" t="s">
        <v>764</v>
      </c>
      <c r="AD1751" t="s">
        <v>61</v>
      </c>
      <c r="AE1751" t="s">
        <v>765</v>
      </c>
      <c r="AF1751">
        <v>2220</v>
      </c>
      <c r="AG1751" t="s">
        <v>3816</v>
      </c>
      <c r="AI1751" t="s">
        <v>59</v>
      </c>
      <c r="AL1751" t="s">
        <v>4193</v>
      </c>
      <c r="AN1751" s="3">
        <v>46062.524305555555</v>
      </c>
      <c r="AO1751" t="s">
        <v>4281</v>
      </c>
    </row>
    <row r="1752" spans="1:41" x14ac:dyDescent="0.3">
      <c r="A1752" t="s">
        <v>168</v>
      </c>
      <c r="B1752" t="s">
        <v>282</v>
      </c>
      <c r="C1752" t="s">
        <v>43</v>
      </c>
      <c r="D1752" t="s">
        <v>283</v>
      </c>
      <c r="E1752" s="1">
        <v>46062</v>
      </c>
      <c r="F1752" t="s">
        <v>569</v>
      </c>
      <c r="G1752" t="s">
        <v>45</v>
      </c>
      <c r="H1752" s="2">
        <v>0.29166666666666669</v>
      </c>
      <c r="I1752" s="2">
        <v>0.5</v>
      </c>
      <c r="J1752" t="s">
        <v>185</v>
      </c>
      <c r="K1752" t="s">
        <v>284</v>
      </c>
      <c r="L1752" t="s">
        <v>186</v>
      </c>
      <c r="M1752" t="s">
        <v>816</v>
      </c>
      <c r="N1752" t="s">
        <v>3581</v>
      </c>
      <c r="O1752">
        <v>21075</v>
      </c>
      <c r="Q1752" t="s">
        <v>287</v>
      </c>
      <c r="R1752" t="s">
        <v>231</v>
      </c>
      <c r="S1752" t="s">
        <v>52</v>
      </c>
      <c r="U1752">
        <v>889776</v>
      </c>
      <c r="V1752" s="3">
        <v>46059.479861111111</v>
      </c>
      <c r="W1752" t="s">
        <v>3582</v>
      </c>
      <c r="X1752" t="s">
        <v>3583</v>
      </c>
      <c r="Y1752" t="str">
        <f>"0402783438"</f>
        <v>0402783438</v>
      </c>
      <c r="Z1752" t="s">
        <v>1201</v>
      </c>
      <c r="AB1752" t="s">
        <v>291</v>
      </c>
      <c r="AC1752" t="s">
        <v>292</v>
      </c>
      <c r="AD1752" t="s">
        <v>168</v>
      </c>
      <c r="AE1752" t="s">
        <v>293</v>
      </c>
      <c r="AF1752">
        <v>5037</v>
      </c>
      <c r="AG1752" t="s">
        <v>294</v>
      </c>
      <c r="AI1752" t="s">
        <v>59</v>
      </c>
      <c r="AL1752" t="s">
        <v>4283</v>
      </c>
      <c r="AN1752" s="3">
        <v>46062.478472222225</v>
      </c>
      <c r="AO1752" t="s">
        <v>3582</v>
      </c>
    </row>
    <row r="1753" spans="1:41" x14ac:dyDescent="0.3">
      <c r="A1753" t="s">
        <v>168</v>
      </c>
      <c r="B1753" t="s">
        <v>282</v>
      </c>
      <c r="C1753" t="s">
        <v>216</v>
      </c>
      <c r="D1753" t="s">
        <v>283</v>
      </c>
      <c r="E1753" s="1">
        <v>46062</v>
      </c>
      <c r="F1753" t="s">
        <v>569</v>
      </c>
      <c r="G1753" t="s">
        <v>45</v>
      </c>
      <c r="H1753" s="2">
        <v>0.29166666666666669</v>
      </c>
      <c r="I1753" s="2">
        <v>0.5</v>
      </c>
      <c r="J1753" t="s">
        <v>101</v>
      </c>
      <c r="L1753" t="s">
        <v>159</v>
      </c>
      <c r="M1753" t="s">
        <v>3085</v>
      </c>
      <c r="N1753" t="s">
        <v>3086</v>
      </c>
      <c r="O1753">
        <v>336</v>
      </c>
      <c r="Q1753" t="s">
        <v>294</v>
      </c>
      <c r="R1753" t="s">
        <v>231</v>
      </c>
      <c r="S1753" t="s">
        <v>52</v>
      </c>
      <c r="U1753">
        <v>889777</v>
      </c>
      <c r="V1753" s="3">
        <v>46059.479861111111</v>
      </c>
      <c r="W1753" t="s">
        <v>3088</v>
      </c>
      <c r="X1753" t="s">
        <v>3089</v>
      </c>
      <c r="Y1753" t="str">
        <f>"0438451216"</f>
        <v>0438451216</v>
      </c>
      <c r="Z1753" t="s">
        <v>1862</v>
      </c>
      <c r="AB1753" t="s">
        <v>291</v>
      </c>
      <c r="AC1753" t="s">
        <v>292</v>
      </c>
      <c r="AD1753" t="s">
        <v>168</v>
      </c>
      <c r="AE1753" t="s">
        <v>293</v>
      </c>
      <c r="AF1753">
        <v>5037</v>
      </c>
      <c r="AG1753" t="s">
        <v>294</v>
      </c>
      <c r="AI1753" t="s">
        <v>59</v>
      </c>
      <c r="AL1753" t="s">
        <v>4284</v>
      </c>
      <c r="AN1753" s="3">
        <v>46062.550694444442</v>
      </c>
      <c r="AO1753" t="s">
        <v>231</v>
      </c>
    </row>
    <row r="1754" spans="1:41" x14ac:dyDescent="0.3">
      <c r="A1754" t="s">
        <v>41</v>
      </c>
      <c r="B1754" t="s">
        <v>965</v>
      </c>
      <c r="C1754" t="s">
        <v>43</v>
      </c>
      <c r="D1754" t="s">
        <v>966</v>
      </c>
      <c r="E1754" s="1">
        <v>46062</v>
      </c>
      <c r="F1754" t="s">
        <v>569</v>
      </c>
      <c r="G1754" t="s">
        <v>45</v>
      </c>
      <c r="H1754" s="2">
        <v>0.29166666666666669</v>
      </c>
      <c r="I1754" s="2">
        <v>0.72916666666666663</v>
      </c>
      <c r="J1754" t="s">
        <v>101</v>
      </c>
      <c r="L1754" t="s">
        <v>967</v>
      </c>
      <c r="M1754" t="s">
        <v>968</v>
      </c>
      <c r="N1754" t="s">
        <v>969</v>
      </c>
      <c r="O1754">
        <v>5952467</v>
      </c>
      <c r="Q1754" t="s">
        <v>823</v>
      </c>
      <c r="R1754" t="s">
        <v>51</v>
      </c>
      <c r="S1754" t="s">
        <v>52</v>
      </c>
      <c r="U1754">
        <v>889866</v>
      </c>
      <c r="V1754" s="3">
        <v>46058.494444444441</v>
      </c>
      <c r="W1754" t="s">
        <v>970</v>
      </c>
      <c r="X1754" t="s">
        <v>971</v>
      </c>
      <c r="Y1754" t="str">
        <f>"0433979184"</f>
        <v>0433979184</v>
      </c>
      <c r="Z1754" t="s">
        <v>70</v>
      </c>
      <c r="AA1754" s="1">
        <v>46062</v>
      </c>
      <c r="AB1754" t="s">
        <v>972</v>
      </c>
      <c r="AD1754" t="s">
        <v>41</v>
      </c>
      <c r="AE1754" t="s">
        <v>973</v>
      </c>
      <c r="AF1754">
        <v>4068</v>
      </c>
      <c r="AG1754" t="s">
        <v>823</v>
      </c>
      <c r="AI1754" t="s">
        <v>59</v>
      </c>
      <c r="AL1754" t="s">
        <v>4285</v>
      </c>
      <c r="AN1754" s="3">
        <v>46062.805555555555</v>
      </c>
      <c r="AO1754" t="s">
        <v>970</v>
      </c>
    </row>
    <row r="1755" spans="1:41" x14ac:dyDescent="0.3">
      <c r="A1755" t="s">
        <v>168</v>
      </c>
      <c r="B1755" t="s">
        <v>282</v>
      </c>
      <c r="C1755" t="s">
        <v>43</v>
      </c>
      <c r="D1755" t="s">
        <v>283</v>
      </c>
      <c r="E1755" s="1">
        <v>46062</v>
      </c>
      <c r="F1755" t="s">
        <v>569</v>
      </c>
      <c r="G1755" t="s">
        <v>45</v>
      </c>
      <c r="H1755" s="2">
        <v>0.29166666666666669</v>
      </c>
      <c r="I1755" s="2">
        <v>0.52083333333333337</v>
      </c>
      <c r="J1755" t="s">
        <v>185</v>
      </c>
      <c r="K1755" t="s">
        <v>327</v>
      </c>
      <c r="L1755" t="s">
        <v>186</v>
      </c>
      <c r="M1755" t="s">
        <v>1927</v>
      </c>
      <c r="N1755" t="s">
        <v>1928</v>
      </c>
      <c r="O1755">
        <v>5951825</v>
      </c>
      <c r="Q1755" t="s">
        <v>294</v>
      </c>
      <c r="R1755" t="s">
        <v>231</v>
      </c>
      <c r="S1755" t="s">
        <v>52</v>
      </c>
      <c r="U1755">
        <v>889805</v>
      </c>
      <c r="V1755" s="3">
        <v>46059.479861111111</v>
      </c>
      <c r="W1755" t="s">
        <v>1929</v>
      </c>
      <c r="X1755" t="s">
        <v>1930</v>
      </c>
      <c r="Y1755" t="str">
        <f>"0439336812"</f>
        <v>0439336812</v>
      </c>
      <c r="Z1755" t="s">
        <v>527</v>
      </c>
      <c r="AA1755" s="1">
        <v>46062</v>
      </c>
      <c r="AB1755" t="s">
        <v>291</v>
      </c>
      <c r="AC1755" t="s">
        <v>292</v>
      </c>
      <c r="AD1755" t="s">
        <v>168</v>
      </c>
      <c r="AE1755" t="s">
        <v>293</v>
      </c>
      <c r="AF1755">
        <v>5037</v>
      </c>
      <c r="AG1755" t="s">
        <v>294</v>
      </c>
      <c r="AI1755" t="s">
        <v>59</v>
      </c>
      <c r="AL1755" t="s">
        <v>4286</v>
      </c>
      <c r="AN1755" s="3">
        <v>46062.565972222219</v>
      </c>
      <c r="AO1755" t="s">
        <v>1929</v>
      </c>
    </row>
    <row r="1756" spans="1:41" x14ac:dyDescent="0.3">
      <c r="A1756" t="s">
        <v>61</v>
      </c>
      <c r="B1756" t="s">
        <v>1271</v>
      </c>
      <c r="C1756" t="s">
        <v>1272</v>
      </c>
      <c r="D1756" t="s">
        <v>184</v>
      </c>
      <c r="E1756" s="1">
        <v>46062</v>
      </c>
      <c r="F1756" t="s">
        <v>569</v>
      </c>
      <c r="G1756" t="s">
        <v>45</v>
      </c>
      <c r="H1756" s="2">
        <v>0.29166666666666669</v>
      </c>
      <c r="I1756" s="2">
        <v>0.8125</v>
      </c>
      <c r="J1756" t="s">
        <v>486</v>
      </c>
      <c r="L1756" t="s">
        <v>487</v>
      </c>
      <c r="M1756" t="s">
        <v>2064</v>
      </c>
      <c r="N1756" t="s">
        <v>2065</v>
      </c>
      <c r="O1756">
        <v>5952410</v>
      </c>
      <c r="Q1756" t="s">
        <v>1045</v>
      </c>
      <c r="R1756" t="s">
        <v>132</v>
      </c>
      <c r="S1756" t="s">
        <v>52</v>
      </c>
      <c r="U1756">
        <v>889868</v>
      </c>
      <c r="V1756" s="3">
        <v>46056.523611111108</v>
      </c>
      <c r="W1756" t="s">
        <v>2067</v>
      </c>
      <c r="X1756" t="s">
        <v>2068</v>
      </c>
      <c r="Y1756" t="str">
        <f>"0410100247"</f>
        <v>0410100247</v>
      </c>
      <c r="Z1756" t="s">
        <v>70</v>
      </c>
      <c r="AB1756" t="s">
        <v>1278</v>
      </c>
      <c r="AD1756" t="s">
        <v>61</v>
      </c>
      <c r="AE1756" t="s">
        <v>1279</v>
      </c>
      <c r="AF1756">
        <v>2145</v>
      </c>
      <c r="AG1756" t="s">
        <v>1045</v>
      </c>
      <c r="AI1756" t="s">
        <v>59</v>
      </c>
      <c r="AL1756" t="s">
        <v>4193</v>
      </c>
      <c r="AN1756" s="3">
        <v>46062.80972222222</v>
      </c>
      <c r="AO1756" t="s">
        <v>2067</v>
      </c>
    </row>
    <row r="1757" spans="1:41" x14ac:dyDescent="0.3">
      <c r="A1757" t="s">
        <v>306</v>
      </c>
      <c r="B1757" t="s">
        <v>699</v>
      </c>
      <c r="C1757" t="s">
        <v>4287</v>
      </c>
      <c r="D1757" t="s">
        <v>700</v>
      </c>
      <c r="E1757" s="1">
        <v>46062</v>
      </c>
      <c r="F1757" t="s">
        <v>569</v>
      </c>
      <c r="G1757" t="s">
        <v>45</v>
      </c>
      <c r="H1757" s="2">
        <v>0.29166666666666669</v>
      </c>
      <c r="I1757" s="2">
        <v>0.625</v>
      </c>
      <c r="J1757" t="s">
        <v>1314</v>
      </c>
      <c r="L1757" t="s">
        <v>1753</v>
      </c>
      <c r="M1757" t="s">
        <v>1754</v>
      </c>
      <c r="N1757" t="s">
        <v>1755</v>
      </c>
      <c r="O1757">
        <v>20486</v>
      </c>
      <c r="Q1757" t="s">
        <v>705</v>
      </c>
      <c r="R1757" t="s">
        <v>500</v>
      </c>
      <c r="S1757" t="s">
        <v>119</v>
      </c>
      <c r="T1757" t="s">
        <v>414</v>
      </c>
      <c r="U1757">
        <v>890635</v>
      </c>
      <c r="V1757" s="3">
        <v>46062</v>
      </c>
      <c r="W1757" t="s">
        <v>1757</v>
      </c>
      <c r="X1757" t="s">
        <v>1758</v>
      </c>
      <c r="Y1757" t="str">
        <f>"0432381966"</f>
        <v>0432381966</v>
      </c>
      <c r="Z1757" t="s">
        <v>70</v>
      </c>
      <c r="AB1757" t="s">
        <v>708</v>
      </c>
      <c r="AD1757" t="s">
        <v>306</v>
      </c>
      <c r="AE1757" t="s">
        <v>709</v>
      </c>
      <c r="AF1757">
        <v>3806</v>
      </c>
      <c r="AI1757" t="s">
        <v>59</v>
      </c>
      <c r="AL1757" t="s">
        <v>1068</v>
      </c>
      <c r="AM1757" t="s">
        <v>4288</v>
      </c>
      <c r="AN1757" s="3">
        <v>46062.020833333336</v>
      </c>
      <c r="AO1757" t="s">
        <v>500</v>
      </c>
    </row>
    <row r="1758" spans="1:41" x14ac:dyDescent="0.3">
      <c r="A1758" t="s">
        <v>61</v>
      </c>
      <c r="B1758" t="s">
        <v>1271</v>
      </c>
      <c r="C1758" t="s">
        <v>1272</v>
      </c>
      <c r="D1758" t="s">
        <v>184</v>
      </c>
      <c r="E1758" s="1">
        <v>46071</v>
      </c>
      <c r="F1758" t="s">
        <v>44</v>
      </c>
      <c r="G1758" t="s">
        <v>128</v>
      </c>
      <c r="H1758" s="2">
        <v>0.625</v>
      </c>
      <c r="I1758" s="2">
        <v>0.97916666666666663</v>
      </c>
      <c r="J1758" t="s">
        <v>486</v>
      </c>
      <c r="L1758" t="s">
        <v>487</v>
      </c>
      <c r="M1758" t="s">
        <v>2064</v>
      </c>
      <c r="N1758" t="s">
        <v>2065</v>
      </c>
      <c r="O1758">
        <v>5952410</v>
      </c>
      <c r="Q1758" t="s">
        <v>1190</v>
      </c>
      <c r="R1758" t="s">
        <v>132</v>
      </c>
      <c r="S1758" t="s">
        <v>52</v>
      </c>
      <c r="U1758">
        <v>891046</v>
      </c>
      <c r="V1758" s="3">
        <v>46057.565972222219</v>
      </c>
      <c r="W1758" t="s">
        <v>2067</v>
      </c>
      <c r="X1758" t="s">
        <v>2068</v>
      </c>
      <c r="Y1758" t="str">
        <f>"0410100247"</f>
        <v>0410100247</v>
      </c>
      <c r="Z1758" t="s">
        <v>4090</v>
      </c>
      <c r="AB1758" t="s">
        <v>1278</v>
      </c>
      <c r="AD1758" t="s">
        <v>61</v>
      </c>
      <c r="AE1758" t="s">
        <v>1279</v>
      </c>
      <c r="AF1758">
        <v>2145</v>
      </c>
      <c r="AG1758" t="s">
        <v>1190</v>
      </c>
      <c r="AI1758" t="s">
        <v>59</v>
      </c>
      <c r="AL1758" t="s">
        <v>3994</v>
      </c>
      <c r="AN1758" s="3">
        <v>46071.966666666667</v>
      </c>
      <c r="AO1758" t="s">
        <v>2067</v>
      </c>
    </row>
    <row r="1759" spans="1:41" x14ac:dyDescent="0.3">
      <c r="A1759" t="s">
        <v>41</v>
      </c>
      <c r="B1759" t="s">
        <v>551</v>
      </c>
      <c r="C1759" t="s">
        <v>296</v>
      </c>
      <c r="D1759" t="s">
        <v>246</v>
      </c>
      <c r="E1759" s="1">
        <v>46071</v>
      </c>
      <c r="F1759" t="s">
        <v>44</v>
      </c>
      <c r="G1759" t="s">
        <v>128</v>
      </c>
      <c r="H1759" s="2">
        <v>0.625</v>
      </c>
      <c r="I1759" s="2">
        <v>0.95833333333333337</v>
      </c>
      <c r="J1759" t="s">
        <v>296</v>
      </c>
      <c r="K1759" t="s">
        <v>427</v>
      </c>
      <c r="L1759" t="s">
        <v>298</v>
      </c>
      <c r="M1759" t="s">
        <v>1401</v>
      </c>
      <c r="N1759" t="s">
        <v>1402</v>
      </c>
      <c r="O1759">
        <v>5952070</v>
      </c>
      <c r="Q1759" t="s">
        <v>4289</v>
      </c>
      <c r="R1759" t="s">
        <v>51</v>
      </c>
      <c r="S1759" t="s">
        <v>52</v>
      </c>
      <c r="U1759">
        <v>891055</v>
      </c>
      <c r="V1759" s="3">
        <v>46071.569444444445</v>
      </c>
      <c r="W1759" t="s">
        <v>1404</v>
      </c>
      <c r="X1759" t="s">
        <v>1405</v>
      </c>
      <c r="Y1759" t="str">
        <f>"0474506417"</f>
        <v>0474506417</v>
      </c>
      <c r="Z1759" t="s">
        <v>70</v>
      </c>
      <c r="AA1759" s="1">
        <v>46071</v>
      </c>
      <c r="AB1759" t="s">
        <v>559</v>
      </c>
      <c r="AD1759" t="s">
        <v>41</v>
      </c>
      <c r="AE1759" t="s">
        <v>560</v>
      </c>
      <c r="AF1759">
        <v>4131</v>
      </c>
      <c r="AG1759" t="s">
        <v>4289</v>
      </c>
      <c r="AI1759" t="s">
        <v>59</v>
      </c>
      <c r="AL1759" t="s">
        <v>87</v>
      </c>
      <c r="AN1759" s="3">
        <v>46071.99722222222</v>
      </c>
      <c r="AO1759" t="s">
        <v>1404</v>
      </c>
    </row>
    <row r="1760" spans="1:41" x14ac:dyDescent="0.3">
      <c r="A1760" t="s">
        <v>168</v>
      </c>
      <c r="B1760" t="s">
        <v>376</v>
      </c>
      <c r="C1760" t="s">
        <v>43</v>
      </c>
      <c r="D1760" t="s">
        <v>127</v>
      </c>
      <c r="E1760" s="1">
        <v>46071</v>
      </c>
      <c r="F1760" t="s">
        <v>44</v>
      </c>
      <c r="G1760" t="s">
        <v>128</v>
      </c>
      <c r="H1760" s="2">
        <v>0.625</v>
      </c>
      <c r="I1760" s="2">
        <v>0.875</v>
      </c>
      <c r="J1760" t="s">
        <v>185</v>
      </c>
      <c r="L1760" t="s">
        <v>186</v>
      </c>
      <c r="M1760" t="s">
        <v>867</v>
      </c>
      <c r="N1760" t="s">
        <v>868</v>
      </c>
      <c r="O1760">
        <v>5951869</v>
      </c>
      <c r="Q1760" t="s">
        <v>670</v>
      </c>
      <c r="R1760" t="s">
        <v>231</v>
      </c>
      <c r="S1760" t="s">
        <v>52</v>
      </c>
      <c r="U1760">
        <v>890997</v>
      </c>
      <c r="V1760" s="3">
        <v>46044.380555555559</v>
      </c>
      <c r="W1760" t="s">
        <v>870</v>
      </c>
      <c r="X1760" t="s">
        <v>871</v>
      </c>
      <c r="Y1760" t="str">
        <f>"0435211342"</f>
        <v>0435211342</v>
      </c>
      <c r="Z1760" t="s">
        <v>458</v>
      </c>
      <c r="AB1760" t="s">
        <v>383</v>
      </c>
      <c r="AD1760" t="s">
        <v>168</v>
      </c>
      <c r="AE1760" t="s">
        <v>384</v>
      </c>
      <c r="AF1760">
        <v>5000</v>
      </c>
      <c r="AG1760" t="s">
        <v>2997</v>
      </c>
      <c r="AI1760" t="s">
        <v>59</v>
      </c>
      <c r="AL1760" t="s">
        <v>1534</v>
      </c>
      <c r="AN1760" s="3">
        <v>46071.736805555556</v>
      </c>
      <c r="AO1760" t="s">
        <v>870</v>
      </c>
    </row>
    <row r="1761" spans="1:41" x14ac:dyDescent="0.3">
      <c r="A1761" t="s">
        <v>306</v>
      </c>
      <c r="B1761" t="s">
        <v>450</v>
      </c>
      <c r="C1761" t="s">
        <v>100</v>
      </c>
      <c r="D1761" t="s">
        <v>63</v>
      </c>
      <c r="E1761" s="1">
        <v>46071</v>
      </c>
      <c r="F1761" t="s">
        <v>44</v>
      </c>
      <c r="G1761" t="s">
        <v>128</v>
      </c>
      <c r="H1761" s="2">
        <v>0.625</v>
      </c>
      <c r="I1761" s="2">
        <v>0.91666666666666663</v>
      </c>
      <c r="J1761" t="s">
        <v>100</v>
      </c>
      <c r="L1761" t="s">
        <v>473</v>
      </c>
      <c r="M1761" t="s">
        <v>474</v>
      </c>
      <c r="N1761" t="s">
        <v>475</v>
      </c>
      <c r="O1761">
        <v>5950662</v>
      </c>
      <c r="Q1761" t="s">
        <v>3968</v>
      </c>
      <c r="R1761" t="s">
        <v>208</v>
      </c>
      <c r="S1761" t="s">
        <v>52</v>
      </c>
      <c r="U1761">
        <v>891039</v>
      </c>
      <c r="V1761" s="3">
        <v>46064.861111111109</v>
      </c>
      <c r="W1761" t="s">
        <v>477</v>
      </c>
      <c r="X1761" t="s">
        <v>478</v>
      </c>
      <c r="Y1761" t="str">
        <f>"0449808311"</f>
        <v>0449808311</v>
      </c>
      <c r="Z1761" t="s">
        <v>345</v>
      </c>
      <c r="AB1761" t="s">
        <v>459</v>
      </c>
      <c r="AD1761" t="s">
        <v>306</v>
      </c>
      <c r="AE1761" t="s">
        <v>460</v>
      </c>
      <c r="AF1761">
        <v>3058</v>
      </c>
      <c r="AG1761" t="s">
        <v>455</v>
      </c>
      <c r="AI1761" t="s">
        <v>59</v>
      </c>
      <c r="AL1761" t="s">
        <v>370</v>
      </c>
      <c r="AN1761" s="3">
        <v>46071.910416666666</v>
      </c>
      <c r="AO1761" t="s">
        <v>477</v>
      </c>
    </row>
    <row r="1762" spans="1:41" x14ac:dyDescent="0.3">
      <c r="A1762" t="s">
        <v>306</v>
      </c>
      <c r="B1762" t="s">
        <v>1060</v>
      </c>
      <c r="C1762" t="s">
        <v>100</v>
      </c>
      <c r="D1762" t="s">
        <v>184</v>
      </c>
      <c r="E1762" s="1">
        <v>46071</v>
      </c>
      <c r="F1762" t="s">
        <v>44</v>
      </c>
      <c r="G1762" t="s">
        <v>485</v>
      </c>
      <c r="H1762" s="2">
        <v>0.625</v>
      </c>
      <c r="I1762" s="2">
        <v>4.1666666666666664E-2</v>
      </c>
      <c r="J1762" t="s">
        <v>1061</v>
      </c>
      <c r="L1762" t="s">
        <v>452</v>
      </c>
      <c r="M1762" t="s">
        <v>1980</v>
      </c>
      <c r="N1762" t="s">
        <v>1981</v>
      </c>
      <c r="O1762">
        <v>21297</v>
      </c>
      <c r="Q1762" t="s">
        <v>413</v>
      </c>
      <c r="R1762" t="s">
        <v>476</v>
      </c>
      <c r="S1762" t="s">
        <v>119</v>
      </c>
      <c r="T1762" t="s">
        <v>414</v>
      </c>
      <c r="U1762">
        <v>891440</v>
      </c>
      <c r="V1762" s="3">
        <v>46070.539583333331</v>
      </c>
      <c r="W1762" t="s">
        <v>1983</v>
      </c>
      <c r="X1762" t="s">
        <v>1984</v>
      </c>
      <c r="Y1762" t="str">
        <f>"0434131195"</f>
        <v>0434131195</v>
      </c>
      <c r="Z1762" t="s">
        <v>70</v>
      </c>
      <c r="AB1762" t="s">
        <v>1066</v>
      </c>
      <c r="AD1762" t="s">
        <v>306</v>
      </c>
      <c r="AE1762" t="s">
        <v>1067</v>
      </c>
      <c r="AF1762">
        <v>3084</v>
      </c>
      <c r="AI1762" t="s">
        <v>59</v>
      </c>
      <c r="AL1762" t="s">
        <v>1068</v>
      </c>
      <c r="AM1762" t="s">
        <v>4290</v>
      </c>
      <c r="AN1762" s="3">
        <v>46070.544444444444</v>
      </c>
      <c r="AO1762" t="s">
        <v>476</v>
      </c>
    </row>
    <row r="1763" spans="1:41" x14ac:dyDescent="0.3">
      <c r="A1763" t="s">
        <v>168</v>
      </c>
      <c r="B1763" t="s">
        <v>409</v>
      </c>
      <c r="C1763" t="s">
        <v>100</v>
      </c>
      <c r="D1763" t="s">
        <v>309</v>
      </c>
      <c r="E1763" s="1">
        <v>46071</v>
      </c>
      <c r="F1763" t="s">
        <v>44</v>
      </c>
      <c r="G1763" t="s">
        <v>128</v>
      </c>
      <c r="H1763" s="2">
        <v>0.66666666666666663</v>
      </c>
      <c r="I1763" s="2">
        <v>0</v>
      </c>
      <c r="J1763" t="s">
        <v>410</v>
      </c>
      <c r="L1763" t="s">
        <v>100</v>
      </c>
      <c r="M1763" t="s">
        <v>2716</v>
      </c>
      <c r="N1763" t="s">
        <v>2717</v>
      </c>
      <c r="O1763">
        <v>5950873</v>
      </c>
      <c r="Q1763" t="s">
        <v>413</v>
      </c>
      <c r="R1763" t="s">
        <v>1248</v>
      </c>
      <c r="S1763" t="s">
        <v>119</v>
      </c>
      <c r="T1763" t="s">
        <v>414</v>
      </c>
      <c r="U1763">
        <v>891498</v>
      </c>
      <c r="V1763" s="3">
        <v>46070.923611111109</v>
      </c>
      <c r="W1763" t="s">
        <v>2718</v>
      </c>
      <c r="X1763" t="s">
        <v>2719</v>
      </c>
      <c r="Y1763" t="str">
        <f>"61401208429"</f>
        <v>61401208429</v>
      </c>
      <c r="Z1763" t="s">
        <v>70</v>
      </c>
      <c r="AB1763" t="s">
        <v>417</v>
      </c>
      <c r="AD1763" t="s">
        <v>168</v>
      </c>
      <c r="AE1763" t="s">
        <v>384</v>
      </c>
      <c r="AF1763">
        <v>5000</v>
      </c>
      <c r="AI1763" t="s">
        <v>59</v>
      </c>
      <c r="AL1763" t="s">
        <v>1729</v>
      </c>
      <c r="AM1763" t="s">
        <v>4291</v>
      </c>
      <c r="AN1763" s="3">
        <v>46070.968055555553</v>
      </c>
      <c r="AO1763" t="s">
        <v>1248</v>
      </c>
    </row>
    <row r="1764" spans="1:41" x14ac:dyDescent="0.3">
      <c r="A1764" t="s">
        <v>61</v>
      </c>
      <c r="B1764" t="s">
        <v>182</v>
      </c>
      <c r="C1764" t="s">
        <v>484</v>
      </c>
      <c r="D1764" t="s">
        <v>184</v>
      </c>
      <c r="E1764" s="1">
        <v>46071</v>
      </c>
      <c r="F1764" t="s">
        <v>44</v>
      </c>
      <c r="G1764" t="s">
        <v>485</v>
      </c>
      <c r="H1764" s="2">
        <v>0.77083333333333337</v>
      </c>
      <c r="I1764" s="2">
        <v>0.29166666666666669</v>
      </c>
      <c r="J1764" t="s">
        <v>486</v>
      </c>
      <c r="L1764" t="s">
        <v>487</v>
      </c>
      <c r="M1764" t="s">
        <v>1645</v>
      </c>
      <c r="N1764" t="s">
        <v>1646</v>
      </c>
      <c r="O1764">
        <v>5951065</v>
      </c>
      <c r="Q1764" t="s">
        <v>923</v>
      </c>
      <c r="R1764" t="s">
        <v>67</v>
      </c>
      <c r="S1764" t="s">
        <v>52</v>
      </c>
      <c r="U1764">
        <v>891066</v>
      </c>
      <c r="V1764" s="3">
        <v>46051.538194444445</v>
      </c>
      <c r="W1764" t="s">
        <v>1647</v>
      </c>
      <c r="X1764" t="s">
        <v>1648</v>
      </c>
      <c r="Y1764" t="str">
        <f>"0408979009"</f>
        <v>0408979009</v>
      </c>
      <c r="Z1764" t="s">
        <v>4292</v>
      </c>
      <c r="AB1764" t="s">
        <v>193</v>
      </c>
      <c r="AD1764" t="s">
        <v>61</v>
      </c>
      <c r="AE1764" t="s">
        <v>194</v>
      </c>
      <c r="AF1764">
        <v>2229</v>
      </c>
      <c r="AG1764" t="s">
        <v>129</v>
      </c>
      <c r="AI1764" t="s">
        <v>59</v>
      </c>
      <c r="AL1764" t="s">
        <v>4293</v>
      </c>
      <c r="AN1764" s="3">
        <v>46072.292361111111</v>
      </c>
      <c r="AO1764" t="s">
        <v>1647</v>
      </c>
    </row>
    <row r="1765" spans="1:41" x14ac:dyDescent="0.3">
      <c r="A1765" t="s">
        <v>61</v>
      </c>
      <c r="B1765" t="s">
        <v>507</v>
      </c>
      <c r="C1765" t="s">
        <v>2182</v>
      </c>
      <c r="D1765" t="s">
        <v>63</v>
      </c>
      <c r="E1765" s="1">
        <v>46071</v>
      </c>
      <c r="F1765" t="s">
        <v>44</v>
      </c>
      <c r="G1765" t="s">
        <v>485</v>
      </c>
      <c r="H1765" s="2">
        <v>0.79166666666666663</v>
      </c>
      <c r="I1765" s="2">
        <v>0.3125</v>
      </c>
      <c r="J1765" t="s">
        <v>590</v>
      </c>
      <c r="L1765" t="s">
        <v>487</v>
      </c>
      <c r="M1765" t="s">
        <v>1463</v>
      </c>
      <c r="N1765" t="s">
        <v>1464</v>
      </c>
      <c r="O1765">
        <v>22756</v>
      </c>
      <c r="Q1765" t="s">
        <v>1310</v>
      </c>
      <c r="R1765" t="s">
        <v>132</v>
      </c>
      <c r="S1765" t="s">
        <v>52</v>
      </c>
      <c r="U1765">
        <v>891068</v>
      </c>
      <c r="V1765" s="3">
        <v>46029.584027777775</v>
      </c>
      <c r="W1765" t="s">
        <v>1466</v>
      </c>
      <c r="X1765" t="s">
        <v>1467</v>
      </c>
      <c r="Y1765" t="str">
        <f>"0416856891"</f>
        <v>0416856891</v>
      </c>
      <c r="Z1765" t="s">
        <v>2298</v>
      </c>
      <c r="AB1765" t="s">
        <v>514</v>
      </c>
      <c r="AD1765" t="s">
        <v>61</v>
      </c>
      <c r="AE1765" t="s">
        <v>515</v>
      </c>
      <c r="AF1765">
        <v>2086</v>
      </c>
      <c r="AG1765" t="s">
        <v>516</v>
      </c>
      <c r="AI1765" t="s">
        <v>59</v>
      </c>
      <c r="AL1765" t="s">
        <v>3994</v>
      </c>
      <c r="AN1765" s="3">
        <v>46072.314583333333</v>
      </c>
      <c r="AO1765" t="s">
        <v>1466</v>
      </c>
    </row>
    <row r="1766" spans="1:41" x14ac:dyDescent="0.3">
      <c r="A1766" t="s">
        <v>61</v>
      </c>
      <c r="B1766" t="s">
        <v>350</v>
      </c>
      <c r="C1766" t="s">
        <v>1659</v>
      </c>
      <c r="D1766" t="s">
        <v>63</v>
      </c>
      <c r="E1766" s="1">
        <v>46071</v>
      </c>
      <c r="F1766" t="s">
        <v>44</v>
      </c>
      <c r="G1766" t="s">
        <v>485</v>
      </c>
      <c r="H1766" s="2">
        <v>0.79166666666666663</v>
      </c>
      <c r="I1766" s="2">
        <v>0.3125</v>
      </c>
      <c r="J1766" t="s">
        <v>529</v>
      </c>
      <c r="L1766" t="s">
        <v>735</v>
      </c>
      <c r="M1766" t="s">
        <v>1660</v>
      </c>
      <c r="N1766" t="s">
        <v>1661</v>
      </c>
      <c r="O1766">
        <v>22268</v>
      </c>
      <c r="Q1766" t="s">
        <v>353</v>
      </c>
      <c r="R1766" t="s">
        <v>67</v>
      </c>
      <c r="S1766" t="s">
        <v>52</v>
      </c>
      <c r="U1766">
        <v>891065</v>
      </c>
      <c r="V1766" s="3">
        <v>46071.366666666669</v>
      </c>
      <c r="W1766" t="s">
        <v>1663</v>
      </c>
      <c r="X1766" t="s">
        <v>1664</v>
      </c>
      <c r="Y1766" t="str">
        <f>"0404243284"</f>
        <v>0404243284</v>
      </c>
      <c r="Z1766" t="s">
        <v>55</v>
      </c>
      <c r="AB1766" t="s">
        <v>356</v>
      </c>
      <c r="AD1766" t="s">
        <v>61</v>
      </c>
      <c r="AE1766" t="s">
        <v>357</v>
      </c>
      <c r="AF1766">
        <v>2153</v>
      </c>
      <c r="AG1766" t="s">
        <v>736</v>
      </c>
      <c r="AI1766" t="s">
        <v>59</v>
      </c>
      <c r="AL1766" t="s">
        <v>4294</v>
      </c>
      <c r="AN1766" s="3">
        <v>46072.284722222219</v>
      </c>
      <c r="AO1766" t="s">
        <v>1663</v>
      </c>
    </row>
    <row r="1767" spans="1:41" x14ac:dyDescent="0.3">
      <c r="A1767" t="s">
        <v>61</v>
      </c>
      <c r="B1767" t="s">
        <v>507</v>
      </c>
      <c r="D1767" t="s">
        <v>63</v>
      </c>
      <c r="E1767" s="1">
        <v>46071</v>
      </c>
      <c r="F1767" t="s">
        <v>44</v>
      </c>
      <c r="G1767" t="s">
        <v>485</v>
      </c>
      <c r="H1767" s="2">
        <v>0.79166666666666663</v>
      </c>
      <c r="I1767" s="2">
        <v>0.3125</v>
      </c>
      <c r="J1767" t="s">
        <v>296</v>
      </c>
      <c r="L1767" t="s">
        <v>298</v>
      </c>
      <c r="M1767" t="s">
        <v>508</v>
      </c>
      <c r="N1767" t="s">
        <v>509</v>
      </c>
      <c r="O1767">
        <v>22014</v>
      </c>
      <c r="Q1767" t="s">
        <v>510</v>
      </c>
      <c r="R1767" t="s">
        <v>132</v>
      </c>
      <c r="S1767" t="s">
        <v>52</v>
      </c>
      <c r="U1767">
        <v>891071</v>
      </c>
      <c r="V1767" s="3">
        <v>46042.390972222223</v>
      </c>
      <c r="W1767" t="s">
        <v>511</v>
      </c>
      <c r="X1767" t="s">
        <v>512</v>
      </c>
      <c r="Y1767" t="str">
        <f>"0430326260"</f>
        <v>0430326260</v>
      </c>
      <c r="Z1767" t="s">
        <v>4295</v>
      </c>
      <c r="AB1767" t="s">
        <v>514</v>
      </c>
      <c r="AD1767" t="s">
        <v>61</v>
      </c>
      <c r="AE1767" t="s">
        <v>515</v>
      </c>
      <c r="AF1767">
        <v>2086</v>
      </c>
      <c r="AG1767" t="s">
        <v>516</v>
      </c>
      <c r="AI1767" t="s">
        <v>59</v>
      </c>
      <c r="AL1767" t="s">
        <v>3994</v>
      </c>
      <c r="AN1767" s="3">
        <v>46072.315972222219</v>
      </c>
      <c r="AO1767" t="s">
        <v>511</v>
      </c>
    </row>
    <row r="1768" spans="1:41" x14ac:dyDescent="0.3">
      <c r="A1768" t="s">
        <v>41</v>
      </c>
      <c r="B1768" t="s">
        <v>1168</v>
      </c>
      <c r="D1768" t="s">
        <v>246</v>
      </c>
      <c r="E1768" s="1">
        <v>46071</v>
      </c>
      <c r="F1768" t="s">
        <v>44</v>
      </c>
      <c r="G1768" t="s">
        <v>45</v>
      </c>
      <c r="H1768" s="2">
        <v>0.875</v>
      </c>
      <c r="I1768" s="2">
        <v>0.3125</v>
      </c>
      <c r="J1768" t="s">
        <v>296</v>
      </c>
      <c r="L1768" t="s">
        <v>1169</v>
      </c>
      <c r="M1768" t="s">
        <v>1170</v>
      </c>
      <c r="N1768" t="s">
        <v>1171</v>
      </c>
      <c r="O1768">
        <v>5952274</v>
      </c>
      <c r="Q1768" t="s">
        <v>1172</v>
      </c>
      <c r="R1768" t="s">
        <v>1173</v>
      </c>
      <c r="S1768" t="s">
        <v>52</v>
      </c>
      <c r="T1768" t="s">
        <v>252</v>
      </c>
      <c r="U1768">
        <v>891465</v>
      </c>
      <c r="V1768" s="3">
        <v>46076.529166666667</v>
      </c>
      <c r="W1768" t="s">
        <v>1173</v>
      </c>
      <c r="X1768" t="s">
        <v>1174</v>
      </c>
      <c r="Y1768" t="str">
        <f>"0432261353"</f>
        <v>0432261353</v>
      </c>
      <c r="Z1768" t="s">
        <v>254</v>
      </c>
      <c r="AA1768" s="1">
        <v>46083</v>
      </c>
      <c r="AB1768" t="s">
        <v>1175</v>
      </c>
      <c r="AD1768" t="s">
        <v>41</v>
      </c>
      <c r="AE1768" t="s">
        <v>1176</v>
      </c>
      <c r="AF1768">
        <v>4680</v>
      </c>
      <c r="AG1768" t="s">
        <v>1177</v>
      </c>
      <c r="AI1768" t="s">
        <v>59</v>
      </c>
      <c r="AJ1768" t="str">
        <f>"0050076336"</f>
        <v>0050076336</v>
      </c>
      <c r="AN1768" s="3">
        <v>46076.529166666667</v>
      </c>
      <c r="AO1768" t="s">
        <v>1173</v>
      </c>
    </row>
    <row r="1769" spans="1:41" x14ac:dyDescent="0.3">
      <c r="A1769" t="s">
        <v>168</v>
      </c>
      <c r="B1769" t="s">
        <v>336</v>
      </c>
      <c r="D1769" t="s">
        <v>268</v>
      </c>
      <c r="E1769" s="1">
        <v>46071</v>
      </c>
      <c r="F1769" t="s">
        <v>44</v>
      </c>
      <c r="G1769" t="s">
        <v>485</v>
      </c>
      <c r="H1769" s="2">
        <v>0.875</v>
      </c>
      <c r="I1769" s="2">
        <v>0.3125</v>
      </c>
      <c r="J1769" t="s">
        <v>296</v>
      </c>
      <c r="K1769" t="s">
        <v>338</v>
      </c>
      <c r="L1769" t="s">
        <v>522</v>
      </c>
      <c r="M1769" t="s">
        <v>523</v>
      </c>
      <c r="N1769" t="s">
        <v>524</v>
      </c>
      <c r="O1769">
        <v>5951086</v>
      </c>
      <c r="P1769" t="s">
        <v>338</v>
      </c>
      <c r="Q1769" t="s">
        <v>3628</v>
      </c>
      <c r="R1769" t="s">
        <v>176</v>
      </c>
      <c r="S1769" t="s">
        <v>52</v>
      </c>
      <c r="U1769">
        <v>891062</v>
      </c>
      <c r="V1769" s="3">
        <v>46052.443055555559</v>
      </c>
      <c r="W1769" t="s">
        <v>525</v>
      </c>
      <c r="X1769" t="s">
        <v>526</v>
      </c>
      <c r="Y1769" t="str">
        <f>"0415251474"</f>
        <v>0415251474</v>
      </c>
      <c r="Z1769" t="s">
        <v>135</v>
      </c>
      <c r="AB1769" t="s">
        <v>346</v>
      </c>
      <c r="AD1769" t="s">
        <v>168</v>
      </c>
      <c r="AE1769" t="s">
        <v>347</v>
      </c>
      <c r="AF1769">
        <v>5042</v>
      </c>
      <c r="AG1769" t="s">
        <v>342</v>
      </c>
      <c r="AI1769" t="s">
        <v>59</v>
      </c>
      <c r="AL1769" t="s">
        <v>3996</v>
      </c>
      <c r="AM1769" t="s">
        <v>349</v>
      </c>
      <c r="AN1769" s="3">
        <v>46072.066666666666</v>
      </c>
      <c r="AO1769" t="s">
        <v>525</v>
      </c>
    </row>
    <row r="1770" spans="1:41" x14ac:dyDescent="0.3">
      <c r="A1770" t="s">
        <v>168</v>
      </c>
      <c r="B1770" t="s">
        <v>336</v>
      </c>
      <c r="D1770" t="s">
        <v>268</v>
      </c>
      <c r="E1770" s="1">
        <v>46071</v>
      </c>
      <c r="F1770" t="s">
        <v>44</v>
      </c>
      <c r="G1770" t="s">
        <v>485</v>
      </c>
      <c r="H1770" s="2">
        <v>0.875</v>
      </c>
      <c r="I1770" s="2">
        <v>0.3125</v>
      </c>
      <c r="J1770" t="s">
        <v>296</v>
      </c>
      <c r="K1770" t="s">
        <v>338</v>
      </c>
      <c r="L1770" t="s">
        <v>339</v>
      </c>
      <c r="M1770" t="s">
        <v>806</v>
      </c>
      <c r="N1770" t="s">
        <v>1671</v>
      </c>
      <c r="O1770">
        <v>5951069</v>
      </c>
      <c r="P1770" t="s">
        <v>338</v>
      </c>
      <c r="Q1770" t="s">
        <v>3628</v>
      </c>
      <c r="R1770" t="s">
        <v>176</v>
      </c>
      <c r="S1770" t="s">
        <v>52</v>
      </c>
      <c r="U1770">
        <v>891034</v>
      </c>
      <c r="V1770" s="3">
        <v>46052.443749999999</v>
      </c>
      <c r="W1770" t="s">
        <v>1672</v>
      </c>
      <c r="X1770" t="s">
        <v>1673</v>
      </c>
      <c r="Y1770" t="str">
        <f>"0402344127"</f>
        <v>0402344127</v>
      </c>
      <c r="Z1770" t="s">
        <v>527</v>
      </c>
      <c r="AB1770" t="s">
        <v>346</v>
      </c>
      <c r="AD1770" t="s">
        <v>168</v>
      </c>
      <c r="AE1770" t="s">
        <v>347</v>
      </c>
      <c r="AF1770">
        <v>5042</v>
      </c>
      <c r="AG1770" t="s">
        <v>342</v>
      </c>
      <c r="AI1770" t="s">
        <v>59</v>
      </c>
      <c r="AL1770" t="s">
        <v>4296</v>
      </c>
      <c r="AM1770" t="s">
        <v>349</v>
      </c>
      <c r="AN1770" s="3">
        <v>46071.896527777775</v>
      </c>
      <c r="AO1770" t="s">
        <v>1672</v>
      </c>
    </row>
    <row r="1771" spans="1:41" x14ac:dyDescent="0.3">
      <c r="A1771" t="s">
        <v>306</v>
      </c>
      <c r="B1771" t="s">
        <v>528</v>
      </c>
      <c r="C1771" t="s">
        <v>1523</v>
      </c>
      <c r="D1771" t="s">
        <v>63</v>
      </c>
      <c r="E1771" s="1">
        <v>46071</v>
      </c>
      <c r="F1771" t="s">
        <v>44</v>
      </c>
      <c r="G1771" t="s">
        <v>485</v>
      </c>
      <c r="H1771" s="2">
        <v>0.89583333333333337</v>
      </c>
      <c r="I1771" s="2">
        <v>0.3125</v>
      </c>
      <c r="J1771" t="s">
        <v>296</v>
      </c>
      <c r="L1771" t="s">
        <v>310</v>
      </c>
      <c r="M1771" t="s">
        <v>311</v>
      </c>
      <c r="N1771" t="s">
        <v>312</v>
      </c>
      <c r="O1771">
        <v>5952174</v>
      </c>
      <c r="Q1771" t="s">
        <v>4297</v>
      </c>
      <c r="R1771" t="s">
        <v>1248</v>
      </c>
      <c r="S1771" t="s">
        <v>52</v>
      </c>
      <c r="U1771">
        <v>891070</v>
      </c>
      <c r="V1771" s="3">
        <v>46067.319444444445</v>
      </c>
      <c r="W1771" t="s">
        <v>315</v>
      </c>
      <c r="X1771" t="s">
        <v>316</v>
      </c>
      <c r="Y1771" t="str">
        <f>"0452621529"</f>
        <v>0452621529</v>
      </c>
      <c r="Z1771" t="s">
        <v>70</v>
      </c>
      <c r="AA1771" s="1">
        <v>46071</v>
      </c>
      <c r="AB1771" t="s">
        <v>537</v>
      </c>
      <c r="AD1771" t="s">
        <v>306</v>
      </c>
      <c r="AE1771" t="s">
        <v>538</v>
      </c>
      <c r="AF1771">
        <v>3152</v>
      </c>
      <c r="AG1771" t="s">
        <v>2757</v>
      </c>
      <c r="AI1771" t="s">
        <v>59</v>
      </c>
      <c r="AL1771" t="s">
        <v>4298</v>
      </c>
      <c r="AN1771" s="3">
        <v>46072.315972222219</v>
      </c>
      <c r="AO1771" t="s">
        <v>315</v>
      </c>
    </row>
    <row r="1772" spans="1:41" x14ac:dyDescent="0.3">
      <c r="A1772" t="s">
        <v>306</v>
      </c>
      <c r="B1772" t="s">
        <v>528</v>
      </c>
      <c r="C1772" t="s">
        <v>529</v>
      </c>
      <c r="D1772" t="s">
        <v>63</v>
      </c>
      <c r="E1772" s="1">
        <v>46071</v>
      </c>
      <c r="F1772" t="s">
        <v>44</v>
      </c>
      <c r="G1772" t="s">
        <v>485</v>
      </c>
      <c r="H1772" s="2">
        <v>0.89583333333333337</v>
      </c>
      <c r="I1772" s="2">
        <v>0.3125</v>
      </c>
      <c r="J1772" t="s">
        <v>529</v>
      </c>
      <c r="L1772" t="s">
        <v>531</v>
      </c>
      <c r="M1772" t="s">
        <v>532</v>
      </c>
      <c r="N1772" t="s">
        <v>533</v>
      </c>
      <c r="O1772">
        <v>20495</v>
      </c>
      <c r="Q1772" t="s">
        <v>2654</v>
      </c>
      <c r="R1772" t="s">
        <v>500</v>
      </c>
      <c r="S1772" t="s">
        <v>52</v>
      </c>
      <c r="U1772">
        <v>891064</v>
      </c>
      <c r="V1772" s="3">
        <v>46069.80972222222</v>
      </c>
      <c r="W1772" t="s">
        <v>535</v>
      </c>
      <c r="X1772" t="s">
        <v>536</v>
      </c>
      <c r="Y1772" t="str">
        <f>"0447625522"</f>
        <v>0447625522</v>
      </c>
      <c r="Z1772" t="s">
        <v>70</v>
      </c>
      <c r="AB1772" t="s">
        <v>537</v>
      </c>
      <c r="AD1772" t="s">
        <v>306</v>
      </c>
      <c r="AE1772" t="s">
        <v>538</v>
      </c>
      <c r="AF1772">
        <v>3152</v>
      </c>
      <c r="AG1772" t="s">
        <v>2654</v>
      </c>
      <c r="AI1772" t="s">
        <v>59</v>
      </c>
      <c r="AL1772" t="s">
        <v>87</v>
      </c>
      <c r="AN1772" s="3">
        <v>46072.270833333336</v>
      </c>
      <c r="AO1772" t="s">
        <v>535</v>
      </c>
    </row>
    <row r="1773" spans="1:41" x14ac:dyDescent="0.3">
      <c r="A1773" t="s">
        <v>306</v>
      </c>
      <c r="B1773" t="s">
        <v>2789</v>
      </c>
      <c r="C1773" t="s">
        <v>4299</v>
      </c>
      <c r="D1773" t="s">
        <v>90</v>
      </c>
      <c r="E1773" s="1">
        <v>46071</v>
      </c>
      <c r="F1773" t="s">
        <v>44</v>
      </c>
      <c r="G1773" t="s">
        <v>485</v>
      </c>
      <c r="H1773" s="2">
        <v>0.89583333333333337</v>
      </c>
      <c r="I1773" s="2">
        <v>0.3125</v>
      </c>
      <c r="J1773" t="s">
        <v>296</v>
      </c>
      <c r="L1773" t="s">
        <v>2079</v>
      </c>
      <c r="M1773" t="s">
        <v>1395</v>
      </c>
      <c r="N1773" t="s">
        <v>2080</v>
      </c>
      <c r="O1773">
        <v>5952104</v>
      </c>
      <c r="P1773">
        <v>11746508</v>
      </c>
      <c r="Q1773" t="s">
        <v>1245</v>
      </c>
      <c r="R1773" t="s">
        <v>500</v>
      </c>
      <c r="S1773" t="s">
        <v>52</v>
      </c>
      <c r="U1773">
        <v>891067</v>
      </c>
      <c r="V1773" s="3">
        <v>46071.709027777775</v>
      </c>
      <c r="W1773" t="s">
        <v>2081</v>
      </c>
      <c r="X1773" t="s">
        <v>2082</v>
      </c>
      <c r="Y1773" t="str">
        <f>"0410043499"</f>
        <v>0410043499</v>
      </c>
      <c r="Z1773" t="s">
        <v>70</v>
      </c>
      <c r="AA1773" s="1">
        <v>46071</v>
      </c>
      <c r="AB1773" t="s">
        <v>2790</v>
      </c>
      <c r="AD1773" t="s">
        <v>306</v>
      </c>
      <c r="AE1773" t="s">
        <v>1520</v>
      </c>
      <c r="AF1773">
        <v>3002</v>
      </c>
      <c r="AG1773" t="s">
        <v>1245</v>
      </c>
      <c r="AI1773" t="s">
        <v>59</v>
      </c>
      <c r="AL1773" t="s">
        <v>4300</v>
      </c>
      <c r="AN1773" s="3">
        <v>46072.306944444441</v>
      </c>
      <c r="AO1773" t="s">
        <v>2081</v>
      </c>
    </row>
    <row r="1774" spans="1:41" x14ac:dyDescent="0.3">
      <c r="A1774" t="s">
        <v>306</v>
      </c>
      <c r="B1774" t="s">
        <v>528</v>
      </c>
      <c r="C1774" t="s">
        <v>529</v>
      </c>
      <c r="D1774" t="s">
        <v>63</v>
      </c>
      <c r="E1774" s="1">
        <v>46071</v>
      </c>
      <c r="F1774" t="s">
        <v>44</v>
      </c>
      <c r="G1774" t="s">
        <v>485</v>
      </c>
      <c r="H1774" s="2">
        <v>0.89583333333333337</v>
      </c>
      <c r="I1774" s="2">
        <v>0.3125</v>
      </c>
      <c r="J1774" t="s">
        <v>529</v>
      </c>
      <c r="L1774" t="s">
        <v>531</v>
      </c>
      <c r="M1774" t="s">
        <v>3863</v>
      </c>
      <c r="N1774" t="s">
        <v>3864</v>
      </c>
      <c r="O1774">
        <v>20445</v>
      </c>
      <c r="Q1774" t="s">
        <v>2654</v>
      </c>
      <c r="R1774" t="s">
        <v>500</v>
      </c>
      <c r="S1774" t="s">
        <v>52</v>
      </c>
      <c r="U1774">
        <v>891069</v>
      </c>
      <c r="V1774" s="3">
        <v>46069.80972222222</v>
      </c>
      <c r="W1774" t="s">
        <v>3866</v>
      </c>
      <c r="X1774" t="s">
        <v>3867</v>
      </c>
      <c r="Y1774" t="str">
        <f>"0403574680"</f>
        <v>0403574680</v>
      </c>
      <c r="Z1774" t="s">
        <v>70</v>
      </c>
      <c r="AB1774" t="s">
        <v>537</v>
      </c>
      <c r="AD1774" t="s">
        <v>306</v>
      </c>
      <c r="AE1774" t="s">
        <v>538</v>
      </c>
      <c r="AF1774">
        <v>3152</v>
      </c>
      <c r="AG1774" t="s">
        <v>2654</v>
      </c>
      <c r="AI1774" t="s">
        <v>59</v>
      </c>
      <c r="AL1774" t="s">
        <v>87</v>
      </c>
      <c r="AN1774" s="3">
        <v>46072.314583333333</v>
      </c>
      <c r="AO1774" t="s">
        <v>3866</v>
      </c>
    </row>
    <row r="1775" spans="1:41" x14ac:dyDescent="0.3">
      <c r="A1775" t="s">
        <v>41</v>
      </c>
      <c r="B1775" t="s">
        <v>1557</v>
      </c>
      <c r="C1775" t="s">
        <v>3390</v>
      </c>
      <c r="D1775" t="s">
        <v>63</v>
      </c>
      <c r="E1775" s="1">
        <v>46071</v>
      </c>
      <c r="F1775" t="s">
        <v>44</v>
      </c>
      <c r="G1775" t="s">
        <v>485</v>
      </c>
      <c r="H1775" s="2">
        <v>0.91666666666666663</v>
      </c>
      <c r="I1775" s="2">
        <v>0.3125</v>
      </c>
      <c r="J1775" t="s">
        <v>296</v>
      </c>
      <c r="L1775" t="s">
        <v>3918</v>
      </c>
      <c r="M1775" t="s">
        <v>4301</v>
      </c>
      <c r="N1775" t="s">
        <v>4302</v>
      </c>
      <c r="O1775">
        <v>5952125</v>
      </c>
      <c r="Q1775" t="s">
        <v>2800</v>
      </c>
      <c r="R1775" t="s">
        <v>51</v>
      </c>
      <c r="S1775" t="s">
        <v>52</v>
      </c>
      <c r="U1775">
        <v>891075</v>
      </c>
      <c r="V1775" s="3">
        <v>46063.474999999999</v>
      </c>
      <c r="W1775" t="s">
        <v>4303</v>
      </c>
      <c r="X1775" t="s">
        <v>4304</v>
      </c>
      <c r="Y1775" t="str">
        <f>"0420297276"</f>
        <v>0420297276</v>
      </c>
      <c r="Z1775" t="s">
        <v>345</v>
      </c>
      <c r="AB1775" t="s">
        <v>1562</v>
      </c>
      <c r="AD1775" t="s">
        <v>41</v>
      </c>
      <c r="AE1775" t="s">
        <v>1563</v>
      </c>
      <c r="AF1775">
        <v>4109</v>
      </c>
      <c r="AG1775" t="s">
        <v>2098</v>
      </c>
      <c r="AI1775" t="s">
        <v>59</v>
      </c>
      <c r="AL1775" t="s">
        <v>1407</v>
      </c>
      <c r="AN1775" s="3">
        <v>46072.356249999997</v>
      </c>
      <c r="AO1775" t="s">
        <v>4303</v>
      </c>
    </row>
    <row r="1776" spans="1:41" x14ac:dyDescent="0.3">
      <c r="A1776" t="s">
        <v>168</v>
      </c>
      <c r="B1776" t="s">
        <v>607</v>
      </c>
      <c r="C1776" t="s">
        <v>267</v>
      </c>
      <c r="D1776" t="s">
        <v>268</v>
      </c>
      <c r="E1776" s="1">
        <v>46071</v>
      </c>
      <c r="F1776" t="s">
        <v>44</v>
      </c>
      <c r="G1776" t="s">
        <v>45</v>
      </c>
      <c r="H1776" s="2">
        <v>0.91666666666666663</v>
      </c>
      <c r="I1776" s="2">
        <v>0.35416666666666669</v>
      </c>
      <c r="J1776" t="s">
        <v>269</v>
      </c>
      <c r="K1776" t="s">
        <v>608</v>
      </c>
      <c r="L1776" t="s">
        <v>609</v>
      </c>
      <c r="M1776" t="s">
        <v>610</v>
      </c>
      <c r="N1776" t="s">
        <v>611</v>
      </c>
      <c r="O1776">
        <v>5952121</v>
      </c>
      <c r="P1776" t="s">
        <v>249</v>
      </c>
      <c r="Q1776" t="s">
        <v>612</v>
      </c>
      <c r="R1776" t="s">
        <v>613</v>
      </c>
      <c r="S1776" t="s">
        <v>52</v>
      </c>
      <c r="T1776" t="s">
        <v>252</v>
      </c>
      <c r="U1776">
        <v>891457</v>
      </c>
      <c r="V1776" s="3">
        <v>46076.458333333336</v>
      </c>
      <c r="W1776" t="s">
        <v>613</v>
      </c>
      <c r="X1776" t="s">
        <v>614</v>
      </c>
      <c r="Y1776" t="str">
        <f>"0412297150"</f>
        <v>0412297150</v>
      </c>
      <c r="Z1776" t="s">
        <v>345</v>
      </c>
      <c r="AA1776" s="1">
        <v>46077</v>
      </c>
      <c r="AB1776" t="s">
        <v>615</v>
      </c>
      <c r="AC1776" t="s">
        <v>616</v>
      </c>
      <c r="AD1776" t="s">
        <v>168</v>
      </c>
      <c r="AE1776" t="s">
        <v>617</v>
      </c>
      <c r="AF1776">
        <v>5290</v>
      </c>
      <c r="AG1776" t="s">
        <v>618</v>
      </c>
      <c r="AI1776" t="s">
        <v>59</v>
      </c>
      <c r="AJ1776" t="str">
        <f>"0020171780"</f>
        <v>0020171780</v>
      </c>
      <c r="AM1776" t="s">
        <v>3492</v>
      </c>
      <c r="AN1776" s="3">
        <v>46076.458333333336</v>
      </c>
      <c r="AO1776" t="s">
        <v>613</v>
      </c>
    </row>
    <row r="1777" spans="1:41" x14ac:dyDescent="0.3">
      <c r="A1777" t="s">
        <v>41</v>
      </c>
      <c r="B1777" t="s">
        <v>632</v>
      </c>
      <c r="C1777" t="s">
        <v>296</v>
      </c>
      <c r="D1777" t="s">
        <v>246</v>
      </c>
      <c r="E1777" s="1">
        <v>46071</v>
      </c>
      <c r="F1777" t="s">
        <v>44</v>
      </c>
      <c r="G1777" t="s">
        <v>485</v>
      </c>
      <c r="H1777" s="2">
        <v>0.9375</v>
      </c>
      <c r="I1777" s="2">
        <v>0.29166666666666669</v>
      </c>
      <c r="J1777" t="s">
        <v>464</v>
      </c>
      <c r="K1777" t="s">
        <v>2096</v>
      </c>
      <c r="L1777" t="s">
        <v>540</v>
      </c>
      <c r="M1777" t="s">
        <v>3599</v>
      </c>
      <c r="N1777" t="s">
        <v>3600</v>
      </c>
      <c r="O1777">
        <v>5952151</v>
      </c>
      <c r="Q1777" t="s">
        <v>1367</v>
      </c>
      <c r="R1777" t="s">
        <v>500</v>
      </c>
      <c r="S1777" t="s">
        <v>52</v>
      </c>
      <c r="U1777">
        <v>891072</v>
      </c>
      <c r="V1777" s="3">
        <v>46071.821527777778</v>
      </c>
      <c r="W1777" t="s">
        <v>3601</v>
      </c>
      <c r="X1777" t="s">
        <v>3602</v>
      </c>
      <c r="Y1777" t="str">
        <f>"0499779020"</f>
        <v>0499779020</v>
      </c>
      <c r="Z1777" t="s">
        <v>70</v>
      </c>
      <c r="AA1777" s="1">
        <v>46071</v>
      </c>
      <c r="AB1777" t="s">
        <v>640</v>
      </c>
      <c r="AD1777" t="s">
        <v>41</v>
      </c>
      <c r="AE1777" t="s">
        <v>641</v>
      </c>
      <c r="AF1777">
        <v>4305</v>
      </c>
      <c r="AG1777" t="s">
        <v>2098</v>
      </c>
      <c r="AI1777" t="s">
        <v>59</v>
      </c>
      <c r="AL1777" t="s">
        <v>4305</v>
      </c>
      <c r="AN1777" s="3">
        <v>46072.334722222222</v>
      </c>
      <c r="AO1777" t="s">
        <v>3601</v>
      </c>
    </row>
    <row r="1778" spans="1:41" x14ac:dyDescent="0.3">
      <c r="A1778" t="s">
        <v>41</v>
      </c>
      <c r="B1778" t="s">
        <v>2614</v>
      </c>
      <c r="C1778" t="s">
        <v>296</v>
      </c>
      <c r="D1778" t="s">
        <v>246</v>
      </c>
      <c r="E1778" s="1">
        <v>46071</v>
      </c>
      <c r="F1778" t="s">
        <v>44</v>
      </c>
      <c r="G1778" t="s">
        <v>485</v>
      </c>
      <c r="H1778" s="2">
        <v>0.94791666666666663</v>
      </c>
      <c r="I1778" s="2">
        <v>0.30208333333333331</v>
      </c>
      <c r="J1778" t="s">
        <v>296</v>
      </c>
      <c r="K1778" t="s">
        <v>427</v>
      </c>
      <c r="L1778" t="s">
        <v>633</v>
      </c>
      <c r="M1778" t="s">
        <v>2084</v>
      </c>
      <c r="N1778" t="s">
        <v>2939</v>
      </c>
      <c r="O1778">
        <v>5950726</v>
      </c>
      <c r="Q1778" t="s">
        <v>1826</v>
      </c>
      <c r="R1778" t="s">
        <v>51</v>
      </c>
      <c r="S1778" t="s">
        <v>52</v>
      </c>
      <c r="U1778">
        <v>891074</v>
      </c>
      <c r="V1778" s="3">
        <v>46071.392361111109</v>
      </c>
      <c r="W1778" t="s">
        <v>2941</v>
      </c>
      <c r="X1778" t="s">
        <v>2942</v>
      </c>
      <c r="Y1778" t="str">
        <f>"0478152288"</f>
        <v>0478152288</v>
      </c>
      <c r="Z1778" t="s">
        <v>70</v>
      </c>
      <c r="AA1778" s="1">
        <v>46071</v>
      </c>
      <c r="AB1778" t="s">
        <v>2620</v>
      </c>
      <c r="AD1778" t="s">
        <v>41</v>
      </c>
      <c r="AE1778" t="s">
        <v>2621</v>
      </c>
      <c r="AF1778">
        <v>4510</v>
      </c>
      <c r="AG1778" t="s">
        <v>1826</v>
      </c>
      <c r="AI1778" t="s">
        <v>59</v>
      </c>
      <c r="AL1778" t="s">
        <v>4306</v>
      </c>
      <c r="AN1778" s="3">
        <v>46072.35</v>
      </c>
      <c r="AO1778" t="s">
        <v>2941</v>
      </c>
    </row>
    <row r="1779" spans="1:41" x14ac:dyDescent="0.3">
      <c r="A1779" t="s">
        <v>41</v>
      </c>
      <c r="B1779" t="s">
        <v>551</v>
      </c>
      <c r="C1779" t="s">
        <v>296</v>
      </c>
      <c r="D1779" t="s">
        <v>246</v>
      </c>
      <c r="E1779" s="1">
        <v>46071</v>
      </c>
      <c r="F1779" t="s">
        <v>44</v>
      </c>
      <c r="G1779" t="s">
        <v>485</v>
      </c>
      <c r="H1779" s="2">
        <v>0.94791666666666663</v>
      </c>
      <c r="I1779" s="2">
        <v>0.30208333333333331</v>
      </c>
      <c r="J1779" t="s">
        <v>296</v>
      </c>
      <c r="K1779" t="s">
        <v>553</v>
      </c>
      <c r="L1779" t="s">
        <v>428</v>
      </c>
      <c r="M1779" t="s">
        <v>554</v>
      </c>
      <c r="N1779" t="s">
        <v>555</v>
      </c>
      <c r="O1779">
        <v>5950685</v>
      </c>
      <c r="Q1779" t="s">
        <v>4307</v>
      </c>
      <c r="R1779" t="s">
        <v>1248</v>
      </c>
      <c r="S1779" t="s">
        <v>52</v>
      </c>
      <c r="U1779">
        <v>891073</v>
      </c>
      <c r="V1779" s="3">
        <v>46071.877083333333</v>
      </c>
      <c r="W1779" t="s">
        <v>557</v>
      </c>
      <c r="X1779" t="s">
        <v>558</v>
      </c>
      <c r="Y1779" t="str">
        <f>"0431966228"</f>
        <v>0431966228</v>
      </c>
      <c r="Z1779" t="s">
        <v>70</v>
      </c>
      <c r="AA1779" s="1">
        <v>46071</v>
      </c>
      <c r="AB1779" t="s">
        <v>559</v>
      </c>
      <c r="AD1779" t="s">
        <v>41</v>
      </c>
      <c r="AE1779" t="s">
        <v>560</v>
      </c>
      <c r="AF1779">
        <v>4131</v>
      </c>
      <c r="AG1779" t="s">
        <v>4307</v>
      </c>
      <c r="AI1779" t="s">
        <v>59</v>
      </c>
      <c r="AL1779" t="s">
        <v>1364</v>
      </c>
      <c r="AN1779" s="3">
        <v>46072.342361111114</v>
      </c>
      <c r="AO1779" t="s">
        <v>557</v>
      </c>
    </row>
    <row r="1780" spans="1:41" x14ac:dyDescent="0.3">
      <c r="A1780" t="s">
        <v>61</v>
      </c>
      <c r="B1780" t="s">
        <v>1271</v>
      </c>
      <c r="C1780" t="s">
        <v>1272</v>
      </c>
      <c r="D1780" t="s">
        <v>184</v>
      </c>
      <c r="E1780" s="1">
        <v>46071</v>
      </c>
      <c r="F1780" t="s">
        <v>44</v>
      </c>
      <c r="G1780" t="s">
        <v>485</v>
      </c>
      <c r="H1780" s="2">
        <v>0.95833333333333337</v>
      </c>
      <c r="I1780" s="2">
        <v>0.3125</v>
      </c>
      <c r="J1780" t="s">
        <v>590</v>
      </c>
      <c r="L1780" t="s">
        <v>487</v>
      </c>
      <c r="M1780" t="s">
        <v>2461</v>
      </c>
      <c r="N1780" t="s">
        <v>2462</v>
      </c>
      <c r="O1780">
        <v>22373</v>
      </c>
      <c r="Q1780" t="s">
        <v>2463</v>
      </c>
      <c r="R1780" t="s">
        <v>132</v>
      </c>
      <c r="S1780" t="s">
        <v>52</v>
      </c>
      <c r="U1780">
        <v>891361</v>
      </c>
      <c r="V1780" s="3">
        <v>46051.370138888888</v>
      </c>
      <c r="W1780" t="s">
        <v>2464</v>
      </c>
      <c r="X1780" t="s">
        <v>2465</v>
      </c>
      <c r="Y1780" t="str">
        <f>"0410812981"</f>
        <v>0410812981</v>
      </c>
      <c r="Z1780" t="s">
        <v>458</v>
      </c>
      <c r="AB1780" t="s">
        <v>1278</v>
      </c>
      <c r="AD1780" t="s">
        <v>61</v>
      </c>
      <c r="AE1780" t="s">
        <v>1279</v>
      </c>
      <c r="AF1780">
        <v>2145</v>
      </c>
      <c r="AG1780" t="s">
        <v>2463</v>
      </c>
      <c r="AI1780" t="s">
        <v>59</v>
      </c>
      <c r="AL1780" t="s">
        <v>4308</v>
      </c>
      <c r="AN1780" s="3">
        <v>46074.968055555553</v>
      </c>
      <c r="AO1780" t="s">
        <v>2464</v>
      </c>
    </row>
    <row r="1781" spans="1:41" x14ac:dyDescent="0.3">
      <c r="A1781" t="s">
        <v>168</v>
      </c>
      <c r="B1781" t="s">
        <v>689</v>
      </c>
      <c r="C1781" t="s">
        <v>43</v>
      </c>
      <c r="D1781" t="s">
        <v>268</v>
      </c>
      <c r="E1781" s="1">
        <v>46041</v>
      </c>
      <c r="F1781" t="s">
        <v>569</v>
      </c>
      <c r="G1781" t="s">
        <v>45</v>
      </c>
      <c r="H1781" s="2">
        <v>0.375</v>
      </c>
      <c r="I1781" s="2">
        <v>0.72916666666666663</v>
      </c>
      <c r="J1781" t="s">
        <v>100</v>
      </c>
      <c r="L1781" t="s">
        <v>100</v>
      </c>
      <c r="M1781" t="s">
        <v>402</v>
      </c>
      <c r="N1781" t="s">
        <v>403</v>
      </c>
      <c r="O1781">
        <v>21398</v>
      </c>
      <c r="P1781" t="s">
        <v>249</v>
      </c>
      <c r="Q1781" t="s">
        <v>2110</v>
      </c>
      <c r="R1781" t="s">
        <v>405</v>
      </c>
      <c r="S1781" t="s">
        <v>52</v>
      </c>
      <c r="T1781" t="s">
        <v>252</v>
      </c>
      <c r="U1781">
        <v>888372</v>
      </c>
      <c r="V1781" s="3">
        <v>46049.447222222225</v>
      </c>
      <c r="W1781" t="s">
        <v>405</v>
      </c>
      <c r="X1781" t="s">
        <v>406</v>
      </c>
      <c r="Y1781" t="str">
        <f>"0423877972"</f>
        <v>0423877972</v>
      </c>
      <c r="Z1781" t="s">
        <v>585</v>
      </c>
      <c r="AA1781" s="1">
        <v>46075</v>
      </c>
      <c r="AB1781" t="s">
        <v>695</v>
      </c>
      <c r="AD1781" t="s">
        <v>168</v>
      </c>
      <c r="AE1781" t="s">
        <v>696</v>
      </c>
      <c r="AF1781">
        <v>5606</v>
      </c>
      <c r="AG1781" t="s">
        <v>866</v>
      </c>
      <c r="AI1781" t="s">
        <v>59</v>
      </c>
      <c r="AJ1781" t="str">
        <f>"0020185674"</f>
        <v>0020185674</v>
      </c>
      <c r="AN1781" s="3">
        <v>46049.447222222225</v>
      </c>
      <c r="AO1781" t="s">
        <v>405</v>
      </c>
    </row>
    <row r="1782" spans="1:41" x14ac:dyDescent="0.3">
      <c r="A1782" t="s">
        <v>41</v>
      </c>
      <c r="B1782" t="s">
        <v>568</v>
      </c>
      <c r="C1782" t="s">
        <v>602</v>
      </c>
      <c r="D1782" t="s">
        <v>246</v>
      </c>
      <c r="E1782" s="1">
        <v>46041</v>
      </c>
      <c r="F1782" t="s">
        <v>569</v>
      </c>
      <c r="G1782" t="s">
        <v>128</v>
      </c>
      <c r="H1782" s="2">
        <v>0.60416666666666663</v>
      </c>
      <c r="I1782" s="2">
        <v>0.95833333333333337</v>
      </c>
      <c r="J1782" t="s">
        <v>269</v>
      </c>
      <c r="L1782" t="s">
        <v>47</v>
      </c>
      <c r="M1782" t="s">
        <v>603</v>
      </c>
      <c r="N1782" t="s">
        <v>604</v>
      </c>
      <c r="O1782">
        <v>80</v>
      </c>
      <c r="P1782" t="s">
        <v>571</v>
      </c>
      <c r="Q1782" t="s">
        <v>572</v>
      </c>
      <c r="R1782" t="s">
        <v>573</v>
      </c>
      <c r="S1782" t="s">
        <v>52</v>
      </c>
      <c r="T1782" t="s">
        <v>252</v>
      </c>
      <c r="U1782">
        <v>888441</v>
      </c>
      <c r="V1782" s="3">
        <v>46049.587500000001</v>
      </c>
      <c r="W1782" t="s">
        <v>605</v>
      </c>
      <c r="X1782" t="s">
        <v>606</v>
      </c>
      <c r="Y1782" t="str">
        <f>"0414330986"</f>
        <v>0414330986</v>
      </c>
      <c r="Z1782" t="s">
        <v>585</v>
      </c>
      <c r="AA1782" s="1">
        <v>46068</v>
      </c>
      <c r="AB1782" t="s">
        <v>576</v>
      </c>
      <c r="AD1782" t="s">
        <v>41</v>
      </c>
      <c r="AE1782" t="s">
        <v>577</v>
      </c>
      <c r="AF1782">
        <v>4700</v>
      </c>
      <c r="AG1782" t="s">
        <v>572</v>
      </c>
      <c r="AI1782" t="s">
        <v>59</v>
      </c>
      <c r="AJ1782" t="str">
        <f>"0050075176"</f>
        <v>0050075176</v>
      </c>
      <c r="AN1782" s="3">
        <v>46049.587500000001</v>
      </c>
      <c r="AO1782" t="s">
        <v>573</v>
      </c>
    </row>
    <row r="1783" spans="1:41" x14ac:dyDescent="0.3">
      <c r="A1783" t="s">
        <v>168</v>
      </c>
      <c r="B1783" t="s">
        <v>607</v>
      </c>
      <c r="C1783" t="s">
        <v>267</v>
      </c>
      <c r="D1783" t="s">
        <v>268</v>
      </c>
      <c r="E1783" s="1">
        <v>46041</v>
      </c>
      <c r="F1783" t="s">
        <v>569</v>
      </c>
      <c r="G1783" t="s">
        <v>45</v>
      </c>
      <c r="H1783" s="2">
        <v>0.60416666666666663</v>
      </c>
      <c r="I1783" s="2">
        <v>0.95833333333333337</v>
      </c>
      <c r="J1783" t="s">
        <v>269</v>
      </c>
      <c r="K1783" t="s">
        <v>608</v>
      </c>
      <c r="L1783" t="s">
        <v>609</v>
      </c>
      <c r="M1783" t="s">
        <v>610</v>
      </c>
      <c r="N1783" t="s">
        <v>611</v>
      </c>
      <c r="O1783">
        <v>5952121</v>
      </c>
      <c r="P1783" t="s">
        <v>249</v>
      </c>
      <c r="Q1783" t="s">
        <v>612</v>
      </c>
      <c r="R1783" t="s">
        <v>613</v>
      </c>
      <c r="S1783" t="s">
        <v>52</v>
      </c>
      <c r="T1783" t="s">
        <v>252</v>
      </c>
      <c r="U1783">
        <v>888331</v>
      </c>
      <c r="V1783" s="3">
        <v>46048.029166666667</v>
      </c>
      <c r="W1783" t="s">
        <v>613</v>
      </c>
      <c r="X1783" t="s">
        <v>614</v>
      </c>
      <c r="Y1783" t="str">
        <f>"0412297150"</f>
        <v>0412297150</v>
      </c>
      <c r="Z1783" t="s">
        <v>1201</v>
      </c>
      <c r="AA1783" s="1">
        <v>46077</v>
      </c>
      <c r="AB1783" t="s">
        <v>615</v>
      </c>
      <c r="AC1783" t="s">
        <v>616</v>
      </c>
      <c r="AD1783" t="s">
        <v>168</v>
      </c>
      <c r="AE1783" t="s">
        <v>617</v>
      </c>
      <c r="AF1783">
        <v>5290</v>
      </c>
      <c r="AG1783" t="s">
        <v>618</v>
      </c>
      <c r="AI1783" t="s">
        <v>59</v>
      </c>
      <c r="AJ1783" t="str">
        <f>"0020171780"</f>
        <v>0020171780</v>
      </c>
      <c r="AM1783" t="s">
        <v>2441</v>
      </c>
      <c r="AN1783" s="3">
        <v>46048.029166666667</v>
      </c>
      <c r="AO1783" t="s">
        <v>613</v>
      </c>
    </row>
    <row r="1784" spans="1:41" x14ac:dyDescent="0.3">
      <c r="A1784" t="s">
        <v>41</v>
      </c>
      <c r="B1784" t="s">
        <v>568</v>
      </c>
      <c r="D1784" t="s">
        <v>246</v>
      </c>
      <c r="E1784" s="1">
        <v>46041</v>
      </c>
      <c r="F1784" t="s">
        <v>569</v>
      </c>
      <c r="G1784" t="s">
        <v>128</v>
      </c>
      <c r="H1784" s="2">
        <v>0.625</v>
      </c>
      <c r="I1784" s="2">
        <v>0.95833333333333337</v>
      </c>
      <c r="J1784" t="s">
        <v>269</v>
      </c>
      <c r="L1784" t="s">
        <v>172</v>
      </c>
      <c r="M1784" t="s">
        <v>311</v>
      </c>
      <c r="N1784" t="s">
        <v>570</v>
      </c>
      <c r="O1784">
        <v>5951685</v>
      </c>
      <c r="P1784" t="s">
        <v>571</v>
      </c>
      <c r="Q1784" t="s">
        <v>572</v>
      </c>
      <c r="R1784" t="s">
        <v>573</v>
      </c>
      <c r="S1784" t="s">
        <v>52</v>
      </c>
      <c r="T1784" t="s">
        <v>252</v>
      </c>
      <c r="U1784">
        <v>888434</v>
      </c>
      <c r="V1784" s="3">
        <v>46049.585416666669</v>
      </c>
      <c r="W1784" t="s">
        <v>574</v>
      </c>
      <c r="X1784" t="s">
        <v>575</v>
      </c>
      <c r="Y1784" t="str">
        <f>"0407007024"</f>
        <v>0407007024</v>
      </c>
      <c r="Z1784" t="s">
        <v>1201</v>
      </c>
      <c r="AA1784" s="1">
        <v>46075</v>
      </c>
      <c r="AB1784" t="s">
        <v>576</v>
      </c>
      <c r="AD1784" t="s">
        <v>41</v>
      </c>
      <c r="AE1784" t="s">
        <v>577</v>
      </c>
      <c r="AF1784">
        <v>4700</v>
      </c>
      <c r="AG1784" t="s">
        <v>572</v>
      </c>
      <c r="AI1784" t="s">
        <v>59</v>
      </c>
      <c r="AJ1784" t="str">
        <f>"0050076113"</f>
        <v>0050076113</v>
      </c>
      <c r="AN1784" s="3">
        <v>46049.585416666669</v>
      </c>
      <c r="AO1784" t="s">
        <v>573</v>
      </c>
    </row>
    <row r="1785" spans="1:41" x14ac:dyDescent="0.3">
      <c r="A1785" t="s">
        <v>41</v>
      </c>
      <c r="B1785" t="s">
        <v>589</v>
      </c>
      <c r="C1785" t="s">
        <v>590</v>
      </c>
      <c r="D1785" t="s">
        <v>246</v>
      </c>
      <c r="E1785" s="1">
        <v>46041</v>
      </c>
      <c r="F1785" t="s">
        <v>569</v>
      </c>
      <c r="G1785" t="s">
        <v>485</v>
      </c>
      <c r="H1785" s="2">
        <v>0.80208333333333337</v>
      </c>
      <c r="I1785" s="2">
        <v>0.30208333333333331</v>
      </c>
      <c r="J1785" t="s">
        <v>591</v>
      </c>
      <c r="L1785" t="s">
        <v>592</v>
      </c>
      <c r="M1785" t="s">
        <v>593</v>
      </c>
      <c r="N1785" t="s">
        <v>594</v>
      </c>
      <c r="O1785">
        <v>5952427</v>
      </c>
      <c r="P1785" t="s">
        <v>249</v>
      </c>
      <c r="Q1785" t="s">
        <v>596</v>
      </c>
      <c r="R1785" t="s">
        <v>392</v>
      </c>
      <c r="S1785" t="s">
        <v>52</v>
      </c>
      <c r="T1785" t="s">
        <v>252</v>
      </c>
      <c r="U1785">
        <v>888369</v>
      </c>
      <c r="V1785" s="3">
        <v>46049.378472222219</v>
      </c>
      <c r="W1785" t="s">
        <v>597</v>
      </c>
      <c r="X1785" t="s">
        <v>598</v>
      </c>
      <c r="Y1785" t="str">
        <f>"0432677728"</f>
        <v>0432677728</v>
      </c>
      <c r="Z1785" t="s">
        <v>550</v>
      </c>
      <c r="AA1785" s="1">
        <v>46054</v>
      </c>
      <c r="AB1785" t="s">
        <v>599</v>
      </c>
      <c r="AC1785" t="s">
        <v>600</v>
      </c>
      <c r="AD1785" t="s">
        <v>41</v>
      </c>
      <c r="AE1785" t="s">
        <v>600</v>
      </c>
      <c r="AF1785">
        <v>4610</v>
      </c>
      <c r="AG1785" t="s">
        <v>601</v>
      </c>
      <c r="AI1785" t="s">
        <v>59</v>
      </c>
      <c r="AJ1785" t="str">
        <f>"0050075752"</f>
        <v>0050075752</v>
      </c>
      <c r="AN1785" s="3">
        <v>46049.378472222219</v>
      </c>
      <c r="AO1785" t="s">
        <v>392</v>
      </c>
    </row>
    <row r="1786" spans="1:41" x14ac:dyDescent="0.3">
      <c r="A1786" t="s">
        <v>61</v>
      </c>
      <c r="B1786" t="s">
        <v>578</v>
      </c>
      <c r="D1786" t="s">
        <v>579</v>
      </c>
      <c r="E1786" s="1">
        <v>46041</v>
      </c>
      <c r="F1786" t="s">
        <v>569</v>
      </c>
      <c r="G1786" t="s">
        <v>485</v>
      </c>
      <c r="H1786" s="2">
        <v>0.875</v>
      </c>
      <c r="I1786" s="2">
        <v>0.3125</v>
      </c>
      <c r="J1786" t="s">
        <v>269</v>
      </c>
      <c r="L1786" t="s">
        <v>172</v>
      </c>
      <c r="M1786" t="s">
        <v>580</v>
      </c>
      <c r="N1786" t="s">
        <v>581</v>
      </c>
      <c r="O1786">
        <v>5951721</v>
      </c>
      <c r="P1786" t="s">
        <v>571</v>
      </c>
      <c r="Q1786" t="s">
        <v>582</v>
      </c>
      <c r="R1786" t="s">
        <v>573</v>
      </c>
      <c r="S1786" t="s">
        <v>52</v>
      </c>
      <c r="T1786" t="s">
        <v>252</v>
      </c>
      <c r="U1786">
        <v>888579</v>
      </c>
      <c r="V1786" s="3">
        <v>46050.645833333336</v>
      </c>
      <c r="W1786" t="s">
        <v>583</v>
      </c>
      <c r="X1786" t="s">
        <v>584</v>
      </c>
      <c r="Y1786" t="str">
        <f>"0456677559"</f>
        <v>0456677559</v>
      </c>
      <c r="Z1786" t="s">
        <v>585</v>
      </c>
      <c r="AA1786" s="1">
        <v>46061</v>
      </c>
      <c r="AB1786" t="s">
        <v>586</v>
      </c>
      <c r="AD1786" t="s">
        <v>61</v>
      </c>
      <c r="AE1786" t="s">
        <v>587</v>
      </c>
      <c r="AF1786">
        <v>2320</v>
      </c>
      <c r="AG1786" t="s">
        <v>588</v>
      </c>
      <c r="AI1786" t="s">
        <v>59</v>
      </c>
      <c r="AJ1786" t="str">
        <f>"0010193654"</f>
        <v>0010193654</v>
      </c>
      <c r="AN1786" s="3">
        <v>46050.645833333336</v>
      </c>
      <c r="AO1786" t="s">
        <v>573</v>
      </c>
    </row>
    <row r="1787" spans="1:41" x14ac:dyDescent="0.3">
      <c r="A1787" t="s">
        <v>168</v>
      </c>
      <c r="B1787" t="s">
        <v>215</v>
      </c>
      <c r="C1787" t="s">
        <v>43</v>
      </c>
      <c r="D1787" t="s">
        <v>127</v>
      </c>
      <c r="E1787" s="1">
        <v>46072</v>
      </c>
      <c r="F1787" t="s">
        <v>621</v>
      </c>
      <c r="G1787" t="s">
        <v>45</v>
      </c>
      <c r="H1787" s="2">
        <v>0.27083333333333331</v>
      </c>
      <c r="I1787" s="2">
        <v>0.58333333333333337</v>
      </c>
      <c r="J1787" t="s">
        <v>258</v>
      </c>
      <c r="K1787" t="s">
        <v>259</v>
      </c>
      <c r="L1787" t="s">
        <v>743</v>
      </c>
      <c r="M1787" t="s">
        <v>3988</v>
      </c>
      <c r="N1787" t="s">
        <v>3891</v>
      </c>
      <c r="O1787">
        <v>22792</v>
      </c>
      <c r="Q1787" t="s">
        <v>219</v>
      </c>
      <c r="R1787" t="s">
        <v>556</v>
      </c>
      <c r="S1787" t="s">
        <v>52</v>
      </c>
      <c r="U1787">
        <v>891100</v>
      </c>
      <c r="V1787" s="3">
        <v>46057.04791666667</v>
      </c>
      <c r="W1787" t="s">
        <v>3989</v>
      </c>
      <c r="X1787" t="s">
        <v>3990</v>
      </c>
      <c r="Y1787" t="str">
        <f>"0426992691"</f>
        <v>0426992691</v>
      </c>
      <c r="Z1787" t="s">
        <v>70</v>
      </c>
      <c r="AA1787" s="1">
        <v>46072</v>
      </c>
      <c r="AB1787" t="s">
        <v>222</v>
      </c>
      <c r="AD1787" t="s">
        <v>168</v>
      </c>
      <c r="AE1787" t="s">
        <v>223</v>
      </c>
      <c r="AF1787">
        <v>5069</v>
      </c>
      <c r="AG1787" t="s">
        <v>219</v>
      </c>
      <c r="AI1787" t="s">
        <v>59</v>
      </c>
      <c r="AL1787" t="s">
        <v>1121</v>
      </c>
      <c r="AN1787" s="3">
        <v>46072.572222222225</v>
      </c>
      <c r="AO1787" t="s">
        <v>3989</v>
      </c>
    </row>
    <row r="1788" spans="1:41" x14ac:dyDescent="0.3">
      <c r="A1788" t="s">
        <v>41</v>
      </c>
      <c r="B1788" t="s">
        <v>632</v>
      </c>
      <c r="C1788" t="s">
        <v>296</v>
      </c>
      <c r="D1788" t="s">
        <v>246</v>
      </c>
      <c r="E1788" s="1">
        <v>46072</v>
      </c>
      <c r="F1788" t="s">
        <v>621</v>
      </c>
      <c r="G1788" t="s">
        <v>45</v>
      </c>
      <c r="H1788" s="2">
        <v>0.27083333333333331</v>
      </c>
      <c r="I1788" s="2">
        <v>0.625</v>
      </c>
      <c r="J1788" t="s">
        <v>296</v>
      </c>
      <c r="K1788" t="s">
        <v>2096</v>
      </c>
      <c r="L1788" t="s">
        <v>633</v>
      </c>
      <c r="M1788" t="s">
        <v>634</v>
      </c>
      <c r="N1788" t="s">
        <v>635</v>
      </c>
      <c r="O1788">
        <v>402532</v>
      </c>
      <c r="Q1788" t="s">
        <v>2098</v>
      </c>
      <c r="R1788" t="s">
        <v>51</v>
      </c>
      <c r="S1788" t="s">
        <v>119</v>
      </c>
      <c r="T1788" t="s">
        <v>414</v>
      </c>
      <c r="U1788">
        <v>891597</v>
      </c>
      <c r="V1788" s="3">
        <v>46063.541666666664</v>
      </c>
      <c r="W1788" t="s">
        <v>637</v>
      </c>
      <c r="X1788" t="s">
        <v>638</v>
      </c>
      <c r="Y1788" t="str">
        <f>"0433474014"</f>
        <v>0433474014</v>
      </c>
      <c r="Z1788" t="s">
        <v>527</v>
      </c>
      <c r="AB1788" t="s">
        <v>640</v>
      </c>
      <c r="AD1788" t="s">
        <v>41</v>
      </c>
      <c r="AE1788" t="s">
        <v>641</v>
      </c>
      <c r="AF1788">
        <v>4305</v>
      </c>
      <c r="AG1788" t="s">
        <v>2098</v>
      </c>
      <c r="AI1788" t="s">
        <v>59</v>
      </c>
      <c r="AL1788" t="s">
        <v>1407</v>
      </c>
      <c r="AN1788" s="3">
        <v>46064.34097222222</v>
      </c>
      <c r="AO1788" t="s">
        <v>51</v>
      </c>
    </row>
    <row r="1789" spans="1:41" x14ac:dyDescent="0.3">
      <c r="A1789" t="s">
        <v>61</v>
      </c>
      <c r="B1789" t="s">
        <v>62</v>
      </c>
      <c r="C1789" t="s">
        <v>43</v>
      </c>
      <c r="D1789" t="s">
        <v>63</v>
      </c>
      <c r="E1789" s="1">
        <v>46072</v>
      </c>
      <c r="F1789" t="s">
        <v>621</v>
      </c>
      <c r="G1789" t="s">
        <v>45</v>
      </c>
      <c r="H1789" s="2">
        <v>0.27083333333333331</v>
      </c>
      <c r="I1789" s="2">
        <v>0.99861111111111112</v>
      </c>
      <c r="J1789" t="s">
        <v>101</v>
      </c>
      <c r="L1789" t="s">
        <v>159</v>
      </c>
      <c r="M1789" t="s">
        <v>645</v>
      </c>
      <c r="N1789" t="s">
        <v>646</v>
      </c>
      <c r="O1789">
        <v>5950942</v>
      </c>
      <c r="Q1789" t="s">
        <v>73</v>
      </c>
      <c r="R1789" t="s">
        <v>132</v>
      </c>
      <c r="S1789" t="s">
        <v>52</v>
      </c>
      <c r="U1789">
        <v>891154</v>
      </c>
      <c r="V1789" s="3">
        <v>46062.446527777778</v>
      </c>
      <c r="W1789" t="s">
        <v>647</v>
      </c>
      <c r="X1789" t="s">
        <v>648</v>
      </c>
      <c r="Y1789" t="str">
        <f>"0411463760"</f>
        <v>0411463760</v>
      </c>
      <c r="Z1789" t="s">
        <v>290</v>
      </c>
      <c r="AB1789" t="s">
        <v>71</v>
      </c>
      <c r="AD1789" t="s">
        <v>61</v>
      </c>
      <c r="AE1789" t="s">
        <v>72</v>
      </c>
      <c r="AF1789">
        <v>2747</v>
      </c>
      <c r="AG1789" t="s">
        <v>73</v>
      </c>
      <c r="AI1789" t="s">
        <v>59</v>
      </c>
      <c r="AL1789" t="s">
        <v>4309</v>
      </c>
      <c r="AN1789" s="3">
        <v>46072.779861111114</v>
      </c>
      <c r="AO1789" t="s">
        <v>647</v>
      </c>
    </row>
    <row r="1790" spans="1:41" x14ac:dyDescent="0.3">
      <c r="A1790" t="s">
        <v>61</v>
      </c>
      <c r="B1790" t="s">
        <v>62</v>
      </c>
      <c r="C1790" t="s">
        <v>43</v>
      </c>
      <c r="D1790" t="s">
        <v>63</v>
      </c>
      <c r="E1790" s="1">
        <v>46072</v>
      </c>
      <c r="F1790" t="s">
        <v>621</v>
      </c>
      <c r="G1790" t="s">
        <v>45</v>
      </c>
      <c r="H1790" s="2">
        <v>0.27083333333333331</v>
      </c>
      <c r="I1790" s="2">
        <v>0.99861111111111112</v>
      </c>
      <c r="J1790" t="s">
        <v>185</v>
      </c>
      <c r="L1790" t="s">
        <v>790</v>
      </c>
      <c r="M1790" t="s">
        <v>791</v>
      </c>
      <c r="N1790" t="s">
        <v>792</v>
      </c>
      <c r="O1790">
        <v>5952334</v>
      </c>
      <c r="Q1790" t="s">
        <v>4310</v>
      </c>
      <c r="R1790" t="s">
        <v>67</v>
      </c>
      <c r="S1790" t="s">
        <v>52</v>
      </c>
      <c r="U1790">
        <v>891149</v>
      </c>
      <c r="V1790" s="3">
        <v>46066.414583333331</v>
      </c>
      <c r="W1790" t="s">
        <v>793</v>
      </c>
      <c r="X1790" t="s">
        <v>794</v>
      </c>
      <c r="Y1790" t="str">
        <f>"0422273393"</f>
        <v>0422273393</v>
      </c>
      <c r="Z1790" t="s">
        <v>503</v>
      </c>
      <c r="AB1790" t="s">
        <v>71</v>
      </c>
      <c r="AD1790" t="s">
        <v>61</v>
      </c>
      <c r="AE1790" t="s">
        <v>72</v>
      </c>
      <c r="AF1790">
        <v>2747</v>
      </c>
      <c r="AG1790" t="s">
        <v>73</v>
      </c>
      <c r="AI1790" t="s">
        <v>59</v>
      </c>
      <c r="AL1790" t="s">
        <v>4311</v>
      </c>
      <c r="AN1790" s="3">
        <v>46072.770833333336</v>
      </c>
      <c r="AO1790" t="s">
        <v>793</v>
      </c>
    </row>
    <row r="1791" spans="1:41" x14ac:dyDescent="0.3">
      <c r="A1791" t="s">
        <v>41</v>
      </c>
      <c r="B1791" t="s">
        <v>1284</v>
      </c>
      <c r="C1791" t="s">
        <v>1285</v>
      </c>
      <c r="D1791" t="s">
        <v>1286</v>
      </c>
      <c r="E1791" s="1">
        <v>46072</v>
      </c>
      <c r="F1791" t="s">
        <v>621</v>
      </c>
      <c r="G1791" t="s">
        <v>45</v>
      </c>
      <c r="H1791" s="2">
        <v>0.27083333333333331</v>
      </c>
      <c r="I1791" s="2">
        <v>0.625</v>
      </c>
      <c r="J1791" t="s">
        <v>1287</v>
      </c>
      <c r="L1791" t="s">
        <v>464</v>
      </c>
      <c r="M1791" t="s">
        <v>465</v>
      </c>
      <c r="N1791" t="s">
        <v>466</v>
      </c>
      <c r="O1791">
        <v>401722</v>
      </c>
      <c r="Q1791" t="s">
        <v>705</v>
      </c>
      <c r="R1791" t="s">
        <v>500</v>
      </c>
      <c r="S1791" t="s">
        <v>119</v>
      </c>
      <c r="T1791" t="s">
        <v>1932</v>
      </c>
      <c r="U1791">
        <v>891438</v>
      </c>
      <c r="V1791" s="3">
        <v>46071.986805555556</v>
      </c>
      <c r="W1791" t="s">
        <v>468</v>
      </c>
      <c r="X1791" t="s">
        <v>469</v>
      </c>
      <c r="Y1791" t="str">
        <f>"0423030872"</f>
        <v>0423030872</v>
      </c>
      <c r="Z1791" t="s">
        <v>70</v>
      </c>
      <c r="AB1791" t="s">
        <v>1288</v>
      </c>
      <c r="AD1791" t="s">
        <v>41</v>
      </c>
      <c r="AE1791" t="s">
        <v>150</v>
      </c>
      <c r="AF1791">
        <v>4000</v>
      </c>
      <c r="AI1791" t="s">
        <v>59</v>
      </c>
      <c r="AL1791" t="s">
        <v>4312</v>
      </c>
      <c r="AM1791" t="s">
        <v>4313</v>
      </c>
      <c r="AN1791" s="3">
        <v>46071.991666666669</v>
      </c>
      <c r="AO1791" t="s">
        <v>500</v>
      </c>
    </row>
    <row r="1792" spans="1:41" x14ac:dyDescent="0.3">
      <c r="A1792" t="s">
        <v>168</v>
      </c>
      <c r="B1792" t="s">
        <v>215</v>
      </c>
      <c r="C1792" t="s">
        <v>43</v>
      </c>
      <c r="D1792" t="s">
        <v>127</v>
      </c>
      <c r="E1792" s="1">
        <v>46072</v>
      </c>
      <c r="F1792" t="s">
        <v>621</v>
      </c>
      <c r="G1792" t="s">
        <v>45</v>
      </c>
      <c r="H1792" s="2">
        <v>0.27083333333333331</v>
      </c>
      <c r="I1792" s="2">
        <v>0.58333333333333337</v>
      </c>
      <c r="J1792" t="s">
        <v>258</v>
      </c>
      <c r="K1792" t="s">
        <v>259</v>
      </c>
      <c r="L1792" t="s">
        <v>186</v>
      </c>
      <c r="M1792" t="s">
        <v>651</v>
      </c>
      <c r="N1792" t="s">
        <v>412</v>
      </c>
      <c r="O1792">
        <v>21855</v>
      </c>
      <c r="Q1792" t="s">
        <v>219</v>
      </c>
      <c r="R1792" t="s">
        <v>556</v>
      </c>
      <c r="S1792" t="s">
        <v>52</v>
      </c>
      <c r="U1792">
        <v>891076</v>
      </c>
      <c r="V1792" s="3">
        <v>46057.04791666667</v>
      </c>
      <c r="W1792" t="s">
        <v>652</v>
      </c>
      <c r="X1792" t="s">
        <v>653</v>
      </c>
      <c r="Y1792" t="str">
        <f>"0407317111"</f>
        <v>0407317111</v>
      </c>
      <c r="Z1792" t="s">
        <v>70</v>
      </c>
      <c r="AA1792" s="1">
        <v>46072</v>
      </c>
      <c r="AB1792" t="s">
        <v>222</v>
      </c>
      <c r="AD1792" t="s">
        <v>168</v>
      </c>
      <c r="AE1792" t="s">
        <v>223</v>
      </c>
      <c r="AF1792">
        <v>5069</v>
      </c>
      <c r="AG1792" t="s">
        <v>219</v>
      </c>
      <c r="AI1792" t="s">
        <v>59</v>
      </c>
      <c r="AL1792" t="s">
        <v>1121</v>
      </c>
      <c r="AN1792" s="3">
        <v>46072.480555555558</v>
      </c>
      <c r="AO1792" t="s">
        <v>652</v>
      </c>
    </row>
    <row r="1793" spans="1:41" x14ac:dyDescent="0.3">
      <c r="A1793" t="s">
        <v>41</v>
      </c>
      <c r="B1793" t="s">
        <v>632</v>
      </c>
      <c r="C1793" t="s">
        <v>296</v>
      </c>
      <c r="D1793" t="s">
        <v>246</v>
      </c>
      <c r="E1793" s="1">
        <v>46072</v>
      </c>
      <c r="F1793" t="s">
        <v>621</v>
      </c>
      <c r="G1793" t="s">
        <v>45</v>
      </c>
      <c r="H1793" s="2">
        <v>0.27083333333333331</v>
      </c>
      <c r="I1793" s="2">
        <v>0.625</v>
      </c>
      <c r="J1793" t="s">
        <v>464</v>
      </c>
      <c r="K1793" t="s">
        <v>2096</v>
      </c>
      <c r="L1793" t="s">
        <v>2973</v>
      </c>
      <c r="M1793" t="s">
        <v>878</v>
      </c>
      <c r="N1793" t="s">
        <v>3897</v>
      </c>
      <c r="O1793">
        <v>5952447</v>
      </c>
      <c r="Q1793" t="s">
        <v>2098</v>
      </c>
      <c r="R1793" t="s">
        <v>51</v>
      </c>
      <c r="S1793" t="s">
        <v>52</v>
      </c>
      <c r="U1793">
        <v>891126</v>
      </c>
      <c r="V1793" s="3">
        <v>46063.55</v>
      </c>
      <c r="W1793" t="s">
        <v>3898</v>
      </c>
      <c r="X1793" t="s">
        <v>3899</v>
      </c>
      <c r="Y1793" t="str">
        <f>"0449504831"</f>
        <v>0449504831</v>
      </c>
      <c r="Z1793" t="s">
        <v>527</v>
      </c>
      <c r="AB1793" t="s">
        <v>640</v>
      </c>
      <c r="AD1793" t="s">
        <v>41</v>
      </c>
      <c r="AE1793" t="s">
        <v>641</v>
      </c>
      <c r="AF1793">
        <v>4305</v>
      </c>
      <c r="AG1793" t="s">
        <v>2098</v>
      </c>
      <c r="AI1793" t="s">
        <v>59</v>
      </c>
      <c r="AL1793" t="s">
        <v>1407</v>
      </c>
      <c r="AN1793" s="3">
        <v>46072.666666666664</v>
      </c>
      <c r="AO1793" t="s">
        <v>3898</v>
      </c>
    </row>
    <row r="1794" spans="1:41" x14ac:dyDescent="0.3">
      <c r="A1794" t="s">
        <v>168</v>
      </c>
      <c r="B1794" t="s">
        <v>376</v>
      </c>
      <c r="C1794" t="s">
        <v>43</v>
      </c>
      <c r="D1794" t="s">
        <v>127</v>
      </c>
      <c r="E1794" s="1">
        <v>46072</v>
      </c>
      <c r="F1794" t="s">
        <v>621</v>
      </c>
      <c r="G1794" t="s">
        <v>45</v>
      </c>
      <c r="H1794" s="2">
        <v>0.29166666666666669</v>
      </c>
      <c r="I1794" s="2">
        <v>0.5</v>
      </c>
      <c r="J1794" t="s">
        <v>185</v>
      </c>
      <c r="K1794" t="s">
        <v>678</v>
      </c>
      <c r="L1794" t="s">
        <v>186</v>
      </c>
      <c r="M1794" t="s">
        <v>1715</v>
      </c>
      <c r="N1794" t="s">
        <v>1716</v>
      </c>
      <c r="O1794">
        <v>5952401</v>
      </c>
      <c r="Q1794" t="s">
        <v>4314</v>
      </c>
      <c r="R1794" t="s">
        <v>231</v>
      </c>
      <c r="S1794" t="s">
        <v>52</v>
      </c>
      <c r="U1794">
        <v>891079</v>
      </c>
      <c r="V1794" s="3">
        <v>46044.380555555559</v>
      </c>
      <c r="W1794" t="s">
        <v>1717</v>
      </c>
      <c r="X1794" t="s">
        <v>1718</v>
      </c>
      <c r="Y1794" t="str">
        <f>"0498043204"</f>
        <v>0498043204</v>
      </c>
      <c r="Z1794" t="s">
        <v>1013</v>
      </c>
      <c r="AB1794" t="s">
        <v>383</v>
      </c>
      <c r="AD1794" t="s">
        <v>168</v>
      </c>
      <c r="AE1794" t="s">
        <v>384</v>
      </c>
      <c r="AF1794">
        <v>5000</v>
      </c>
      <c r="AG1794" t="s">
        <v>2997</v>
      </c>
      <c r="AI1794" t="s">
        <v>59</v>
      </c>
      <c r="AL1794" t="s">
        <v>4315</v>
      </c>
      <c r="AM1794" t="s">
        <v>3475</v>
      </c>
      <c r="AN1794" s="3">
        <v>46072.519444444442</v>
      </c>
      <c r="AO1794" t="s">
        <v>1717</v>
      </c>
    </row>
    <row r="1795" spans="1:41" x14ac:dyDescent="0.3">
      <c r="A1795" t="s">
        <v>306</v>
      </c>
      <c r="B1795" t="s">
        <v>2017</v>
      </c>
      <c r="C1795" t="s">
        <v>2018</v>
      </c>
      <c r="D1795" t="s">
        <v>700</v>
      </c>
      <c r="E1795" s="1">
        <v>46072</v>
      </c>
      <c r="F1795" t="s">
        <v>621</v>
      </c>
      <c r="G1795" t="s">
        <v>45</v>
      </c>
      <c r="H1795" s="2">
        <v>0.29166666666666669</v>
      </c>
      <c r="I1795" s="2">
        <v>0.625</v>
      </c>
      <c r="J1795" t="s">
        <v>1314</v>
      </c>
      <c r="L1795" t="s">
        <v>1337</v>
      </c>
      <c r="M1795" t="s">
        <v>4316</v>
      </c>
      <c r="N1795" t="s">
        <v>4317</v>
      </c>
      <c r="O1795">
        <v>20437</v>
      </c>
      <c r="Q1795" t="s">
        <v>2020</v>
      </c>
      <c r="R1795" t="s">
        <v>1248</v>
      </c>
      <c r="S1795" t="s">
        <v>119</v>
      </c>
      <c r="T1795" t="s">
        <v>1356</v>
      </c>
      <c r="U1795">
        <v>891605</v>
      </c>
      <c r="V1795" s="3">
        <v>46071.875</v>
      </c>
      <c r="W1795" t="s">
        <v>4318</v>
      </c>
      <c r="X1795" t="s">
        <v>4319</v>
      </c>
      <c r="Y1795" t="str">
        <f>"0424023858"</f>
        <v>0424023858</v>
      </c>
      <c r="Z1795" t="s">
        <v>70</v>
      </c>
      <c r="AB1795" t="s">
        <v>2021</v>
      </c>
      <c r="AD1795" t="s">
        <v>306</v>
      </c>
      <c r="AE1795" t="s">
        <v>2022</v>
      </c>
      <c r="AF1795">
        <v>3220</v>
      </c>
      <c r="AI1795" t="s">
        <v>59</v>
      </c>
      <c r="AL1795" t="s">
        <v>4320</v>
      </c>
      <c r="AM1795" t="s">
        <v>4321</v>
      </c>
      <c r="AN1795" s="3">
        <v>46071.875</v>
      </c>
      <c r="AO1795" t="s">
        <v>4318</v>
      </c>
    </row>
    <row r="1796" spans="1:41" x14ac:dyDescent="0.3">
      <c r="A1796" t="s">
        <v>306</v>
      </c>
      <c r="B1796" t="s">
        <v>820</v>
      </c>
      <c r="C1796" t="s">
        <v>100</v>
      </c>
      <c r="D1796" t="s">
        <v>127</v>
      </c>
      <c r="E1796" s="1">
        <v>46072</v>
      </c>
      <c r="F1796" t="s">
        <v>621</v>
      </c>
      <c r="G1796" t="s">
        <v>45</v>
      </c>
      <c r="H1796" s="2">
        <v>0.29166666666666669</v>
      </c>
      <c r="I1796" s="2">
        <v>0.72916666666666663</v>
      </c>
      <c r="J1796" t="s">
        <v>451</v>
      </c>
      <c r="L1796" t="s">
        <v>452</v>
      </c>
      <c r="M1796" t="s">
        <v>821</v>
      </c>
      <c r="N1796" t="s">
        <v>822</v>
      </c>
      <c r="O1796">
        <v>20712</v>
      </c>
      <c r="Q1796" t="s">
        <v>823</v>
      </c>
      <c r="R1796" t="s">
        <v>476</v>
      </c>
      <c r="S1796" t="s">
        <v>52</v>
      </c>
      <c r="U1796">
        <v>891146</v>
      </c>
      <c r="V1796" s="3">
        <v>46062.564583333333</v>
      </c>
      <c r="W1796" t="s">
        <v>824</v>
      </c>
      <c r="X1796" t="s">
        <v>825</v>
      </c>
      <c r="Y1796" t="str">
        <f>"0439419256"</f>
        <v>0439419256</v>
      </c>
      <c r="Z1796" t="s">
        <v>70</v>
      </c>
      <c r="AA1796" s="1">
        <v>46072</v>
      </c>
      <c r="AB1796" t="s">
        <v>826</v>
      </c>
      <c r="AD1796" t="s">
        <v>306</v>
      </c>
      <c r="AE1796" t="s">
        <v>827</v>
      </c>
      <c r="AF1796">
        <v>3181</v>
      </c>
      <c r="AG1796" t="s">
        <v>823</v>
      </c>
      <c r="AI1796" t="s">
        <v>59</v>
      </c>
      <c r="AL1796" t="s">
        <v>87</v>
      </c>
      <c r="AN1796" s="3">
        <v>46072.765277777777</v>
      </c>
      <c r="AO1796" t="s">
        <v>824</v>
      </c>
    </row>
    <row r="1797" spans="1:41" x14ac:dyDescent="0.3">
      <c r="A1797" t="s">
        <v>41</v>
      </c>
      <c r="B1797" t="s">
        <v>3741</v>
      </c>
      <c r="C1797" t="s">
        <v>43</v>
      </c>
      <c r="D1797" t="s">
        <v>63</v>
      </c>
      <c r="E1797" s="1">
        <v>46072</v>
      </c>
      <c r="F1797" t="s">
        <v>621</v>
      </c>
      <c r="G1797" t="s">
        <v>45</v>
      </c>
      <c r="H1797" s="2">
        <v>0.29166666666666669</v>
      </c>
      <c r="I1797" s="2">
        <v>0.54166666666666663</v>
      </c>
      <c r="J1797" t="s">
        <v>185</v>
      </c>
      <c r="K1797" t="s">
        <v>678</v>
      </c>
      <c r="L1797" t="s">
        <v>186</v>
      </c>
      <c r="M1797" t="s">
        <v>1558</v>
      </c>
      <c r="N1797" t="s">
        <v>1055</v>
      </c>
      <c r="O1797">
        <v>5952442</v>
      </c>
      <c r="Q1797" t="s">
        <v>4322</v>
      </c>
      <c r="R1797" t="s">
        <v>723</v>
      </c>
      <c r="S1797" t="s">
        <v>52</v>
      </c>
      <c r="U1797">
        <v>891102</v>
      </c>
      <c r="V1797" s="3">
        <v>46069.524305555555</v>
      </c>
      <c r="W1797" t="s">
        <v>1560</v>
      </c>
      <c r="X1797" t="s">
        <v>1561</v>
      </c>
      <c r="Y1797" t="str">
        <f>"0459639482"</f>
        <v>0459639482</v>
      </c>
      <c r="Z1797" t="s">
        <v>503</v>
      </c>
      <c r="AA1797" s="1">
        <v>46072</v>
      </c>
      <c r="AB1797" t="s">
        <v>3748</v>
      </c>
      <c r="AD1797" t="s">
        <v>41</v>
      </c>
      <c r="AE1797" t="s">
        <v>3749</v>
      </c>
      <c r="AF1797">
        <v>4021</v>
      </c>
      <c r="AG1797" t="s">
        <v>4323</v>
      </c>
      <c r="AI1797" t="s">
        <v>59</v>
      </c>
      <c r="AL1797" t="s">
        <v>4324</v>
      </c>
      <c r="AN1797" s="3">
        <v>46072.585416666669</v>
      </c>
      <c r="AO1797" t="s">
        <v>1560</v>
      </c>
    </row>
    <row r="1798" spans="1:41" x14ac:dyDescent="0.3">
      <c r="A1798" t="s">
        <v>41</v>
      </c>
      <c r="B1798" t="s">
        <v>589</v>
      </c>
      <c r="C1798" t="s">
        <v>590</v>
      </c>
      <c r="D1798" t="s">
        <v>246</v>
      </c>
      <c r="E1798" s="1">
        <v>46072</v>
      </c>
      <c r="F1798" t="s">
        <v>621</v>
      </c>
      <c r="G1798" t="s">
        <v>45</v>
      </c>
      <c r="H1798" s="2">
        <v>0.29166666666666669</v>
      </c>
      <c r="I1798" s="2">
        <v>0.64583333333333337</v>
      </c>
      <c r="J1798" t="s">
        <v>591</v>
      </c>
      <c r="L1798" t="s">
        <v>592</v>
      </c>
      <c r="M1798" t="s">
        <v>593</v>
      </c>
      <c r="N1798" t="s">
        <v>594</v>
      </c>
      <c r="O1798">
        <v>5952427</v>
      </c>
      <c r="P1798" t="s">
        <v>249</v>
      </c>
      <c r="Q1798" t="s">
        <v>596</v>
      </c>
      <c r="R1798" t="s">
        <v>597</v>
      </c>
      <c r="S1798" t="s">
        <v>52</v>
      </c>
      <c r="T1798" t="s">
        <v>252</v>
      </c>
      <c r="U1798">
        <v>891431</v>
      </c>
      <c r="V1798" s="3">
        <v>46076.399305555555</v>
      </c>
      <c r="W1798" t="s">
        <v>597</v>
      </c>
      <c r="X1798" t="s">
        <v>598</v>
      </c>
      <c r="Y1798" t="str">
        <f>"0432677728"</f>
        <v>0432677728</v>
      </c>
      <c r="Z1798" t="s">
        <v>254</v>
      </c>
      <c r="AA1798" s="1">
        <v>46082</v>
      </c>
      <c r="AB1798" t="s">
        <v>599</v>
      </c>
      <c r="AC1798" t="s">
        <v>600</v>
      </c>
      <c r="AD1798" t="s">
        <v>41</v>
      </c>
      <c r="AE1798" t="s">
        <v>600</v>
      </c>
      <c r="AF1798">
        <v>4610</v>
      </c>
      <c r="AG1798" t="s">
        <v>3495</v>
      </c>
      <c r="AI1798" t="s">
        <v>59</v>
      </c>
      <c r="AJ1798" t="str">
        <f>"0050075752"</f>
        <v>0050075752</v>
      </c>
      <c r="AN1798" s="3">
        <v>46076.399305555555</v>
      </c>
      <c r="AO1798" t="s">
        <v>597</v>
      </c>
    </row>
    <row r="1799" spans="1:41" x14ac:dyDescent="0.3">
      <c r="A1799" t="s">
        <v>306</v>
      </c>
      <c r="B1799" t="s">
        <v>699</v>
      </c>
      <c r="C1799" t="s">
        <v>4325</v>
      </c>
      <c r="D1799" t="s">
        <v>700</v>
      </c>
      <c r="E1799" s="1">
        <v>46072</v>
      </c>
      <c r="F1799" t="s">
        <v>621</v>
      </c>
      <c r="G1799" t="s">
        <v>45</v>
      </c>
      <c r="H1799" s="2">
        <v>0.29166666666666669</v>
      </c>
      <c r="I1799" s="2">
        <v>0.8125</v>
      </c>
      <c r="J1799" t="s">
        <v>2948</v>
      </c>
      <c r="K1799" t="s">
        <v>750</v>
      </c>
      <c r="L1799" t="s">
        <v>531</v>
      </c>
      <c r="M1799" t="s">
        <v>1239</v>
      </c>
      <c r="N1799" t="s">
        <v>1240</v>
      </c>
      <c r="O1799">
        <v>5952284</v>
      </c>
      <c r="Q1799" t="s">
        <v>705</v>
      </c>
      <c r="R1799" t="s">
        <v>500</v>
      </c>
      <c r="S1799" t="s">
        <v>119</v>
      </c>
      <c r="T1799" t="s">
        <v>414</v>
      </c>
      <c r="U1799">
        <v>891503</v>
      </c>
      <c r="V1799" s="3">
        <v>46071.930555555555</v>
      </c>
      <c r="W1799" t="s">
        <v>1241</v>
      </c>
      <c r="X1799" t="s">
        <v>1242</v>
      </c>
      <c r="Y1799" t="str">
        <f>"0402086188"</f>
        <v>0402086188</v>
      </c>
      <c r="Z1799" t="s">
        <v>70</v>
      </c>
      <c r="AB1799" t="s">
        <v>708</v>
      </c>
      <c r="AD1799" t="s">
        <v>306</v>
      </c>
      <c r="AE1799" t="s">
        <v>709</v>
      </c>
      <c r="AF1799">
        <v>3806</v>
      </c>
      <c r="AI1799" t="s">
        <v>59</v>
      </c>
      <c r="AL1799" t="s">
        <v>4326</v>
      </c>
      <c r="AM1799" t="s">
        <v>4327</v>
      </c>
      <c r="AN1799" s="3">
        <v>46071.943749999999</v>
      </c>
      <c r="AO1799" t="s">
        <v>500</v>
      </c>
    </row>
    <row r="1800" spans="1:41" x14ac:dyDescent="0.3">
      <c r="A1800" t="s">
        <v>61</v>
      </c>
      <c r="B1800" t="s">
        <v>1462</v>
      </c>
      <c r="C1800" t="s">
        <v>296</v>
      </c>
      <c r="D1800" t="s">
        <v>90</v>
      </c>
      <c r="E1800" s="1">
        <v>46072</v>
      </c>
      <c r="F1800" t="s">
        <v>621</v>
      </c>
      <c r="G1800" t="s">
        <v>45</v>
      </c>
      <c r="H1800" s="2">
        <v>0.29166666666666669</v>
      </c>
      <c r="I1800" s="2">
        <v>0.60416666666666663</v>
      </c>
      <c r="J1800" t="s">
        <v>296</v>
      </c>
      <c r="L1800" t="s">
        <v>47</v>
      </c>
      <c r="M1800" t="s">
        <v>2657</v>
      </c>
      <c r="N1800" t="s">
        <v>933</v>
      </c>
      <c r="O1800">
        <v>5952318</v>
      </c>
      <c r="Q1800" t="s">
        <v>2875</v>
      </c>
      <c r="R1800" t="s">
        <v>67</v>
      </c>
      <c r="S1800" t="s">
        <v>119</v>
      </c>
      <c r="U1800">
        <v>891616</v>
      </c>
      <c r="V1800" s="3">
        <v>46070.446527777778</v>
      </c>
      <c r="W1800" t="s">
        <v>2659</v>
      </c>
      <c r="X1800" t="s">
        <v>2660</v>
      </c>
      <c r="Y1800" t="str">
        <f>"1111111111"</f>
        <v>1111111111</v>
      </c>
      <c r="Z1800" t="s">
        <v>254</v>
      </c>
      <c r="AB1800" t="s">
        <v>1468</v>
      </c>
      <c r="AD1800" t="s">
        <v>61</v>
      </c>
      <c r="AE1800" t="s">
        <v>1469</v>
      </c>
      <c r="AF1800">
        <v>2060</v>
      </c>
      <c r="AG1800" t="s">
        <v>2126</v>
      </c>
      <c r="AI1800" t="s">
        <v>59</v>
      </c>
      <c r="AL1800" t="s">
        <v>4328</v>
      </c>
      <c r="AN1800" s="3">
        <v>46071.533333333333</v>
      </c>
      <c r="AO1800" t="s">
        <v>67</v>
      </c>
    </row>
    <row r="1801" spans="1:41" x14ac:dyDescent="0.3">
      <c r="A1801" t="s">
        <v>61</v>
      </c>
      <c r="B1801" t="s">
        <v>1271</v>
      </c>
      <c r="C1801" t="s">
        <v>1272</v>
      </c>
      <c r="D1801" t="s">
        <v>184</v>
      </c>
      <c r="E1801" s="1">
        <v>46072</v>
      </c>
      <c r="F1801" t="s">
        <v>621</v>
      </c>
      <c r="G1801" t="s">
        <v>45</v>
      </c>
      <c r="H1801" s="2">
        <v>0.29166666666666669</v>
      </c>
      <c r="I1801" s="2">
        <v>0.64583333333333337</v>
      </c>
      <c r="J1801" t="s">
        <v>590</v>
      </c>
      <c r="L1801" t="s">
        <v>487</v>
      </c>
      <c r="M1801" t="s">
        <v>1273</v>
      </c>
      <c r="N1801" t="s">
        <v>1274</v>
      </c>
      <c r="O1801">
        <v>5950810</v>
      </c>
      <c r="Q1801" t="s">
        <v>1275</v>
      </c>
      <c r="R1801" t="s">
        <v>208</v>
      </c>
      <c r="S1801" t="s">
        <v>52</v>
      </c>
      <c r="U1801">
        <v>891124</v>
      </c>
      <c r="V1801" s="3">
        <v>46067.69027777778</v>
      </c>
      <c r="W1801" t="s">
        <v>1276</v>
      </c>
      <c r="X1801" t="s">
        <v>1277</v>
      </c>
      <c r="Y1801" t="str">
        <f>"0405246691"</f>
        <v>0405246691</v>
      </c>
      <c r="Z1801" t="s">
        <v>585</v>
      </c>
      <c r="AB1801" t="s">
        <v>1278</v>
      </c>
      <c r="AD1801" t="s">
        <v>61</v>
      </c>
      <c r="AE1801" t="s">
        <v>1279</v>
      </c>
      <c r="AF1801">
        <v>2145</v>
      </c>
      <c r="AG1801" t="s">
        <v>1275</v>
      </c>
      <c r="AI1801" t="s">
        <v>59</v>
      </c>
      <c r="AL1801" t="s">
        <v>4329</v>
      </c>
      <c r="AN1801" s="3">
        <v>46072.636111111111</v>
      </c>
      <c r="AO1801" t="s">
        <v>1276</v>
      </c>
    </row>
    <row r="1802" spans="1:41" x14ac:dyDescent="0.3">
      <c r="A1802" t="s">
        <v>61</v>
      </c>
      <c r="B1802" t="s">
        <v>1441</v>
      </c>
      <c r="C1802" t="s">
        <v>43</v>
      </c>
      <c r="D1802" t="s">
        <v>127</v>
      </c>
      <c r="E1802" s="1">
        <v>46072</v>
      </c>
      <c r="F1802" t="s">
        <v>621</v>
      </c>
      <c r="G1802" t="s">
        <v>45</v>
      </c>
      <c r="H1802" s="2">
        <v>0.29166666666666669</v>
      </c>
      <c r="I1802" s="2">
        <v>0.625</v>
      </c>
      <c r="J1802" t="s">
        <v>185</v>
      </c>
      <c r="K1802" t="s">
        <v>1442</v>
      </c>
      <c r="L1802" t="s">
        <v>186</v>
      </c>
      <c r="M1802" t="s">
        <v>777</v>
      </c>
      <c r="N1802" t="s">
        <v>778</v>
      </c>
      <c r="O1802">
        <v>5952331</v>
      </c>
      <c r="P1802">
        <v>474510</v>
      </c>
      <c r="Q1802" t="s">
        <v>4330</v>
      </c>
      <c r="R1802" t="s">
        <v>67</v>
      </c>
      <c r="S1802" t="s">
        <v>52</v>
      </c>
      <c r="U1802">
        <v>891118</v>
      </c>
      <c r="V1802" s="3">
        <v>46042.453472222223</v>
      </c>
      <c r="W1802" t="s">
        <v>780</v>
      </c>
      <c r="X1802" t="s">
        <v>781</v>
      </c>
      <c r="Y1802" t="str">
        <f>"0478730906"</f>
        <v>0478730906</v>
      </c>
      <c r="Z1802" t="s">
        <v>550</v>
      </c>
      <c r="AB1802" t="s">
        <v>1444</v>
      </c>
      <c r="AD1802" t="s">
        <v>61</v>
      </c>
      <c r="AE1802" t="s">
        <v>1445</v>
      </c>
      <c r="AF1802">
        <v>2100</v>
      </c>
      <c r="AG1802" t="s">
        <v>4331</v>
      </c>
      <c r="AI1802" t="s">
        <v>59</v>
      </c>
      <c r="AL1802" t="s">
        <v>4332</v>
      </c>
      <c r="AN1802" s="3">
        <v>46072.625694444447</v>
      </c>
      <c r="AO1802" t="s">
        <v>780</v>
      </c>
    </row>
    <row r="1803" spans="1:41" x14ac:dyDescent="0.3">
      <c r="A1803" t="s">
        <v>41</v>
      </c>
      <c r="B1803" t="s">
        <v>1452</v>
      </c>
      <c r="D1803" t="s">
        <v>246</v>
      </c>
      <c r="E1803" s="1">
        <v>46072</v>
      </c>
      <c r="F1803" t="s">
        <v>621</v>
      </c>
      <c r="G1803" t="s">
        <v>45</v>
      </c>
      <c r="H1803" s="2">
        <v>0.29166666666666669</v>
      </c>
      <c r="I1803" s="2">
        <v>0.64583333333333337</v>
      </c>
      <c r="J1803" t="s">
        <v>296</v>
      </c>
      <c r="L1803" t="s">
        <v>1453</v>
      </c>
      <c r="M1803" t="s">
        <v>1454</v>
      </c>
      <c r="N1803" t="s">
        <v>1455</v>
      </c>
      <c r="O1803">
        <v>5951941</v>
      </c>
      <c r="Q1803" t="s">
        <v>1456</v>
      </c>
      <c r="R1803" t="s">
        <v>1457</v>
      </c>
      <c r="S1803" t="s">
        <v>52</v>
      </c>
      <c r="T1803" t="s">
        <v>252</v>
      </c>
      <c r="U1803">
        <v>891623</v>
      </c>
      <c r="V1803" s="3">
        <v>46077.590277777781</v>
      </c>
      <c r="W1803" t="s">
        <v>1457</v>
      </c>
      <c r="X1803" t="s">
        <v>1458</v>
      </c>
      <c r="Y1803" t="str">
        <f>"0413847722"</f>
        <v>0413847722</v>
      </c>
      <c r="Z1803" t="s">
        <v>395</v>
      </c>
      <c r="AA1803" s="1">
        <v>46097</v>
      </c>
      <c r="AB1803" t="s">
        <v>1459</v>
      </c>
      <c r="AD1803" t="s">
        <v>41</v>
      </c>
      <c r="AE1803" t="s">
        <v>1460</v>
      </c>
      <c r="AF1803">
        <v>4740</v>
      </c>
      <c r="AG1803" t="s">
        <v>4001</v>
      </c>
      <c r="AI1803" t="s">
        <v>59</v>
      </c>
      <c r="AJ1803" t="str">
        <f>"0050076628"</f>
        <v>0050076628</v>
      </c>
      <c r="AN1803" s="3">
        <v>46077.590277777781</v>
      </c>
      <c r="AO1803" t="s">
        <v>1457</v>
      </c>
    </row>
    <row r="1804" spans="1:41" x14ac:dyDescent="0.3">
      <c r="A1804" t="s">
        <v>61</v>
      </c>
      <c r="B1804" t="s">
        <v>655</v>
      </c>
      <c r="C1804" t="s">
        <v>43</v>
      </c>
      <c r="D1804" t="s">
        <v>656</v>
      </c>
      <c r="E1804" s="1">
        <v>46072</v>
      </c>
      <c r="F1804" t="s">
        <v>621</v>
      </c>
      <c r="G1804" t="s">
        <v>45</v>
      </c>
      <c r="H1804" s="2">
        <v>0.29166666666666669</v>
      </c>
      <c r="I1804" s="2">
        <v>0.99861111111111112</v>
      </c>
      <c r="J1804" t="s">
        <v>101</v>
      </c>
      <c r="L1804" t="s">
        <v>47</v>
      </c>
      <c r="M1804" t="s">
        <v>785</v>
      </c>
      <c r="N1804" t="s">
        <v>905</v>
      </c>
      <c r="O1804">
        <v>5950885</v>
      </c>
      <c r="Q1804" t="s">
        <v>665</v>
      </c>
      <c r="R1804" t="s">
        <v>67</v>
      </c>
      <c r="S1804" t="s">
        <v>52</v>
      </c>
      <c r="U1804">
        <v>891129</v>
      </c>
      <c r="V1804" s="3">
        <v>46042.432638888888</v>
      </c>
      <c r="W1804" t="s">
        <v>906</v>
      </c>
      <c r="X1804" t="s">
        <v>907</v>
      </c>
      <c r="Y1804" t="str">
        <f>"0421650139"</f>
        <v>0421650139</v>
      </c>
      <c r="Z1804" t="s">
        <v>2135</v>
      </c>
      <c r="AB1804" t="s">
        <v>662</v>
      </c>
      <c r="AC1804" t="s">
        <v>663</v>
      </c>
      <c r="AD1804" t="s">
        <v>61</v>
      </c>
      <c r="AE1804" t="s">
        <v>664</v>
      </c>
      <c r="AF1804">
        <v>2067</v>
      </c>
      <c r="AG1804" t="s">
        <v>665</v>
      </c>
      <c r="AI1804" t="s">
        <v>59</v>
      </c>
      <c r="AL1804" t="s">
        <v>4333</v>
      </c>
      <c r="AN1804" s="3">
        <v>46072.678472222222</v>
      </c>
      <c r="AO1804" t="s">
        <v>906</v>
      </c>
    </row>
    <row r="1805" spans="1:41" x14ac:dyDescent="0.3">
      <c r="A1805" t="s">
        <v>61</v>
      </c>
      <c r="B1805" t="s">
        <v>62</v>
      </c>
      <c r="C1805" t="s">
        <v>43</v>
      </c>
      <c r="D1805" t="s">
        <v>63</v>
      </c>
      <c r="E1805" s="1">
        <v>46072</v>
      </c>
      <c r="F1805" t="s">
        <v>621</v>
      </c>
      <c r="G1805" t="s">
        <v>45</v>
      </c>
      <c r="H1805" s="2">
        <v>0.29166666666666669</v>
      </c>
      <c r="I1805" s="2">
        <v>0.99861111111111112</v>
      </c>
      <c r="J1805" t="s">
        <v>101</v>
      </c>
      <c r="L1805" t="s">
        <v>159</v>
      </c>
      <c r="M1805" t="s">
        <v>1746</v>
      </c>
      <c r="N1805" t="s">
        <v>1747</v>
      </c>
      <c r="O1805">
        <v>20760</v>
      </c>
      <c r="Q1805" t="s">
        <v>66</v>
      </c>
      <c r="R1805" t="s">
        <v>145</v>
      </c>
      <c r="S1805" t="s">
        <v>52</v>
      </c>
      <c r="U1805">
        <v>891137</v>
      </c>
      <c r="V1805" s="3">
        <v>46061.624305555553</v>
      </c>
      <c r="W1805" t="s">
        <v>1748</v>
      </c>
      <c r="X1805" t="s">
        <v>1749</v>
      </c>
      <c r="Y1805" t="str">
        <f>"0433858379"</f>
        <v>0433858379</v>
      </c>
      <c r="Z1805" t="s">
        <v>70</v>
      </c>
      <c r="AA1805" s="1">
        <v>46072</v>
      </c>
      <c r="AB1805" t="s">
        <v>71</v>
      </c>
      <c r="AD1805" t="s">
        <v>61</v>
      </c>
      <c r="AE1805" t="s">
        <v>72</v>
      </c>
      <c r="AF1805">
        <v>2747</v>
      </c>
      <c r="AG1805" t="s">
        <v>3769</v>
      </c>
      <c r="AI1805" t="s">
        <v>59</v>
      </c>
      <c r="AL1805" t="s">
        <v>4329</v>
      </c>
      <c r="AN1805" s="3">
        <v>46072.736805555556</v>
      </c>
      <c r="AO1805" t="s">
        <v>1748</v>
      </c>
    </row>
    <row r="1806" spans="1:41" x14ac:dyDescent="0.3">
      <c r="A1806" t="s">
        <v>41</v>
      </c>
      <c r="B1806" t="s">
        <v>965</v>
      </c>
      <c r="C1806" t="s">
        <v>43</v>
      </c>
      <c r="D1806" t="s">
        <v>966</v>
      </c>
      <c r="E1806" s="1">
        <v>46072</v>
      </c>
      <c r="F1806" t="s">
        <v>621</v>
      </c>
      <c r="G1806" t="s">
        <v>45</v>
      </c>
      <c r="H1806" s="2">
        <v>0.29166666666666669</v>
      </c>
      <c r="I1806" s="2">
        <v>0.64583333333333337</v>
      </c>
      <c r="J1806" t="s">
        <v>101</v>
      </c>
      <c r="L1806" t="s">
        <v>967</v>
      </c>
      <c r="M1806" t="s">
        <v>968</v>
      </c>
      <c r="N1806" t="s">
        <v>969</v>
      </c>
      <c r="O1806">
        <v>5952467</v>
      </c>
      <c r="Q1806" t="s">
        <v>1471</v>
      </c>
      <c r="R1806" t="s">
        <v>1472</v>
      </c>
      <c r="S1806" t="s">
        <v>52</v>
      </c>
      <c r="U1806">
        <v>891135</v>
      </c>
      <c r="V1806" s="3">
        <v>46063.439583333333</v>
      </c>
      <c r="W1806" t="s">
        <v>970</v>
      </c>
      <c r="X1806" t="s">
        <v>971</v>
      </c>
      <c r="Y1806" t="str">
        <f>"0433979184"</f>
        <v>0433979184</v>
      </c>
      <c r="Z1806" t="s">
        <v>1399</v>
      </c>
      <c r="AB1806" t="s">
        <v>972</v>
      </c>
      <c r="AD1806" t="s">
        <v>41</v>
      </c>
      <c r="AE1806" t="s">
        <v>973</v>
      </c>
      <c r="AF1806">
        <v>4068</v>
      </c>
      <c r="AG1806" t="s">
        <v>1471</v>
      </c>
      <c r="AI1806" t="s">
        <v>59</v>
      </c>
      <c r="AL1806" t="s">
        <v>3513</v>
      </c>
      <c r="AN1806" s="3">
        <v>46072.713888888888</v>
      </c>
      <c r="AO1806" t="s">
        <v>970</v>
      </c>
    </row>
    <row r="1807" spans="1:41" x14ac:dyDescent="0.3">
      <c r="A1807" t="s">
        <v>168</v>
      </c>
      <c r="B1807" t="s">
        <v>376</v>
      </c>
      <c r="C1807" t="s">
        <v>43</v>
      </c>
      <c r="D1807" t="s">
        <v>127</v>
      </c>
      <c r="E1807" s="1">
        <v>46072</v>
      </c>
      <c r="F1807" t="s">
        <v>621</v>
      </c>
      <c r="G1807" t="s">
        <v>45</v>
      </c>
      <c r="H1807" s="2">
        <v>0.29166666666666669</v>
      </c>
      <c r="I1807" s="2">
        <v>0.54166666666666663</v>
      </c>
      <c r="J1807" t="s">
        <v>185</v>
      </c>
      <c r="K1807" t="s">
        <v>2136</v>
      </c>
      <c r="L1807" t="s">
        <v>186</v>
      </c>
      <c r="M1807" t="s">
        <v>835</v>
      </c>
      <c r="N1807" t="s">
        <v>836</v>
      </c>
      <c r="O1807">
        <v>22947</v>
      </c>
      <c r="Q1807" t="s">
        <v>670</v>
      </c>
      <c r="R1807" t="s">
        <v>231</v>
      </c>
      <c r="S1807" t="s">
        <v>52</v>
      </c>
      <c r="U1807">
        <v>891081</v>
      </c>
      <c r="V1807" s="3">
        <v>46044.386111111111</v>
      </c>
      <c r="W1807" t="s">
        <v>837</v>
      </c>
      <c r="X1807" t="s">
        <v>838</v>
      </c>
      <c r="Y1807" t="str">
        <f>"0415626656"</f>
        <v>0415626656</v>
      </c>
      <c r="Z1807" t="s">
        <v>1635</v>
      </c>
      <c r="AA1807" s="1">
        <v>46072</v>
      </c>
      <c r="AB1807" t="s">
        <v>383</v>
      </c>
      <c r="AD1807" t="s">
        <v>168</v>
      </c>
      <c r="AE1807" t="s">
        <v>384</v>
      </c>
      <c r="AF1807">
        <v>5000</v>
      </c>
      <c r="AG1807" t="s">
        <v>2997</v>
      </c>
      <c r="AI1807" t="s">
        <v>59</v>
      </c>
      <c r="AL1807" t="s">
        <v>4334</v>
      </c>
      <c r="AN1807" s="3">
        <v>46072.556250000001</v>
      </c>
      <c r="AO1807" t="s">
        <v>837</v>
      </c>
    </row>
    <row r="1808" spans="1:41" x14ac:dyDescent="0.3">
      <c r="A1808" t="s">
        <v>61</v>
      </c>
      <c r="B1808" t="s">
        <v>768</v>
      </c>
      <c r="C1808" t="s">
        <v>2308</v>
      </c>
      <c r="D1808" t="s">
        <v>769</v>
      </c>
      <c r="E1808" s="1">
        <v>46072</v>
      </c>
      <c r="F1808" t="s">
        <v>621</v>
      </c>
      <c r="G1808" t="s">
        <v>45</v>
      </c>
      <c r="H1808" s="2">
        <v>0.29166666666666669</v>
      </c>
      <c r="I1808" s="2">
        <v>0.72916666666666663</v>
      </c>
      <c r="J1808" t="s">
        <v>185</v>
      </c>
      <c r="L1808" t="s">
        <v>186</v>
      </c>
      <c r="M1808" t="s">
        <v>1572</v>
      </c>
      <c r="N1808" t="s">
        <v>3140</v>
      </c>
      <c r="O1808">
        <v>5951715</v>
      </c>
      <c r="Q1808" t="s">
        <v>2311</v>
      </c>
      <c r="R1808" t="s">
        <v>67</v>
      </c>
      <c r="S1808" t="s">
        <v>52</v>
      </c>
      <c r="U1808">
        <v>891092</v>
      </c>
      <c r="V1808" s="3">
        <v>46071.382638888892</v>
      </c>
      <c r="W1808" t="s">
        <v>3141</v>
      </c>
      <c r="X1808" t="s">
        <v>3142</v>
      </c>
      <c r="Y1808" t="str">
        <f>"0417800140"</f>
        <v>0417800140</v>
      </c>
      <c r="Z1808" t="s">
        <v>545</v>
      </c>
      <c r="AA1808" s="1">
        <v>46072</v>
      </c>
      <c r="AB1808" t="s">
        <v>775</v>
      </c>
      <c r="AD1808" t="s">
        <v>61</v>
      </c>
      <c r="AE1808" t="s">
        <v>776</v>
      </c>
      <c r="AF1808">
        <v>2076</v>
      </c>
      <c r="AG1808" t="s">
        <v>2311</v>
      </c>
      <c r="AI1808" t="s">
        <v>59</v>
      </c>
      <c r="AL1808" t="s">
        <v>4335</v>
      </c>
      <c r="AN1808" s="3">
        <v>46072.557638888888</v>
      </c>
      <c r="AO1808" t="s">
        <v>3141</v>
      </c>
    </row>
    <row r="1809" spans="1:41" x14ac:dyDescent="0.3">
      <c r="A1809" t="s">
        <v>61</v>
      </c>
      <c r="B1809" t="s">
        <v>62</v>
      </c>
      <c r="C1809" t="s">
        <v>43</v>
      </c>
      <c r="D1809" t="s">
        <v>63</v>
      </c>
      <c r="E1809" s="1">
        <v>46072</v>
      </c>
      <c r="F1809" t="s">
        <v>621</v>
      </c>
      <c r="G1809" t="s">
        <v>45</v>
      </c>
      <c r="H1809" s="2">
        <v>0.29166666666666669</v>
      </c>
      <c r="I1809" s="2">
        <v>0.99861111111111112</v>
      </c>
      <c r="J1809" t="s">
        <v>185</v>
      </c>
      <c r="L1809" t="s">
        <v>186</v>
      </c>
      <c r="M1809" t="s">
        <v>1474</v>
      </c>
      <c r="N1809" t="s">
        <v>1475</v>
      </c>
      <c r="O1809">
        <v>22552</v>
      </c>
      <c r="Q1809" t="s">
        <v>66</v>
      </c>
      <c r="R1809" t="s">
        <v>67</v>
      </c>
      <c r="S1809" t="s">
        <v>52</v>
      </c>
      <c r="U1809">
        <v>891138</v>
      </c>
      <c r="V1809" s="3">
        <v>46062.555555555555</v>
      </c>
      <c r="W1809" t="s">
        <v>1476</v>
      </c>
      <c r="X1809" t="s">
        <v>1477</v>
      </c>
      <c r="Y1809" t="str">
        <f>"0421669341"</f>
        <v>0421669341</v>
      </c>
      <c r="Z1809" t="s">
        <v>70</v>
      </c>
      <c r="AB1809" t="s">
        <v>71</v>
      </c>
      <c r="AD1809" t="s">
        <v>61</v>
      </c>
      <c r="AE1809" t="s">
        <v>72</v>
      </c>
      <c r="AF1809">
        <v>2747</v>
      </c>
      <c r="AG1809" t="s">
        <v>73</v>
      </c>
      <c r="AI1809" t="s">
        <v>59</v>
      </c>
      <c r="AL1809" t="s">
        <v>4329</v>
      </c>
      <c r="AN1809" s="3">
        <v>46072.737500000003</v>
      </c>
      <c r="AO1809" t="s">
        <v>1476</v>
      </c>
    </row>
    <row r="1810" spans="1:41" x14ac:dyDescent="0.3">
      <c r="A1810" t="s">
        <v>75</v>
      </c>
      <c r="B1810" t="s">
        <v>1971</v>
      </c>
      <c r="C1810" t="s">
        <v>1972</v>
      </c>
      <c r="D1810" t="s">
        <v>1971</v>
      </c>
      <c r="E1810" s="1">
        <v>46072</v>
      </c>
      <c r="F1810" t="s">
        <v>621</v>
      </c>
      <c r="G1810" t="s">
        <v>45</v>
      </c>
      <c r="H1810" s="2">
        <v>0.29166666666666669</v>
      </c>
      <c r="I1810" s="2">
        <v>0.79166666666666663</v>
      </c>
      <c r="J1810" t="s">
        <v>112</v>
      </c>
      <c r="K1810" t="s">
        <v>1973</v>
      </c>
      <c r="L1810" t="s">
        <v>114</v>
      </c>
      <c r="M1810" t="s">
        <v>1974</v>
      </c>
      <c r="N1810" t="s">
        <v>1975</v>
      </c>
      <c r="O1810">
        <v>22383</v>
      </c>
      <c r="Q1810" t="s">
        <v>1976</v>
      </c>
      <c r="R1810" t="s">
        <v>118</v>
      </c>
      <c r="S1810" t="s">
        <v>52</v>
      </c>
      <c r="U1810">
        <v>891101</v>
      </c>
      <c r="V1810" s="3">
        <v>46066.822222222225</v>
      </c>
      <c r="W1810" t="s">
        <v>1977</v>
      </c>
      <c r="X1810" t="s">
        <v>1978</v>
      </c>
      <c r="Y1810" t="str">
        <f>"0405795510"</f>
        <v>0405795510</v>
      </c>
      <c r="Z1810" t="s">
        <v>545</v>
      </c>
      <c r="AA1810" s="1">
        <v>46072</v>
      </c>
      <c r="AB1810" t="s">
        <v>1979</v>
      </c>
      <c r="AD1810" t="s">
        <v>75</v>
      </c>
      <c r="AE1810" t="s">
        <v>125</v>
      </c>
      <c r="AF1810">
        <v>6017</v>
      </c>
      <c r="AG1810" t="s">
        <v>1976</v>
      </c>
      <c r="AI1810" t="s">
        <v>59</v>
      </c>
      <c r="AN1810" s="3">
        <v>46072.580555555556</v>
      </c>
      <c r="AO1810" t="s">
        <v>1977</v>
      </c>
    </row>
    <row r="1811" spans="1:41" x14ac:dyDescent="0.3">
      <c r="A1811" t="s">
        <v>306</v>
      </c>
      <c r="B1811" t="s">
        <v>528</v>
      </c>
      <c r="C1811" t="s">
        <v>1523</v>
      </c>
      <c r="D1811" t="s">
        <v>63</v>
      </c>
      <c r="E1811" s="1">
        <v>46072</v>
      </c>
      <c r="F1811" t="s">
        <v>621</v>
      </c>
      <c r="G1811" t="s">
        <v>45</v>
      </c>
      <c r="H1811" s="2">
        <v>0.29166666666666669</v>
      </c>
      <c r="I1811" s="2">
        <v>0.60416666666666663</v>
      </c>
      <c r="J1811" t="s">
        <v>296</v>
      </c>
      <c r="L1811" t="s">
        <v>1753</v>
      </c>
      <c r="M1811" t="s">
        <v>1754</v>
      </c>
      <c r="N1811" t="s">
        <v>1755</v>
      </c>
      <c r="O1811">
        <v>20486</v>
      </c>
      <c r="Q1811" t="s">
        <v>2757</v>
      </c>
      <c r="R1811" t="s">
        <v>1248</v>
      </c>
      <c r="S1811" t="s">
        <v>52</v>
      </c>
      <c r="U1811">
        <v>891105</v>
      </c>
      <c r="V1811" s="3">
        <v>46067.333333333336</v>
      </c>
      <c r="W1811" t="s">
        <v>1757</v>
      </c>
      <c r="X1811" t="s">
        <v>1758</v>
      </c>
      <c r="Y1811" t="str">
        <f>"0432381966"</f>
        <v>0432381966</v>
      </c>
      <c r="Z1811" t="s">
        <v>70</v>
      </c>
      <c r="AA1811" s="1">
        <v>46072</v>
      </c>
      <c r="AB1811" t="s">
        <v>537</v>
      </c>
      <c r="AD1811" t="s">
        <v>306</v>
      </c>
      <c r="AE1811" t="s">
        <v>538</v>
      </c>
      <c r="AF1811">
        <v>3152</v>
      </c>
      <c r="AG1811" t="s">
        <v>2757</v>
      </c>
      <c r="AI1811" t="s">
        <v>59</v>
      </c>
      <c r="AL1811" t="s">
        <v>370</v>
      </c>
      <c r="AN1811" s="3">
        <v>46072.606944444444</v>
      </c>
      <c r="AO1811" t="s">
        <v>1757</v>
      </c>
    </row>
    <row r="1812" spans="1:41" x14ac:dyDescent="0.3">
      <c r="A1812" t="s">
        <v>61</v>
      </c>
      <c r="B1812" t="s">
        <v>507</v>
      </c>
      <c r="D1812" t="s">
        <v>63</v>
      </c>
      <c r="E1812" s="1">
        <v>46072</v>
      </c>
      <c r="F1812" t="s">
        <v>621</v>
      </c>
      <c r="G1812" t="s">
        <v>45</v>
      </c>
      <c r="H1812" s="2">
        <v>0.29166666666666669</v>
      </c>
      <c r="I1812" s="2">
        <v>0.8125</v>
      </c>
      <c r="J1812" t="s">
        <v>296</v>
      </c>
      <c r="L1812" t="s">
        <v>728</v>
      </c>
      <c r="M1812" t="s">
        <v>729</v>
      </c>
      <c r="N1812" t="s">
        <v>730</v>
      </c>
      <c r="O1812">
        <v>5952035</v>
      </c>
      <c r="Q1812" t="s">
        <v>3005</v>
      </c>
      <c r="R1812" t="s">
        <v>67</v>
      </c>
      <c r="S1812" t="s">
        <v>52</v>
      </c>
      <c r="U1812">
        <v>891161</v>
      </c>
      <c r="V1812" s="3">
        <v>46062.590277777781</v>
      </c>
      <c r="W1812" t="s">
        <v>732</v>
      </c>
      <c r="X1812" t="s">
        <v>733</v>
      </c>
      <c r="Y1812" t="str">
        <f>"0498946862"</f>
        <v>0498946862</v>
      </c>
      <c r="Z1812" t="s">
        <v>734</v>
      </c>
      <c r="AB1812" t="s">
        <v>514</v>
      </c>
      <c r="AD1812" t="s">
        <v>61</v>
      </c>
      <c r="AE1812" t="s">
        <v>515</v>
      </c>
      <c r="AF1812">
        <v>2086</v>
      </c>
      <c r="AG1812" t="s">
        <v>516</v>
      </c>
      <c r="AI1812" t="s">
        <v>59</v>
      </c>
      <c r="AL1812" t="s">
        <v>4329</v>
      </c>
      <c r="AN1812" s="3">
        <v>46072.847222222219</v>
      </c>
      <c r="AO1812" t="s">
        <v>732</v>
      </c>
    </row>
    <row r="1813" spans="1:41" x14ac:dyDescent="0.3">
      <c r="A1813" t="s">
        <v>61</v>
      </c>
      <c r="B1813" t="s">
        <v>350</v>
      </c>
      <c r="C1813" t="s">
        <v>296</v>
      </c>
      <c r="D1813" t="s">
        <v>63</v>
      </c>
      <c r="E1813" s="1">
        <v>46072</v>
      </c>
      <c r="F1813" t="s">
        <v>621</v>
      </c>
      <c r="G1813" t="s">
        <v>45</v>
      </c>
      <c r="H1813" s="2">
        <v>0.29166666666666669</v>
      </c>
      <c r="I1813" s="2">
        <v>0.60416666666666663</v>
      </c>
      <c r="J1813" t="s">
        <v>296</v>
      </c>
      <c r="K1813" t="s">
        <v>3742</v>
      </c>
      <c r="L1813" t="s">
        <v>735</v>
      </c>
      <c r="M1813" t="s">
        <v>736</v>
      </c>
      <c r="N1813" t="s">
        <v>737</v>
      </c>
      <c r="O1813">
        <v>5952096</v>
      </c>
      <c r="Q1813" t="s">
        <v>4336</v>
      </c>
      <c r="R1813" t="s">
        <v>67</v>
      </c>
      <c r="S1813" t="s">
        <v>52</v>
      </c>
      <c r="U1813">
        <v>891106</v>
      </c>
      <c r="V1813" s="3">
        <v>46071.480555555558</v>
      </c>
      <c r="W1813" t="s">
        <v>739</v>
      </c>
      <c r="X1813" t="s">
        <v>740</v>
      </c>
      <c r="Y1813" t="str">
        <f>"0432227593"</f>
        <v>0432227593</v>
      </c>
      <c r="Z1813" t="s">
        <v>70</v>
      </c>
      <c r="AA1813" s="1">
        <v>46072</v>
      </c>
      <c r="AB1813" t="s">
        <v>356</v>
      </c>
      <c r="AD1813" t="s">
        <v>61</v>
      </c>
      <c r="AE1813" t="s">
        <v>357</v>
      </c>
      <c r="AF1813">
        <v>2153</v>
      </c>
      <c r="AG1813" t="s">
        <v>4337</v>
      </c>
      <c r="AI1813" t="s">
        <v>59</v>
      </c>
      <c r="AL1813" t="s">
        <v>4338</v>
      </c>
      <c r="AN1813" s="3">
        <v>46072.61041666667</v>
      </c>
      <c r="AO1813" t="s">
        <v>739</v>
      </c>
    </row>
    <row r="1814" spans="1:41" x14ac:dyDescent="0.3">
      <c r="A1814" t="s">
        <v>61</v>
      </c>
      <c r="B1814" t="s">
        <v>1271</v>
      </c>
      <c r="C1814" t="s">
        <v>1272</v>
      </c>
      <c r="D1814" t="s">
        <v>184</v>
      </c>
      <c r="E1814" s="1">
        <v>46072</v>
      </c>
      <c r="F1814" t="s">
        <v>621</v>
      </c>
      <c r="G1814" t="s">
        <v>45</v>
      </c>
      <c r="H1814" s="2">
        <v>0.29166666666666669</v>
      </c>
      <c r="I1814" s="2">
        <v>0.8125</v>
      </c>
      <c r="J1814" t="s">
        <v>486</v>
      </c>
      <c r="L1814" t="s">
        <v>487</v>
      </c>
      <c r="M1814" t="s">
        <v>596</v>
      </c>
      <c r="N1814" t="s">
        <v>1280</v>
      </c>
      <c r="O1814">
        <v>5952187</v>
      </c>
      <c r="Q1814" t="s">
        <v>1190</v>
      </c>
      <c r="R1814" t="s">
        <v>67</v>
      </c>
      <c r="S1814" t="s">
        <v>52</v>
      </c>
      <c r="U1814">
        <v>891158</v>
      </c>
      <c r="V1814" s="3">
        <v>46069.498611111114</v>
      </c>
      <c r="W1814" t="s">
        <v>1281</v>
      </c>
      <c r="X1814" t="s">
        <v>1282</v>
      </c>
      <c r="Y1814" t="str">
        <f>"0417203844"</f>
        <v>0417203844</v>
      </c>
      <c r="Z1814" t="s">
        <v>2653</v>
      </c>
      <c r="AB1814" t="s">
        <v>1278</v>
      </c>
      <c r="AD1814" t="s">
        <v>61</v>
      </c>
      <c r="AE1814" t="s">
        <v>1279</v>
      </c>
      <c r="AF1814">
        <v>2145</v>
      </c>
      <c r="AG1814" t="s">
        <v>1045</v>
      </c>
      <c r="AI1814" t="s">
        <v>59</v>
      </c>
      <c r="AL1814" t="s">
        <v>4329</v>
      </c>
      <c r="AN1814" s="3">
        <v>46072.80972222222</v>
      </c>
      <c r="AO1814" t="s">
        <v>1281</v>
      </c>
    </row>
    <row r="1815" spans="1:41" x14ac:dyDescent="0.3">
      <c r="A1815" t="s">
        <v>168</v>
      </c>
      <c r="B1815" t="s">
        <v>1178</v>
      </c>
      <c r="C1815" t="s">
        <v>1150</v>
      </c>
      <c r="D1815" t="s">
        <v>127</v>
      </c>
      <c r="E1815" s="1">
        <v>46072</v>
      </c>
      <c r="F1815" t="s">
        <v>621</v>
      </c>
      <c r="G1815" t="s">
        <v>45</v>
      </c>
      <c r="H1815" s="2">
        <v>0.29166666666666669</v>
      </c>
      <c r="I1815" s="2">
        <v>0.625</v>
      </c>
      <c r="J1815" t="s">
        <v>101</v>
      </c>
      <c r="L1815" t="s">
        <v>743</v>
      </c>
      <c r="M1815" t="s">
        <v>1886</v>
      </c>
      <c r="N1815" t="s">
        <v>1887</v>
      </c>
      <c r="O1815">
        <v>5952367</v>
      </c>
      <c r="Q1815" t="s">
        <v>2294</v>
      </c>
      <c r="R1815" t="s">
        <v>1248</v>
      </c>
      <c r="S1815" t="s">
        <v>52</v>
      </c>
      <c r="U1815">
        <v>891125</v>
      </c>
      <c r="V1815" s="3">
        <v>46071.938888888886</v>
      </c>
      <c r="W1815" t="s">
        <v>1888</v>
      </c>
      <c r="X1815" t="s">
        <v>1889</v>
      </c>
      <c r="Y1815" t="str">
        <f>"0468596772"</f>
        <v>0468596772</v>
      </c>
      <c r="Z1815" t="s">
        <v>70</v>
      </c>
      <c r="AA1815" s="1">
        <v>46072</v>
      </c>
      <c r="AB1815" t="s">
        <v>1184</v>
      </c>
      <c r="AD1815" t="s">
        <v>168</v>
      </c>
      <c r="AE1815" t="s">
        <v>1185</v>
      </c>
      <c r="AF1815">
        <v>5066</v>
      </c>
      <c r="AG1815" t="s">
        <v>988</v>
      </c>
      <c r="AI1815" t="s">
        <v>59</v>
      </c>
      <c r="AL1815" t="s">
        <v>4339</v>
      </c>
      <c r="AN1815" s="3">
        <v>46072.647222222222</v>
      </c>
      <c r="AO1815" t="s">
        <v>1888</v>
      </c>
    </row>
    <row r="1816" spans="1:41" x14ac:dyDescent="0.3">
      <c r="A1816" t="s">
        <v>168</v>
      </c>
      <c r="B1816" t="s">
        <v>441</v>
      </c>
      <c r="C1816" t="s">
        <v>296</v>
      </c>
      <c r="E1816" s="1">
        <v>46072</v>
      </c>
      <c r="F1816" t="s">
        <v>621</v>
      </c>
      <c r="G1816" t="s">
        <v>45</v>
      </c>
      <c r="H1816" s="2">
        <v>0.29166666666666669</v>
      </c>
      <c r="I1816" s="2">
        <v>0.45833333333333331</v>
      </c>
      <c r="J1816" t="s">
        <v>296</v>
      </c>
      <c r="K1816" t="s">
        <v>360</v>
      </c>
      <c r="L1816" t="s">
        <v>298</v>
      </c>
      <c r="M1816" t="s">
        <v>442</v>
      </c>
      <c r="N1816" t="s">
        <v>443</v>
      </c>
      <c r="O1816">
        <v>22456</v>
      </c>
      <c r="Q1816" t="s">
        <v>444</v>
      </c>
      <c r="R1816" t="s">
        <v>445</v>
      </c>
      <c r="S1816" t="s">
        <v>52</v>
      </c>
      <c r="U1816">
        <v>891077</v>
      </c>
      <c r="V1816" s="3">
        <v>46067.540972222225</v>
      </c>
      <c r="W1816" t="s">
        <v>446</v>
      </c>
      <c r="X1816" t="s">
        <v>447</v>
      </c>
      <c r="Y1816" t="str">
        <f>"0452566250"</f>
        <v>0452566250</v>
      </c>
      <c r="Z1816" t="s">
        <v>1201</v>
      </c>
      <c r="AA1816" s="1">
        <v>46072</v>
      </c>
      <c r="AB1816" t="s">
        <v>448</v>
      </c>
      <c r="AD1816" t="s">
        <v>168</v>
      </c>
      <c r="AE1816" t="s">
        <v>180</v>
      </c>
      <c r="AF1816">
        <v>5063</v>
      </c>
      <c r="AI1816" t="s">
        <v>59</v>
      </c>
      <c r="AL1816" t="s">
        <v>4340</v>
      </c>
      <c r="AN1816" s="3">
        <v>46072.493055555555</v>
      </c>
      <c r="AO1816" t="s">
        <v>446</v>
      </c>
    </row>
    <row r="1817" spans="1:41" x14ac:dyDescent="0.3">
      <c r="A1817" t="s">
        <v>61</v>
      </c>
      <c r="B1817" t="s">
        <v>753</v>
      </c>
      <c r="C1817" t="s">
        <v>484</v>
      </c>
      <c r="D1817" t="s">
        <v>754</v>
      </c>
      <c r="E1817" s="1">
        <v>46072</v>
      </c>
      <c r="F1817" t="s">
        <v>621</v>
      </c>
      <c r="G1817" t="s">
        <v>45</v>
      </c>
      <c r="H1817" s="2">
        <v>0.29166666666666669</v>
      </c>
      <c r="I1817" s="2">
        <v>0.8125</v>
      </c>
      <c r="J1817" t="s">
        <v>389</v>
      </c>
      <c r="L1817" t="s">
        <v>755</v>
      </c>
      <c r="M1817" t="s">
        <v>756</v>
      </c>
      <c r="N1817" t="s">
        <v>757</v>
      </c>
      <c r="O1817">
        <v>5951482</v>
      </c>
      <c r="Q1817" t="s">
        <v>758</v>
      </c>
      <c r="R1817" t="s">
        <v>759</v>
      </c>
      <c r="S1817" t="s">
        <v>119</v>
      </c>
      <c r="T1817" t="s">
        <v>760</v>
      </c>
      <c r="U1817" t="s">
        <v>4341</v>
      </c>
      <c r="V1817" s="3">
        <v>46084.80972222222</v>
      </c>
      <c r="W1817" t="s">
        <v>762</v>
      </c>
      <c r="X1817" t="s">
        <v>763</v>
      </c>
      <c r="Y1817" t="str">
        <f>"0418119924"</f>
        <v>0418119924</v>
      </c>
      <c r="Z1817" t="s">
        <v>70</v>
      </c>
      <c r="AB1817" t="s">
        <v>764</v>
      </c>
      <c r="AD1817" t="s">
        <v>61</v>
      </c>
      <c r="AE1817" t="s">
        <v>765</v>
      </c>
      <c r="AF1817">
        <v>2220</v>
      </c>
      <c r="AG1817" t="s">
        <v>758</v>
      </c>
      <c r="AI1817" t="s">
        <v>59</v>
      </c>
      <c r="AM1817" t="s">
        <v>4342</v>
      </c>
      <c r="AN1817" s="3">
        <v>46084.80972222222</v>
      </c>
      <c r="AO1817" t="s">
        <v>759</v>
      </c>
    </row>
    <row r="1818" spans="1:41" x14ac:dyDescent="0.3">
      <c r="A1818" t="s">
        <v>61</v>
      </c>
      <c r="B1818" t="s">
        <v>753</v>
      </c>
      <c r="C1818" t="s">
        <v>484</v>
      </c>
      <c r="D1818" t="s">
        <v>754</v>
      </c>
      <c r="E1818" s="1">
        <v>46072</v>
      </c>
      <c r="F1818" t="s">
        <v>621</v>
      </c>
      <c r="G1818" t="s">
        <v>128</v>
      </c>
      <c r="H1818" s="2">
        <v>0.29166666666666669</v>
      </c>
      <c r="I1818" s="2">
        <v>0.8125</v>
      </c>
      <c r="J1818" t="s">
        <v>389</v>
      </c>
      <c r="L1818" t="s">
        <v>755</v>
      </c>
      <c r="M1818" t="s">
        <v>756</v>
      </c>
      <c r="N1818" t="s">
        <v>757</v>
      </c>
      <c r="O1818">
        <v>5951482</v>
      </c>
      <c r="Q1818" t="s">
        <v>758</v>
      </c>
      <c r="R1818" t="s">
        <v>759</v>
      </c>
      <c r="S1818" t="s">
        <v>119</v>
      </c>
      <c r="T1818" t="s">
        <v>760</v>
      </c>
      <c r="U1818" t="s">
        <v>4343</v>
      </c>
      <c r="V1818" s="3">
        <v>46084.810416666667</v>
      </c>
      <c r="W1818" t="s">
        <v>762</v>
      </c>
      <c r="X1818" t="s">
        <v>763</v>
      </c>
      <c r="Y1818" t="str">
        <f>"0418119924"</f>
        <v>0418119924</v>
      </c>
      <c r="Z1818" t="s">
        <v>70</v>
      </c>
      <c r="AB1818" t="s">
        <v>764</v>
      </c>
      <c r="AD1818" t="s">
        <v>61</v>
      </c>
      <c r="AE1818" t="s">
        <v>765</v>
      </c>
      <c r="AF1818">
        <v>2220</v>
      </c>
      <c r="AG1818" t="s">
        <v>758</v>
      </c>
      <c r="AI1818" t="s">
        <v>59</v>
      </c>
      <c r="AM1818" t="s">
        <v>4342</v>
      </c>
      <c r="AN1818" s="3">
        <v>46084.810416666667</v>
      </c>
      <c r="AO1818" t="s">
        <v>759</v>
      </c>
    </row>
    <row r="1819" spans="1:41" x14ac:dyDescent="0.3">
      <c r="A1819" t="s">
        <v>61</v>
      </c>
      <c r="B1819" t="s">
        <v>753</v>
      </c>
      <c r="C1819" t="s">
        <v>484</v>
      </c>
      <c r="D1819" t="s">
        <v>754</v>
      </c>
      <c r="E1819" s="1">
        <v>46072</v>
      </c>
      <c r="F1819" t="s">
        <v>621</v>
      </c>
      <c r="G1819" t="s">
        <v>45</v>
      </c>
      <c r="H1819" s="2">
        <v>0.29166666666666669</v>
      </c>
      <c r="I1819" s="2">
        <v>0.8125</v>
      </c>
      <c r="J1819" t="s">
        <v>389</v>
      </c>
      <c r="L1819" t="s">
        <v>755</v>
      </c>
      <c r="M1819" t="s">
        <v>756</v>
      </c>
      <c r="N1819" t="s">
        <v>757</v>
      </c>
      <c r="O1819">
        <v>5951482</v>
      </c>
      <c r="Q1819" t="s">
        <v>758</v>
      </c>
      <c r="R1819" t="s">
        <v>132</v>
      </c>
      <c r="S1819" t="s">
        <v>52</v>
      </c>
      <c r="U1819">
        <v>891156</v>
      </c>
      <c r="V1819" s="3">
        <v>46065.479166666664</v>
      </c>
      <c r="W1819" t="s">
        <v>762</v>
      </c>
      <c r="X1819" t="s">
        <v>763</v>
      </c>
      <c r="Y1819" t="str">
        <f>"0418119924"</f>
        <v>0418119924</v>
      </c>
      <c r="Z1819" t="s">
        <v>395</v>
      </c>
      <c r="AB1819" t="s">
        <v>764</v>
      </c>
      <c r="AD1819" t="s">
        <v>61</v>
      </c>
      <c r="AE1819" t="s">
        <v>765</v>
      </c>
      <c r="AF1819">
        <v>2220</v>
      </c>
      <c r="AG1819" t="s">
        <v>2438</v>
      </c>
      <c r="AI1819" t="s">
        <v>59</v>
      </c>
      <c r="AL1819" t="s">
        <v>4329</v>
      </c>
      <c r="AN1819" s="3">
        <v>46072.802083333336</v>
      </c>
      <c r="AO1819" t="s">
        <v>762</v>
      </c>
    </row>
    <row r="1820" spans="1:41" x14ac:dyDescent="0.3">
      <c r="A1820" t="s">
        <v>61</v>
      </c>
      <c r="B1820" t="s">
        <v>655</v>
      </c>
      <c r="C1820" t="s">
        <v>43</v>
      </c>
      <c r="D1820" t="s">
        <v>656</v>
      </c>
      <c r="E1820" s="1">
        <v>46072</v>
      </c>
      <c r="F1820" t="s">
        <v>621</v>
      </c>
      <c r="G1820" t="s">
        <v>45</v>
      </c>
      <c r="H1820" s="2">
        <v>0.29166666666666669</v>
      </c>
      <c r="I1820" s="2">
        <v>0.99861111111111112</v>
      </c>
      <c r="J1820" t="s">
        <v>101</v>
      </c>
      <c r="L1820" t="s">
        <v>159</v>
      </c>
      <c r="M1820" t="s">
        <v>1502</v>
      </c>
      <c r="N1820" t="s">
        <v>1503</v>
      </c>
      <c r="O1820">
        <v>21662</v>
      </c>
      <c r="Q1820" t="s">
        <v>665</v>
      </c>
      <c r="R1820" t="s">
        <v>132</v>
      </c>
      <c r="S1820" t="s">
        <v>52</v>
      </c>
      <c r="U1820">
        <v>891108</v>
      </c>
      <c r="V1820" s="3">
        <v>46070.672222222223</v>
      </c>
      <c r="W1820" t="s">
        <v>1504</v>
      </c>
      <c r="X1820" t="s">
        <v>1505</v>
      </c>
      <c r="Y1820" t="str">
        <f>"0424896869"</f>
        <v>0424896869</v>
      </c>
      <c r="Z1820" t="s">
        <v>70</v>
      </c>
      <c r="AA1820" s="1">
        <v>46072</v>
      </c>
      <c r="AB1820" t="s">
        <v>662</v>
      </c>
      <c r="AC1820" t="s">
        <v>663</v>
      </c>
      <c r="AD1820" t="s">
        <v>61</v>
      </c>
      <c r="AE1820" t="s">
        <v>664</v>
      </c>
      <c r="AF1820">
        <v>2067</v>
      </c>
      <c r="AG1820" t="s">
        <v>665</v>
      </c>
      <c r="AI1820" t="s">
        <v>59</v>
      </c>
      <c r="AL1820" t="s">
        <v>3994</v>
      </c>
      <c r="AN1820" s="3">
        <v>46072.618055555555</v>
      </c>
      <c r="AO1820" t="s">
        <v>1504</v>
      </c>
    </row>
    <row r="1821" spans="1:41" x14ac:dyDescent="0.3">
      <c r="A1821" t="s">
        <v>61</v>
      </c>
      <c r="B1821" t="s">
        <v>768</v>
      </c>
      <c r="C1821" t="s">
        <v>296</v>
      </c>
      <c r="D1821" t="s">
        <v>769</v>
      </c>
      <c r="E1821" s="1">
        <v>46072</v>
      </c>
      <c r="F1821" t="s">
        <v>621</v>
      </c>
      <c r="G1821" t="s">
        <v>45</v>
      </c>
      <c r="H1821" s="2">
        <v>0.3125</v>
      </c>
      <c r="I1821" s="2">
        <v>0.625</v>
      </c>
      <c r="J1821" t="s">
        <v>296</v>
      </c>
      <c r="L1821" t="s">
        <v>298</v>
      </c>
      <c r="M1821" t="s">
        <v>770</v>
      </c>
      <c r="N1821" t="s">
        <v>771</v>
      </c>
      <c r="O1821">
        <v>5952291</v>
      </c>
      <c r="Q1821" t="s">
        <v>772</v>
      </c>
      <c r="R1821" t="s">
        <v>132</v>
      </c>
      <c r="S1821" t="s">
        <v>52</v>
      </c>
      <c r="U1821">
        <v>891120</v>
      </c>
      <c r="V1821" s="3">
        <v>46064.392361111109</v>
      </c>
      <c r="W1821" t="s">
        <v>773</v>
      </c>
      <c r="X1821" t="s">
        <v>774</v>
      </c>
      <c r="Y1821" t="str">
        <f>"0432174467"</f>
        <v>0432174467</v>
      </c>
      <c r="Z1821" t="s">
        <v>290</v>
      </c>
      <c r="AB1821" t="s">
        <v>775</v>
      </c>
      <c r="AD1821" t="s">
        <v>61</v>
      </c>
      <c r="AE1821" t="s">
        <v>776</v>
      </c>
      <c r="AF1821">
        <v>2076</v>
      </c>
      <c r="AG1821" t="s">
        <v>772</v>
      </c>
      <c r="AI1821" t="s">
        <v>59</v>
      </c>
      <c r="AL1821" t="s">
        <v>4329</v>
      </c>
      <c r="AN1821" s="3">
        <v>46072.634027777778</v>
      </c>
      <c r="AO1821" t="s">
        <v>773</v>
      </c>
    </row>
    <row r="1822" spans="1:41" x14ac:dyDescent="0.3">
      <c r="A1822" t="s">
        <v>306</v>
      </c>
      <c r="B1822" t="s">
        <v>699</v>
      </c>
      <c r="C1822" t="s">
        <v>43</v>
      </c>
      <c r="D1822" t="s">
        <v>700</v>
      </c>
      <c r="E1822" s="1">
        <v>46072</v>
      </c>
      <c r="F1822" t="s">
        <v>621</v>
      </c>
      <c r="G1822" t="s">
        <v>45</v>
      </c>
      <c r="H1822" s="2">
        <v>0.3125</v>
      </c>
      <c r="I1822" s="2">
        <v>0.54166666666666663</v>
      </c>
      <c r="J1822" t="s">
        <v>2484</v>
      </c>
      <c r="L1822" t="s">
        <v>702</v>
      </c>
      <c r="M1822" t="s">
        <v>703</v>
      </c>
      <c r="N1822" t="s">
        <v>704</v>
      </c>
      <c r="O1822">
        <v>20947</v>
      </c>
      <c r="Q1822" t="s">
        <v>4344</v>
      </c>
      <c r="R1822" t="s">
        <v>476</v>
      </c>
      <c r="S1822" t="s">
        <v>119</v>
      </c>
      <c r="T1822" t="s">
        <v>414</v>
      </c>
      <c r="U1822">
        <v>891446</v>
      </c>
      <c r="V1822" s="3">
        <v>46069.446527777778</v>
      </c>
      <c r="W1822" t="s">
        <v>706</v>
      </c>
      <c r="X1822" t="s">
        <v>707</v>
      </c>
      <c r="Y1822" t="str">
        <f>"0437759431"</f>
        <v>0437759431</v>
      </c>
      <c r="Z1822" t="s">
        <v>70</v>
      </c>
      <c r="AB1822" t="s">
        <v>708</v>
      </c>
      <c r="AD1822" t="s">
        <v>306</v>
      </c>
      <c r="AE1822" t="s">
        <v>709</v>
      </c>
      <c r="AF1822">
        <v>3806</v>
      </c>
      <c r="AI1822" t="s">
        <v>59</v>
      </c>
      <c r="AL1822" t="s">
        <v>1068</v>
      </c>
      <c r="AM1822" t="s">
        <v>4345</v>
      </c>
      <c r="AN1822" s="3">
        <v>46069.575694444444</v>
      </c>
      <c r="AO1822" t="s">
        <v>314</v>
      </c>
    </row>
    <row r="1823" spans="1:41" x14ac:dyDescent="0.3">
      <c r="A1823" t="s">
        <v>61</v>
      </c>
      <c r="B1823" t="s">
        <v>350</v>
      </c>
      <c r="C1823" t="s">
        <v>202</v>
      </c>
      <c r="D1823" t="s">
        <v>63</v>
      </c>
      <c r="E1823" s="1">
        <v>46072</v>
      </c>
      <c r="F1823" t="s">
        <v>621</v>
      </c>
      <c r="G1823" t="s">
        <v>45</v>
      </c>
      <c r="H1823" s="2">
        <v>0.3125</v>
      </c>
      <c r="I1823" s="2">
        <v>0.64583333333333337</v>
      </c>
      <c r="J1823" t="s">
        <v>46</v>
      </c>
      <c r="L1823" t="s">
        <v>47</v>
      </c>
      <c r="M1823" t="s">
        <v>610</v>
      </c>
      <c r="N1823" t="s">
        <v>3184</v>
      </c>
      <c r="O1823">
        <v>5950775</v>
      </c>
      <c r="Q1823" t="s">
        <v>369</v>
      </c>
      <c r="R1823" t="s">
        <v>67</v>
      </c>
      <c r="S1823" t="s">
        <v>52</v>
      </c>
      <c r="U1823">
        <v>891080</v>
      </c>
      <c r="V1823" s="3">
        <v>46069.586111111108</v>
      </c>
      <c r="W1823" t="s">
        <v>3185</v>
      </c>
      <c r="X1823" t="s">
        <v>3186</v>
      </c>
      <c r="Y1823" t="str">
        <f>"0406883932"</f>
        <v>0406883932</v>
      </c>
      <c r="Z1823" t="s">
        <v>123</v>
      </c>
      <c r="AB1823" t="s">
        <v>356</v>
      </c>
      <c r="AD1823" t="s">
        <v>61</v>
      </c>
      <c r="AE1823" t="s">
        <v>357</v>
      </c>
      <c r="AF1823">
        <v>2153</v>
      </c>
      <c r="AG1823" t="s">
        <v>369</v>
      </c>
      <c r="AI1823" t="s">
        <v>59</v>
      </c>
      <c r="AL1823" t="s">
        <v>4329</v>
      </c>
      <c r="AN1823" s="3">
        <v>46072.546527777777</v>
      </c>
      <c r="AO1823" t="s">
        <v>3185</v>
      </c>
    </row>
    <row r="1824" spans="1:41" x14ac:dyDescent="0.3">
      <c r="A1824" t="s">
        <v>41</v>
      </c>
      <c r="B1824" t="s">
        <v>551</v>
      </c>
      <c r="C1824" t="s">
        <v>1547</v>
      </c>
      <c r="D1824" t="s">
        <v>246</v>
      </c>
      <c r="E1824" s="1">
        <v>46072</v>
      </c>
      <c r="F1824" t="s">
        <v>621</v>
      </c>
      <c r="G1824" t="s">
        <v>45</v>
      </c>
      <c r="H1824" s="2">
        <v>0.32291666666666669</v>
      </c>
      <c r="I1824" s="2">
        <v>0.71875</v>
      </c>
      <c r="J1824" t="s">
        <v>185</v>
      </c>
      <c r="L1824" t="s">
        <v>186</v>
      </c>
      <c r="M1824" t="s">
        <v>3035</v>
      </c>
      <c r="N1824" t="s">
        <v>3036</v>
      </c>
      <c r="O1824">
        <v>5951970</v>
      </c>
      <c r="Q1824" t="s">
        <v>3037</v>
      </c>
      <c r="R1824" t="s">
        <v>145</v>
      </c>
      <c r="S1824" t="s">
        <v>52</v>
      </c>
      <c r="U1824">
        <v>891143</v>
      </c>
      <c r="V1824" s="3">
        <v>46059.770138888889</v>
      </c>
      <c r="W1824" t="s">
        <v>3038</v>
      </c>
      <c r="X1824" t="s">
        <v>3039</v>
      </c>
      <c r="Y1824" t="str">
        <f>"0401493806"</f>
        <v>0401493806</v>
      </c>
      <c r="Z1824" t="s">
        <v>2036</v>
      </c>
      <c r="AB1824" t="s">
        <v>559</v>
      </c>
      <c r="AD1824" t="s">
        <v>41</v>
      </c>
      <c r="AE1824" t="s">
        <v>560</v>
      </c>
      <c r="AF1824">
        <v>4131</v>
      </c>
      <c r="AG1824" t="s">
        <v>3040</v>
      </c>
      <c r="AI1824" t="s">
        <v>59</v>
      </c>
      <c r="AL1824" t="s">
        <v>2622</v>
      </c>
      <c r="AN1824" s="3">
        <v>46072.758333333331</v>
      </c>
      <c r="AO1824" t="s">
        <v>3038</v>
      </c>
    </row>
    <row r="1825" spans="1:41" x14ac:dyDescent="0.3">
      <c r="A1825" t="s">
        <v>41</v>
      </c>
      <c r="B1825" t="s">
        <v>426</v>
      </c>
      <c r="C1825" t="s">
        <v>43</v>
      </c>
      <c r="D1825" t="s">
        <v>246</v>
      </c>
      <c r="E1825" s="1">
        <v>46072</v>
      </c>
      <c r="F1825" t="s">
        <v>621</v>
      </c>
      <c r="G1825" t="s">
        <v>45</v>
      </c>
      <c r="H1825" s="2">
        <v>0.32291666666666669</v>
      </c>
      <c r="I1825" s="2">
        <v>0.71875</v>
      </c>
      <c r="J1825" t="s">
        <v>185</v>
      </c>
      <c r="L1825" t="s">
        <v>186</v>
      </c>
      <c r="M1825" t="s">
        <v>2815</v>
      </c>
      <c r="N1825" t="s">
        <v>2816</v>
      </c>
      <c r="O1825">
        <v>22933</v>
      </c>
      <c r="Q1825" t="s">
        <v>4346</v>
      </c>
      <c r="R1825" t="s">
        <v>500</v>
      </c>
      <c r="S1825" t="s">
        <v>52</v>
      </c>
      <c r="U1825">
        <v>891142</v>
      </c>
      <c r="V1825" s="3">
        <v>46071.977777777778</v>
      </c>
      <c r="W1825" t="s">
        <v>2818</v>
      </c>
      <c r="X1825" t="s">
        <v>2819</v>
      </c>
      <c r="Y1825" t="str">
        <f>"0433824417"</f>
        <v>0433824417</v>
      </c>
      <c r="Z1825" t="s">
        <v>70</v>
      </c>
      <c r="AA1825" s="1">
        <v>46072</v>
      </c>
      <c r="AB1825" t="s">
        <v>434</v>
      </c>
      <c r="AD1825" t="s">
        <v>41</v>
      </c>
      <c r="AE1825" t="s">
        <v>435</v>
      </c>
      <c r="AF1825">
        <v>4163</v>
      </c>
      <c r="AG1825" t="s">
        <v>4346</v>
      </c>
      <c r="AI1825" t="s">
        <v>59</v>
      </c>
      <c r="AL1825" t="s">
        <v>4347</v>
      </c>
      <c r="AN1825" s="3">
        <v>46072.755555555559</v>
      </c>
      <c r="AO1825" t="s">
        <v>2818</v>
      </c>
    </row>
    <row r="1826" spans="1:41" x14ac:dyDescent="0.3">
      <c r="A1826" t="s">
        <v>61</v>
      </c>
      <c r="B1826" t="s">
        <v>3025</v>
      </c>
      <c r="C1826" t="s">
        <v>43</v>
      </c>
      <c r="D1826" t="s">
        <v>184</v>
      </c>
      <c r="E1826" s="1">
        <v>46072</v>
      </c>
      <c r="F1826" t="s">
        <v>621</v>
      </c>
      <c r="G1826" t="s">
        <v>45</v>
      </c>
      <c r="H1826" s="2">
        <v>0.33333333333333331</v>
      </c>
      <c r="I1826" s="2">
        <v>0.60416666666666663</v>
      </c>
      <c r="J1826" t="s">
        <v>46</v>
      </c>
      <c r="L1826" t="s">
        <v>47</v>
      </c>
      <c r="M1826" t="s">
        <v>914</v>
      </c>
      <c r="N1826" t="s">
        <v>915</v>
      </c>
      <c r="O1826">
        <v>5951931</v>
      </c>
      <c r="Q1826" t="s">
        <v>4348</v>
      </c>
      <c r="R1826" t="s">
        <v>1248</v>
      </c>
      <c r="S1826" t="s">
        <v>52</v>
      </c>
      <c r="U1826">
        <v>891103</v>
      </c>
      <c r="V1826" s="3">
        <v>46071.867361111108</v>
      </c>
      <c r="W1826" t="s">
        <v>917</v>
      </c>
      <c r="X1826" t="s">
        <v>918</v>
      </c>
      <c r="Y1826" t="str">
        <f>"0402155331"</f>
        <v>0402155331</v>
      </c>
      <c r="Z1826" t="s">
        <v>70</v>
      </c>
      <c r="AB1826" t="s">
        <v>3027</v>
      </c>
      <c r="AD1826" t="s">
        <v>61</v>
      </c>
      <c r="AE1826" t="s">
        <v>1848</v>
      </c>
      <c r="AF1826">
        <v>2217</v>
      </c>
      <c r="AG1826" t="s">
        <v>3026</v>
      </c>
      <c r="AI1826" t="s">
        <v>59</v>
      </c>
      <c r="AL1826" t="s">
        <v>4349</v>
      </c>
      <c r="AN1826" s="3">
        <v>46072.59375</v>
      </c>
      <c r="AO1826" t="s">
        <v>917</v>
      </c>
    </row>
    <row r="1827" spans="1:41" x14ac:dyDescent="0.3">
      <c r="A1827" t="s">
        <v>306</v>
      </c>
      <c r="B1827" t="s">
        <v>4024</v>
      </c>
      <c r="C1827" t="s">
        <v>4024</v>
      </c>
      <c r="E1827" s="1">
        <v>46072</v>
      </c>
      <c r="F1827" t="s">
        <v>621</v>
      </c>
      <c r="G1827" t="s">
        <v>45</v>
      </c>
      <c r="H1827" s="2">
        <v>0.33333333333333331</v>
      </c>
      <c r="I1827" s="2">
        <v>0.6875</v>
      </c>
      <c r="J1827" t="s">
        <v>101</v>
      </c>
      <c r="K1827" t="s">
        <v>750</v>
      </c>
      <c r="L1827" t="s">
        <v>4025</v>
      </c>
      <c r="M1827" t="s">
        <v>2670</v>
      </c>
      <c r="N1827" t="s">
        <v>4026</v>
      </c>
      <c r="O1827">
        <v>5951530</v>
      </c>
      <c r="Q1827" t="s">
        <v>4027</v>
      </c>
      <c r="R1827" t="s">
        <v>1763</v>
      </c>
      <c r="S1827" t="s">
        <v>119</v>
      </c>
      <c r="T1827" t="s">
        <v>414</v>
      </c>
      <c r="U1827">
        <v>891639</v>
      </c>
      <c r="V1827" s="3">
        <v>46070.698611111111</v>
      </c>
      <c r="W1827" t="s">
        <v>4028</v>
      </c>
      <c r="X1827" t="s">
        <v>4029</v>
      </c>
      <c r="Y1827" t="str">
        <f>"0478414100"</f>
        <v>0478414100</v>
      </c>
      <c r="Z1827" t="s">
        <v>70</v>
      </c>
      <c r="AA1827" s="1">
        <v>46072</v>
      </c>
      <c r="AB1827" t="s">
        <v>4030</v>
      </c>
      <c r="AD1827" t="s">
        <v>306</v>
      </c>
      <c r="AE1827" t="s">
        <v>4031</v>
      </c>
      <c r="AF1827">
        <v>3305</v>
      </c>
      <c r="AG1827" t="s">
        <v>4032</v>
      </c>
      <c r="AI1827" t="s">
        <v>59</v>
      </c>
      <c r="AN1827" s="3">
        <v>46070.699305555558</v>
      </c>
      <c r="AO1827" t="s">
        <v>1763</v>
      </c>
    </row>
    <row r="1828" spans="1:41" x14ac:dyDescent="0.3">
      <c r="A1828" t="s">
        <v>168</v>
      </c>
      <c r="B1828" t="s">
        <v>689</v>
      </c>
      <c r="C1828" t="s">
        <v>1496</v>
      </c>
      <c r="D1828" t="s">
        <v>268</v>
      </c>
      <c r="E1828" s="1">
        <v>46072</v>
      </c>
      <c r="F1828" t="s">
        <v>621</v>
      </c>
      <c r="G1828" t="s">
        <v>45</v>
      </c>
      <c r="H1828" s="2">
        <v>0.33333333333333331</v>
      </c>
      <c r="I1828" s="2">
        <v>0.6875</v>
      </c>
      <c r="J1828" t="s">
        <v>46</v>
      </c>
      <c r="L1828" t="s">
        <v>47</v>
      </c>
      <c r="M1828" t="s">
        <v>1497</v>
      </c>
      <c r="N1828" t="s">
        <v>465</v>
      </c>
      <c r="O1828">
        <v>5950806</v>
      </c>
      <c r="P1828" t="s">
        <v>249</v>
      </c>
      <c r="Q1828" t="s">
        <v>692</v>
      </c>
      <c r="R1828" t="s">
        <v>1498</v>
      </c>
      <c r="S1828" t="s">
        <v>52</v>
      </c>
      <c r="T1828" t="s">
        <v>252</v>
      </c>
      <c r="U1828">
        <v>891451</v>
      </c>
      <c r="V1828" s="3">
        <v>46076.447222222225</v>
      </c>
      <c r="W1828" t="s">
        <v>1498</v>
      </c>
      <c r="X1828" t="s">
        <v>1499</v>
      </c>
      <c r="Y1828" t="str">
        <f>"0425332962"</f>
        <v>0425332962</v>
      </c>
      <c r="Z1828" t="s">
        <v>84</v>
      </c>
      <c r="AA1828" s="1">
        <v>46117</v>
      </c>
      <c r="AB1828" t="s">
        <v>695</v>
      </c>
      <c r="AD1828" t="s">
        <v>168</v>
      </c>
      <c r="AE1828" t="s">
        <v>696</v>
      </c>
      <c r="AF1828">
        <v>5606</v>
      </c>
      <c r="AG1828" t="s">
        <v>866</v>
      </c>
      <c r="AI1828" t="s">
        <v>59</v>
      </c>
      <c r="AJ1828" t="str">
        <f>"0020188039"</f>
        <v>0020188039</v>
      </c>
      <c r="AN1828" s="3">
        <v>46076.447222222225</v>
      </c>
      <c r="AO1828" t="s">
        <v>1498</v>
      </c>
    </row>
    <row r="1829" spans="1:41" x14ac:dyDescent="0.3">
      <c r="A1829" t="s">
        <v>168</v>
      </c>
      <c r="B1829" t="s">
        <v>266</v>
      </c>
      <c r="C1829" t="s">
        <v>202</v>
      </c>
      <c r="D1829" t="s">
        <v>268</v>
      </c>
      <c r="E1829" s="1">
        <v>46072</v>
      </c>
      <c r="F1829" t="s">
        <v>621</v>
      </c>
      <c r="G1829" t="s">
        <v>45</v>
      </c>
      <c r="H1829" s="2">
        <v>0.33333333333333331</v>
      </c>
      <c r="I1829" s="2">
        <v>0.6875</v>
      </c>
      <c r="J1829" t="s">
        <v>46</v>
      </c>
      <c r="K1829" t="s">
        <v>849</v>
      </c>
      <c r="L1829" t="s">
        <v>47</v>
      </c>
      <c r="M1829" t="s">
        <v>1089</v>
      </c>
      <c r="N1829" t="s">
        <v>1024</v>
      </c>
      <c r="O1829">
        <v>20963</v>
      </c>
      <c r="Q1829" t="s">
        <v>4350</v>
      </c>
      <c r="R1829" t="s">
        <v>500</v>
      </c>
      <c r="S1829" t="s">
        <v>52</v>
      </c>
      <c r="U1829">
        <v>891104</v>
      </c>
      <c r="V1829" s="3">
        <v>46071.991666666669</v>
      </c>
      <c r="W1829" t="s">
        <v>1091</v>
      </c>
      <c r="X1829" t="s">
        <v>1092</v>
      </c>
      <c r="Y1829" t="str">
        <f>"0430222501"</f>
        <v>0430222501</v>
      </c>
      <c r="Z1829" t="s">
        <v>70</v>
      </c>
      <c r="AA1829" s="1">
        <v>46072</v>
      </c>
      <c r="AB1829" t="s">
        <v>277</v>
      </c>
      <c r="AC1829" t="s">
        <v>278</v>
      </c>
      <c r="AD1829" t="s">
        <v>168</v>
      </c>
      <c r="AE1829" t="s">
        <v>279</v>
      </c>
      <c r="AF1829">
        <v>5092</v>
      </c>
      <c r="AG1829" t="s">
        <v>4350</v>
      </c>
      <c r="AI1829" t="s">
        <v>59</v>
      </c>
      <c r="AL1829" t="s">
        <v>4351</v>
      </c>
      <c r="AN1829" s="3">
        <v>46072.603472222225</v>
      </c>
      <c r="AO1829" t="s">
        <v>1091</v>
      </c>
    </row>
    <row r="1830" spans="1:41" x14ac:dyDescent="0.3">
      <c r="A1830" t="s">
        <v>168</v>
      </c>
      <c r="B1830" t="s">
        <v>689</v>
      </c>
      <c r="C1830" t="s">
        <v>43</v>
      </c>
      <c r="D1830" t="s">
        <v>268</v>
      </c>
      <c r="E1830" s="1">
        <v>46072</v>
      </c>
      <c r="F1830" t="s">
        <v>621</v>
      </c>
      <c r="G1830" t="s">
        <v>45</v>
      </c>
      <c r="H1830" s="2">
        <v>0.33333333333333331</v>
      </c>
      <c r="I1830" s="2">
        <v>0.6875</v>
      </c>
      <c r="J1830" t="s">
        <v>100</v>
      </c>
      <c r="L1830" t="s">
        <v>100</v>
      </c>
      <c r="M1830" t="s">
        <v>862</v>
      </c>
      <c r="N1830" t="s">
        <v>863</v>
      </c>
      <c r="O1830">
        <v>5952375</v>
      </c>
      <c r="Q1830" t="s">
        <v>692</v>
      </c>
      <c r="R1830" t="s">
        <v>864</v>
      </c>
      <c r="S1830" t="s">
        <v>52</v>
      </c>
      <c r="T1830" t="s">
        <v>252</v>
      </c>
      <c r="U1830">
        <v>891426</v>
      </c>
      <c r="V1830" s="3">
        <v>46076.354166666664</v>
      </c>
      <c r="W1830" t="s">
        <v>864</v>
      </c>
      <c r="X1830" t="s">
        <v>865</v>
      </c>
      <c r="Y1830" t="str">
        <f>"0433092113"</f>
        <v>0433092113</v>
      </c>
      <c r="Z1830" t="s">
        <v>290</v>
      </c>
      <c r="AA1830" s="1">
        <v>46075</v>
      </c>
      <c r="AB1830" t="s">
        <v>695</v>
      </c>
      <c r="AD1830" t="s">
        <v>168</v>
      </c>
      <c r="AE1830" t="s">
        <v>696</v>
      </c>
      <c r="AF1830">
        <v>5606</v>
      </c>
      <c r="AG1830" t="s">
        <v>3045</v>
      </c>
      <c r="AI1830" t="s">
        <v>59</v>
      </c>
      <c r="AJ1830" t="str">
        <f>"0020187960"</f>
        <v>0020187960</v>
      </c>
      <c r="AN1830" s="3">
        <v>46076.354166666664</v>
      </c>
      <c r="AO1830" t="s">
        <v>864</v>
      </c>
    </row>
    <row r="1831" spans="1:41" x14ac:dyDescent="0.3">
      <c r="A1831" t="s">
        <v>168</v>
      </c>
      <c r="B1831" t="s">
        <v>689</v>
      </c>
      <c r="C1831" t="s">
        <v>43</v>
      </c>
      <c r="D1831" t="s">
        <v>268</v>
      </c>
      <c r="E1831" s="1">
        <v>46072</v>
      </c>
      <c r="F1831" t="s">
        <v>621</v>
      </c>
      <c r="G1831" t="s">
        <v>45</v>
      </c>
      <c r="H1831" s="2">
        <v>0.35416666666666669</v>
      </c>
      <c r="I1831" s="2">
        <v>0.70833333333333337</v>
      </c>
      <c r="J1831" t="s">
        <v>101</v>
      </c>
      <c r="L1831" t="s">
        <v>159</v>
      </c>
      <c r="M1831" t="s">
        <v>690</v>
      </c>
      <c r="N1831" t="s">
        <v>691</v>
      </c>
      <c r="O1831">
        <v>5950774</v>
      </c>
      <c r="P1831" t="s">
        <v>249</v>
      </c>
      <c r="Q1831" t="s">
        <v>692</v>
      </c>
      <c r="R1831" t="s">
        <v>693</v>
      </c>
      <c r="S1831" t="s">
        <v>52</v>
      </c>
      <c r="T1831" t="s">
        <v>252</v>
      </c>
      <c r="U1831">
        <v>891401</v>
      </c>
      <c r="V1831" s="3">
        <v>46075.970138888886</v>
      </c>
      <c r="W1831" t="s">
        <v>693</v>
      </c>
      <c r="X1831" t="s">
        <v>694</v>
      </c>
      <c r="Y1831" t="str">
        <f>"0404019300"</f>
        <v>0404019300</v>
      </c>
      <c r="Z1831" t="s">
        <v>290</v>
      </c>
      <c r="AA1831" s="1">
        <v>46117</v>
      </c>
      <c r="AB1831" t="s">
        <v>695</v>
      </c>
      <c r="AD1831" t="s">
        <v>168</v>
      </c>
      <c r="AE1831" t="s">
        <v>696</v>
      </c>
      <c r="AF1831">
        <v>5606</v>
      </c>
      <c r="AG1831" t="s">
        <v>3023</v>
      </c>
      <c r="AI1831" t="s">
        <v>59</v>
      </c>
      <c r="AJ1831" t="str">
        <f>"0020188040"</f>
        <v>0020188040</v>
      </c>
      <c r="AM1831" t="s">
        <v>3024</v>
      </c>
      <c r="AN1831" s="3">
        <v>46075.970138888886</v>
      </c>
      <c r="AO1831" t="s">
        <v>693</v>
      </c>
    </row>
    <row r="1832" spans="1:41" x14ac:dyDescent="0.3">
      <c r="A1832" t="s">
        <v>168</v>
      </c>
      <c r="B1832" t="s">
        <v>847</v>
      </c>
      <c r="C1832" t="s">
        <v>848</v>
      </c>
      <c r="D1832" t="s">
        <v>268</v>
      </c>
      <c r="E1832" s="1">
        <v>46072</v>
      </c>
      <c r="F1832" t="s">
        <v>621</v>
      </c>
      <c r="G1832" t="s">
        <v>45</v>
      </c>
      <c r="H1832" s="2">
        <v>0.35416666666666669</v>
      </c>
      <c r="I1832" s="2">
        <v>0.70833333333333337</v>
      </c>
      <c r="J1832" t="s">
        <v>101</v>
      </c>
      <c r="K1832" t="s">
        <v>849</v>
      </c>
      <c r="L1832" t="s">
        <v>159</v>
      </c>
      <c r="M1832" t="s">
        <v>1552</v>
      </c>
      <c r="N1832" t="s">
        <v>1553</v>
      </c>
      <c r="O1832">
        <v>5951790</v>
      </c>
      <c r="Q1832" t="s">
        <v>857</v>
      </c>
      <c r="R1832" t="s">
        <v>231</v>
      </c>
      <c r="S1832" t="s">
        <v>52</v>
      </c>
      <c r="U1832">
        <v>891134</v>
      </c>
      <c r="V1832" s="3">
        <v>46035.579861111109</v>
      </c>
      <c r="W1832" t="s">
        <v>1554</v>
      </c>
      <c r="X1832" t="s">
        <v>1555</v>
      </c>
      <c r="Y1832" t="str">
        <f>"0402115073"</f>
        <v>0402115073</v>
      </c>
      <c r="Z1832" t="s">
        <v>483</v>
      </c>
      <c r="AB1832" t="s">
        <v>847</v>
      </c>
      <c r="AC1832" t="s">
        <v>855</v>
      </c>
      <c r="AD1832" t="s">
        <v>168</v>
      </c>
      <c r="AE1832" t="s">
        <v>856</v>
      </c>
      <c r="AF1832">
        <v>5112</v>
      </c>
      <c r="AG1832" t="s">
        <v>857</v>
      </c>
      <c r="AI1832" t="s">
        <v>59</v>
      </c>
      <c r="AL1832" t="s">
        <v>1556</v>
      </c>
      <c r="AN1832" s="3">
        <v>46072.712500000001</v>
      </c>
      <c r="AO1832" t="s">
        <v>1554</v>
      </c>
    </row>
    <row r="1833" spans="1:41" x14ac:dyDescent="0.3">
      <c r="A1833" t="s">
        <v>61</v>
      </c>
      <c r="B1833" t="s">
        <v>655</v>
      </c>
      <c r="C1833" t="s">
        <v>43</v>
      </c>
      <c r="D1833" t="s">
        <v>656</v>
      </c>
      <c r="E1833" s="1">
        <v>46072</v>
      </c>
      <c r="F1833" t="s">
        <v>621</v>
      </c>
      <c r="G1833" t="s">
        <v>45</v>
      </c>
      <c r="H1833" s="2">
        <v>0.35416666666666669</v>
      </c>
      <c r="I1833" s="2">
        <v>0.70833333333333337</v>
      </c>
      <c r="J1833" t="s">
        <v>100</v>
      </c>
      <c r="L1833" t="s">
        <v>100</v>
      </c>
      <c r="M1833" t="s">
        <v>1566</v>
      </c>
      <c r="N1833" t="s">
        <v>1567</v>
      </c>
      <c r="O1833">
        <v>20900</v>
      </c>
      <c r="Q1833" t="s">
        <v>665</v>
      </c>
      <c r="R1833" t="s">
        <v>500</v>
      </c>
      <c r="S1833" t="s">
        <v>52</v>
      </c>
      <c r="U1833">
        <v>891127</v>
      </c>
      <c r="V1833" s="3">
        <v>46050.688194444447</v>
      </c>
      <c r="W1833" t="s">
        <v>1569</v>
      </c>
      <c r="X1833" t="s">
        <v>1570</v>
      </c>
      <c r="Y1833" t="str">
        <f>"0411393136"</f>
        <v>0411393136</v>
      </c>
      <c r="Z1833" t="s">
        <v>4352</v>
      </c>
      <c r="AB1833" t="s">
        <v>662</v>
      </c>
      <c r="AC1833" t="s">
        <v>663</v>
      </c>
      <c r="AD1833" t="s">
        <v>61</v>
      </c>
      <c r="AE1833" t="s">
        <v>664</v>
      </c>
      <c r="AF1833">
        <v>2067</v>
      </c>
      <c r="AG1833" t="s">
        <v>665</v>
      </c>
      <c r="AI1833" t="s">
        <v>59</v>
      </c>
      <c r="AL1833" t="s">
        <v>3994</v>
      </c>
      <c r="AN1833" s="3">
        <v>46072.67083333333</v>
      </c>
      <c r="AO1833" t="s">
        <v>1569</v>
      </c>
    </row>
    <row r="1834" spans="1:41" x14ac:dyDescent="0.3">
      <c r="A1834" t="s">
        <v>306</v>
      </c>
      <c r="B1834" t="s">
        <v>1060</v>
      </c>
      <c r="C1834" t="s">
        <v>2166</v>
      </c>
      <c r="D1834" t="s">
        <v>184</v>
      </c>
      <c r="E1834" s="1">
        <v>46072</v>
      </c>
      <c r="F1834" t="s">
        <v>621</v>
      </c>
      <c r="G1834" t="s">
        <v>45</v>
      </c>
      <c r="H1834" s="2">
        <v>0.35416666666666669</v>
      </c>
      <c r="I1834" s="2">
        <v>0.5625</v>
      </c>
      <c r="J1834" t="s">
        <v>1837</v>
      </c>
      <c r="L1834" t="s">
        <v>1327</v>
      </c>
      <c r="M1834" t="s">
        <v>1328</v>
      </c>
      <c r="N1834" t="s">
        <v>1329</v>
      </c>
      <c r="O1834">
        <v>20185</v>
      </c>
      <c r="Q1834" t="s">
        <v>413</v>
      </c>
      <c r="R1834" t="s">
        <v>500</v>
      </c>
      <c r="S1834" t="s">
        <v>119</v>
      </c>
      <c r="T1834" t="s">
        <v>414</v>
      </c>
      <c r="U1834">
        <v>891556</v>
      </c>
      <c r="V1834" s="3">
        <v>46071.769444444442</v>
      </c>
      <c r="W1834" t="s">
        <v>1331</v>
      </c>
      <c r="X1834" t="s">
        <v>1332</v>
      </c>
      <c r="Y1834" t="str">
        <f>"0422616195"</f>
        <v>0422616195</v>
      </c>
      <c r="Z1834" t="s">
        <v>70</v>
      </c>
      <c r="AB1834" t="s">
        <v>1066</v>
      </c>
      <c r="AD1834" t="s">
        <v>306</v>
      </c>
      <c r="AE1834" t="s">
        <v>1067</v>
      </c>
      <c r="AF1834">
        <v>3084</v>
      </c>
      <c r="AI1834" t="s">
        <v>59</v>
      </c>
      <c r="AL1834" t="s">
        <v>4043</v>
      </c>
      <c r="AM1834" t="s">
        <v>4353</v>
      </c>
      <c r="AN1834" s="3">
        <v>46071.920138888891</v>
      </c>
      <c r="AO1834" t="s">
        <v>1248</v>
      </c>
    </row>
    <row r="1835" spans="1:41" x14ac:dyDescent="0.3">
      <c r="A1835" t="s">
        <v>168</v>
      </c>
      <c r="B1835" t="s">
        <v>847</v>
      </c>
      <c r="C1835" t="s">
        <v>848</v>
      </c>
      <c r="D1835" t="s">
        <v>268</v>
      </c>
      <c r="E1835" s="1">
        <v>46072</v>
      </c>
      <c r="F1835" t="s">
        <v>621</v>
      </c>
      <c r="G1835" t="s">
        <v>45</v>
      </c>
      <c r="H1835" s="2">
        <v>0.35416666666666669</v>
      </c>
      <c r="I1835" s="2">
        <v>0.70833333333333337</v>
      </c>
      <c r="J1835" t="s">
        <v>101</v>
      </c>
      <c r="K1835" t="s">
        <v>849</v>
      </c>
      <c r="L1835" t="s">
        <v>159</v>
      </c>
      <c r="M1835" t="s">
        <v>4354</v>
      </c>
      <c r="N1835" t="s">
        <v>4355</v>
      </c>
      <c r="O1835">
        <v>5951776</v>
      </c>
      <c r="Q1835" t="s">
        <v>857</v>
      </c>
      <c r="R1835" t="s">
        <v>231</v>
      </c>
      <c r="S1835" t="s">
        <v>52</v>
      </c>
      <c r="U1835">
        <v>891133</v>
      </c>
      <c r="V1835" s="3">
        <v>46035.579861111109</v>
      </c>
      <c r="W1835" t="s">
        <v>4356</v>
      </c>
      <c r="X1835" t="s">
        <v>4357</v>
      </c>
      <c r="Y1835" t="str">
        <f>"0433255461"</f>
        <v>0433255461</v>
      </c>
      <c r="Z1835" t="s">
        <v>673</v>
      </c>
      <c r="AB1835" t="s">
        <v>847</v>
      </c>
      <c r="AC1835" t="s">
        <v>855</v>
      </c>
      <c r="AD1835" t="s">
        <v>168</v>
      </c>
      <c r="AE1835" t="s">
        <v>856</v>
      </c>
      <c r="AF1835">
        <v>5112</v>
      </c>
      <c r="AG1835" t="s">
        <v>857</v>
      </c>
      <c r="AI1835" t="s">
        <v>59</v>
      </c>
      <c r="AL1835" t="s">
        <v>4358</v>
      </c>
      <c r="AN1835" s="3">
        <v>46072.706944444442</v>
      </c>
      <c r="AO1835" t="s">
        <v>4356</v>
      </c>
    </row>
    <row r="1836" spans="1:41" x14ac:dyDescent="0.3">
      <c r="A1836" t="s">
        <v>874</v>
      </c>
      <c r="B1836" t="s">
        <v>875</v>
      </c>
      <c r="D1836" t="s">
        <v>388</v>
      </c>
      <c r="E1836" s="1">
        <v>46072</v>
      </c>
      <c r="F1836" t="s">
        <v>621</v>
      </c>
      <c r="G1836" t="s">
        <v>45</v>
      </c>
      <c r="H1836" s="2">
        <v>0.35416666666666669</v>
      </c>
      <c r="I1836" s="2">
        <v>0.70833333333333337</v>
      </c>
      <c r="J1836" t="s">
        <v>876</v>
      </c>
      <c r="L1836" t="s">
        <v>877</v>
      </c>
      <c r="M1836" t="s">
        <v>878</v>
      </c>
      <c r="N1836" t="s">
        <v>879</v>
      </c>
      <c r="O1836">
        <v>5951689</v>
      </c>
      <c r="P1836" t="s">
        <v>249</v>
      </c>
      <c r="Q1836" t="s">
        <v>880</v>
      </c>
      <c r="R1836" t="s">
        <v>392</v>
      </c>
      <c r="S1836" t="s">
        <v>52</v>
      </c>
      <c r="T1836" t="s">
        <v>252</v>
      </c>
      <c r="U1836">
        <v>891246</v>
      </c>
      <c r="V1836" s="3">
        <v>46073.466666666667</v>
      </c>
      <c r="W1836" t="s">
        <v>881</v>
      </c>
      <c r="X1836" t="s">
        <v>882</v>
      </c>
      <c r="Y1836" t="str">
        <f>"0474765680"</f>
        <v>0474765680</v>
      </c>
      <c r="Z1836" t="s">
        <v>290</v>
      </c>
      <c r="AA1836" s="1">
        <v>46110</v>
      </c>
      <c r="AB1836" t="s">
        <v>883</v>
      </c>
      <c r="AD1836" t="s">
        <v>397</v>
      </c>
      <c r="AE1836" t="s">
        <v>884</v>
      </c>
      <c r="AG1836" t="s">
        <v>880</v>
      </c>
      <c r="AI1836" t="s">
        <v>59</v>
      </c>
      <c r="AJ1836" t="str">
        <f>"0090000061"</f>
        <v>0090000061</v>
      </c>
      <c r="AN1836" s="3">
        <v>46073.466666666667</v>
      </c>
      <c r="AO1836" t="s">
        <v>392</v>
      </c>
    </row>
    <row r="1837" spans="1:41" x14ac:dyDescent="0.3">
      <c r="A1837" t="s">
        <v>75</v>
      </c>
      <c r="B1837" t="s">
        <v>895</v>
      </c>
      <c r="C1837" t="s">
        <v>896</v>
      </c>
      <c r="D1837" t="s">
        <v>184</v>
      </c>
      <c r="E1837" s="1">
        <v>46072</v>
      </c>
      <c r="F1837" t="s">
        <v>621</v>
      </c>
      <c r="G1837" t="s">
        <v>45</v>
      </c>
      <c r="H1837" s="2">
        <v>0.375</v>
      </c>
      <c r="I1837" s="2">
        <v>0.58333333333333337</v>
      </c>
      <c r="J1837" t="s">
        <v>46</v>
      </c>
      <c r="L1837" t="s">
        <v>47</v>
      </c>
      <c r="M1837" t="s">
        <v>897</v>
      </c>
      <c r="N1837" t="s">
        <v>898</v>
      </c>
      <c r="O1837">
        <v>22938</v>
      </c>
      <c r="Q1837" t="s">
        <v>64</v>
      </c>
      <c r="R1837" t="s">
        <v>1248</v>
      </c>
      <c r="S1837" t="s">
        <v>52</v>
      </c>
      <c r="U1837">
        <v>891132</v>
      </c>
      <c r="V1837" s="3">
        <v>46071.952777777777</v>
      </c>
      <c r="W1837" t="s">
        <v>900</v>
      </c>
      <c r="X1837" t="s">
        <v>901</v>
      </c>
      <c r="Y1837" t="str">
        <f>"0412336670"</f>
        <v>0412336670</v>
      </c>
      <c r="Z1837" t="s">
        <v>70</v>
      </c>
      <c r="AB1837" t="s">
        <v>902</v>
      </c>
      <c r="AD1837" t="s">
        <v>75</v>
      </c>
      <c r="AE1837" t="s">
        <v>903</v>
      </c>
      <c r="AF1837">
        <v>6009</v>
      </c>
      <c r="AG1837" t="s">
        <v>64</v>
      </c>
      <c r="AI1837" t="s">
        <v>59</v>
      </c>
      <c r="AL1837" t="s">
        <v>4359</v>
      </c>
      <c r="AN1837" s="3">
        <v>46072.70416666667</v>
      </c>
      <c r="AO1837" t="s">
        <v>900</v>
      </c>
    </row>
    <row r="1838" spans="1:41" x14ac:dyDescent="0.3">
      <c r="A1838" t="s">
        <v>306</v>
      </c>
      <c r="B1838" t="s">
        <v>450</v>
      </c>
      <c r="C1838" t="s">
        <v>100</v>
      </c>
      <c r="D1838" t="s">
        <v>63</v>
      </c>
      <c r="E1838" s="1">
        <v>46072</v>
      </c>
      <c r="F1838" t="s">
        <v>621</v>
      </c>
      <c r="G1838" t="s">
        <v>45</v>
      </c>
      <c r="H1838" s="2">
        <v>0.375</v>
      </c>
      <c r="I1838" s="2">
        <v>0.625</v>
      </c>
      <c r="J1838" t="s">
        <v>451</v>
      </c>
      <c r="L1838" t="s">
        <v>473</v>
      </c>
      <c r="M1838" t="s">
        <v>78</v>
      </c>
      <c r="N1838" t="s">
        <v>1062</v>
      </c>
      <c r="O1838">
        <v>5950737</v>
      </c>
      <c r="Q1838" t="s">
        <v>2057</v>
      </c>
      <c r="R1838" t="s">
        <v>314</v>
      </c>
      <c r="S1838" t="s">
        <v>52</v>
      </c>
      <c r="U1838">
        <v>891107</v>
      </c>
      <c r="V1838" s="3">
        <v>46069.40347222222</v>
      </c>
      <c r="W1838" t="s">
        <v>1064</v>
      </c>
      <c r="X1838" t="s">
        <v>1065</v>
      </c>
      <c r="Y1838" t="str">
        <f>"0423540683"</f>
        <v>0423540683</v>
      </c>
      <c r="Z1838" t="s">
        <v>55</v>
      </c>
      <c r="AA1838" s="1">
        <v>46072</v>
      </c>
      <c r="AB1838" t="s">
        <v>459</v>
      </c>
      <c r="AD1838" t="s">
        <v>306</v>
      </c>
      <c r="AE1838" t="s">
        <v>460</v>
      </c>
      <c r="AF1838">
        <v>3058</v>
      </c>
      <c r="AG1838" t="s">
        <v>3965</v>
      </c>
      <c r="AI1838" t="s">
        <v>59</v>
      </c>
      <c r="AL1838" t="s">
        <v>87</v>
      </c>
      <c r="AN1838" s="3">
        <v>46072.618055555555</v>
      </c>
      <c r="AO1838" t="s">
        <v>1064</v>
      </c>
    </row>
    <row r="1839" spans="1:41" x14ac:dyDescent="0.3">
      <c r="A1839" t="s">
        <v>61</v>
      </c>
      <c r="B1839" t="s">
        <v>885</v>
      </c>
      <c r="E1839" s="1">
        <v>46072</v>
      </c>
      <c r="F1839" t="s">
        <v>621</v>
      </c>
      <c r="G1839" t="s">
        <v>45</v>
      </c>
      <c r="H1839" s="2">
        <v>0.375</v>
      </c>
      <c r="I1839" s="2">
        <v>0.70833333333333337</v>
      </c>
      <c r="J1839" t="s">
        <v>185</v>
      </c>
      <c r="K1839" t="s">
        <v>238</v>
      </c>
      <c r="L1839" t="s">
        <v>3193</v>
      </c>
      <c r="M1839" t="s">
        <v>500</v>
      </c>
      <c r="N1839" t="s">
        <v>3194</v>
      </c>
      <c r="O1839">
        <v>5952198</v>
      </c>
      <c r="Q1839" t="s">
        <v>894</v>
      </c>
      <c r="R1839" t="s">
        <v>67</v>
      </c>
      <c r="S1839" t="s">
        <v>52</v>
      </c>
      <c r="U1839">
        <v>891136</v>
      </c>
      <c r="V1839" s="3">
        <v>46069.406944444447</v>
      </c>
      <c r="W1839" t="s">
        <v>3195</v>
      </c>
      <c r="X1839" t="s">
        <v>3196</v>
      </c>
      <c r="Y1839" t="str">
        <f>"0421625452"</f>
        <v>0421625452</v>
      </c>
      <c r="Z1839" t="s">
        <v>70</v>
      </c>
      <c r="AA1839" s="1">
        <v>46072</v>
      </c>
      <c r="AB1839" t="s">
        <v>891</v>
      </c>
      <c r="AC1839" t="s">
        <v>892</v>
      </c>
      <c r="AD1839" t="s">
        <v>61</v>
      </c>
      <c r="AE1839" t="s">
        <v>893</v>
      </c>
      <c r="AF1839">
        <v>2022</v>
      </c>
      <c r="AG1839" t="s">
        <v>3676</v>
      </c>
      <c r="AI1839" t="s">
        <v>59</v>
      </c>
      <c r="AL1839" t="s">
        <v>4329</v>
      </c>
      <c r="AN1839" s="3">
        <v>46072.722916666666</v>
      </c>
      <c r="AO1839" t="s">
        <v>3195</v>
      </c>
    </row>
    <row r="1840" spans="1:41" x14ac:dyDescent="0.3">
      <c r="A1840" t="s">
        <v>61</v>
      </c>
      <c r="B1840" t="s">
        <v>1441</v>
      </c>
      <c r="C1840" t="s">
        <v>43</v>
      </c>
      <c r="D1840" t="s">
        <v>127</v>
      </c>
      <c r="E1840" s="1">
        <v>46072</v>
      </c>
      <c r="F1840" t="s">
        <v>621</v>
      </c>
      <c r="G1840" t="s">
        <v>45</v>
      </c>
      <c r="H1840" s="2">
        <v>0.375</v>
      </c>
      <c r="I1840" s="2">
        <v>0.75</v>
      </c>
      <c r="J1840" t="s">
        <v>46</v>
      </c>
      <c r="L1840" t="s">
        <v>47</v>
      </c>
      <c r="M1840" t="s">
        <v>91</v>
      </c>
      <c r="N1840" t="s">
        <v>92</v>
      </c>
      <c r="O1840">
        <v>5950650</v>
      </c>
      <c r="P1840">
        <v>514134</v>
      </c>
      <c r="Q1840" t="s">
        <v>3243</v>
      </c>
      <c r="R1840" t="s">
        <v>67</v>
      </c>
      <c r="S1840" t="s">
        <v>52</v>
      </c>
      <c r="U1840">
        <v>891140</v>
      </c>
      <c r="V1840" s="3">
        <v>46071.393055555556</v>
      </c>
      <c r="W1840" t="s">
        <v>94</v>
      </c>
      <c r="X1840" t="s">
        <v>95</v>
      </c>
      <c r="Y1840" t="str">
        <f>"0493332534"</f>
        <v>0493332534</v>
      </c>
      <c r="Z1840" t="s">
        <v>70</v>
      </c>
      <c r="AA1840" s="1">
        <v>46072</v>
      </c>
      <c r="AB1840" t="s">
        <v>1444</v>
      </c>
      <c r="AD1840" t="s">
        <v>61</v>
      </c>
      <c r="AE1840" t="s">
        <v>1445</v>
      </c>
      <c r="AF1840">
        <v>2100</v>
      </c>
      <c r="AG1840" t="s">
        <v>3243</v>
      </c>
      <c r="AI1840" t="s">
        <v>59</v>
      </c>
      <c r="AL1840" t="s">
        <v>87</v>
      </c>
      <c r="AN1840" s="3">
        <v>46072.74722222222</v>
      </c>
      <c r="AO1840" t="s">
        <v>94</v>
      </c>
    </row>
    <row r="1841" spans="1:41" x14ac:dyDescent="0.3">
      <c r="A1841" t="s">
        <v>61</v>
      </c>
      <c r="B1841" t="s">
        <v>62</v>
      </c>
      <c r="C1841" t="s">
        <v>100</v>
      </c>
      <c r="D1841" t="s">
        <v>63</v>
      </c>
      <c r="E1841" s="1">
        <v>46072</v>
      </c>
      <c r="F1841" t="s">
        <v>621</v>
      </c>
      <c r="G1841" t="s">
        <v>45</v>
      </c>
      <c r="H1841" s="2">
        <v>0.41666666666666669</v>
      </c>
      <c r="I1841" s="2">
        <v>0.77083333333333337</v>
      </c>
      <c r="J1841" t="s">
        <v>100</v>
      </c>
      <c r="L1841" t="s">
        <v>100</v>
      </c>
      <c r="M1841" t="s">
        <v>101</v>
      </c>
      <c r="N1841" t="s">
        <v>102</v>
      </c>
      <c r="O1841">
        <v>27</v>
      </c>
      <c r="Q1841" t="s">
        <v>1051</v>
      </c>
      <c r="R1841" t="s">
        <v>132</v>
      </c>
      <c r="S1841" t="s">
        <v>52</v>
      </c>
      <c r="U1841">
        <v>891144</v>
      </c>
      <c r="V1841" s="3">
        <v>46052.632638888892</v>
      </c>
      <c r="W1841" t="s">
        <v>104</v>
      </c>
      <c r="X1841" t="s">
        <v>105</v>
      </c>
      <c r="Y1841" t="str">
        <f>"0403748369"</f>
        <v>0403748369</v>
      </c>
      <c r="Z1841" t="s">
        <v>4360</v>
      </c>
      <c r="AB1841" t="s">
        <v>71</v>
      </c>
      <c r="AD1841" t="s">
        <v>61</v>
      </c>
      <c r="AE1841" t="s">
        <v>72</v>
      </c>
      <c r="AF1841">
        <v>2747</v>
      </c>
      <c r="AG1841" t="s">
        <v>1051</v>
      </c>
      <c r="AI1841" t="s">
        <v>59</v>
      </c>
      <c r="AL1841" t="s">
        <v>4329</v>
      </c>
      <c r="AN1841" s="3">
        <v>46072.759722222225</v>
      </c>
      <c r="AO1841" t="s">
        <v>104</v>
      </c>
    </row>
    <row r="1842" spans="1:41" x14ac:dyDescent="0.3">
      <c r="A1842" t="s">
        <v>61</v>
      </c>
      <c r="B1842" t="s">
        <v>2467</v>
      </c>
      <c r="C1842" t="s">
        <v>43</v>
      </c>
      <c r="D1842" t="s">
        <v>2468</v>
      </c>
      <c r="E1842" s="1">
        <v>46072</v>
      </c>
      <c r="F1842" t="s">
        <v>621</v>
      </c>
      <c r="G1842" t="s">
        <v>45</v>
      </c>
      <c r="H1842" s="2">
        <v>0.41666666666666669</v>
      </c>
      <c r="I1842" s="2">
        <v>0.99861111111111112</v>
      </c>
      <c r="J1842" t="s">
        <v>185</v>
      </c>
      <c r="L1842" t="s">
        <v>186</v>
      </c>
      <c r="M1842" t="s">
        <v>1206</v>
      </c>
      <c r="N1842" t="s">
        <v>1882</v>
      </c>
      <c r="O1842">
        <v>21051</v>
      </c>
      <c r="Q1842" t="s">
        <v>2469</v>
      </c>
      <c r="R1842" t="s">
        <v>132</v>
      </c>
      <c r="S1842" t="s">
        <v>52</v>
      </c>
      <c r="U1842">
        <v>891141</v>
      </c>
      <c r="V1842" s="3">
        <v>46069.376388888886</v>
      </c>
      <c r="W1842" t="s">
        <v>1883</v>
      </c>
      <c r="X1842" t="s">
        <v>1884</v>
      </c>
      <c r="Y1842" t="str">
        <f>"0403904564"</f>
        <v>0403904564</v>
      </c>
      <c r="Z1842" t="s">
        <v>70</v>
      </c>
      <c r="AA1842" s="1">
        <v>46072</v>
      </c>
      <c r="AB1842" t="s">
        <v>2470</v>
      </c>
      <c r="AD1842" t="s">
        <v>61</v>
      </c>
      <c r="AE1842" t="s">
        <v>2471</v>
      </c>
      <c r="AF1842">
        <v>2099</v>
      </c>
      <c r="AG1842" t="s">
        <v>2469</v>
      </c>
      <c r="AI1842" t="s">
        <v>59</v>
      </c>
      <c r="AL1842" t="s">
        <v>4329</v>
      </c>
      <c r="AN1842" s="3">
        <v>46072.754861111112</v>
      </c>
      <c r="AO1842" t="s">
        <v>1883</v>
      </c>
    </row>
    <row r="1843" spans="1:41" x14ac:dyDescent="0.3">
      <c r="A1843" t="s">
        <v>306</v>
      </c>
      <c r="B1843" t="s">
        <v>1060</v>
      </c>
      <c r="C1843" t="s">
        <v>100</v>
      </c>
      <c r="D1843" t="s">
        <v>184</v>
      </c>
      <c r="E1843" s="1">
        <v>46072</v>
      </c>
      <c r="F1843" t="s">
        <v>621</v>
      </c>
      <c r="G1843" t="s">
        <v>45</v>
      </c>
      <c r="H1843" s="2">
        <v>0.45833333333333331</v>
      </c>
      <c r="I1843" s="2">
        <v>0.95833333333333337</v>
      </c>
      <c r="J1843" t="s">
        <v>1061</v>
      </c>
      <c r="L1843" t="s">
        <v>473</v>
      </c>
      <c r="M1843" t="s">
        <v>3351</v>
      </c>
      <c r="N1843" t="s">
        <v>3352</v>
      </c>
      <c r="O1843">
        <v>22015</v>
      </c>
      <c r="Q1843" t="s">
        <v>2197</v>
      </c>
      <c r="R1843" t="s">
        <v>314</v>
      </c>
      <c r="S1843" t="s">
        <v>119</v>
      </c>
      <c r="T1843" t="s">
        <v>414</v>
      </c>
      <c r="U1843">
        <v>891442</v>
      </c>
      <c r="V1843" s="3">
        <v>46071.633333333331</v>
      </c>
      <c r="W1843" t="s">
        <v>3353</v>
      </c>
      <c r="X1843" t="s">
        <v>3354</v>
      </c>
      <c r="Y1843" t="str">
        <f>"0424715515"</f>
        <v>0424715515</v>
      </c>
      <c r="Z1843" t="s">
        <v>70</v>
      </c>
      <c r="AB1843" t="s">
        <v>1066</v>
      </c>
      <c r="AD1843" t="s">
        <v>306</v>
      </c>
      <c r="AE1843" t="s">
        <v>1067</v>
      </c>
      <c r="AF1843">
        <v>3084</v>
      </c>
      <c r="AI1843" t="s">
        <v>59</v>
      </c>
      <c r="AL1843" t="s">
        <v>1068</v>
      </c>
      <c r="AM1843" t="s">
        <v>4361</v>
      </c>
      <c r="AN1843" s="3">
        <v>46071.635416666664</v>
      </c>
      <c r="AO1843" t="s">
        <v>314</v>
      </c>
    </row>
    <row r="1844" spans="1:41" x14ac:dyDescent="0.3">
      <c r="A1844" t="s">
        <v>41</v>
      </c>
      <c r="B1844" t="s">
        <v>138</v>
      </c>
      <c r="C1844" t="s">
        <v>139</v>
      </c>
      <c r="D1844" t="s">
        <v>127</v>
      </c>
      <c r="E1844" s="1">
        <v>46072</v>
      </c>
      <c r="F1844" t="s">
        <v>621</v>
      </c>
      <c r="G1844" t="s">
        <v>45</v>
      </c>
      <c r="H1844" s="2">
        <v>0.46875</v>
      </c>
      <c r="I1844" s="2">
        <v>0.63541666666666663</v>
      </c>
      <c r="J1844" t="s">
        <v>140</v>
      </c>
      <c r="L1844" t="s">
        <v>141</v>
      </c>
      <c r="M1844" t="s">
        <v>142</v>
      </c>
      <c r="N1844" t="s">
        <v>143</v>
      </c>
      <c r="O1844">
        <v>22649</v>
      </c>
      <c r="Q1844" t="s">
        <v>3419</v>
      </c>
      <c r="R1844" t="s">
        <v>1472</v>
      </c>
      <c r="S1844" t="s">
        <v>52</v>
      </c>
      <c r="U1844">
        <v>891130</v>
      </c>
      <c r="V1844" s="3">
        <v>46065.662499999999</v>
      </c>
      <c r="W1844" t="s">
        <v>146</v>
      </c>
      <c r="X1844" t="s">
        <v>147</v>
      </c>
      <c r="Y1844" t="str">
        <f>"0407039143"</f>
        <v>0407039143</v>
      </c>
      <c r="Z1844" t="s">
        <v>55</v>
      </c>
      <c r="AA1844" s="1">
        <v>46072</v>
      </c>
      <c r="AB1844" t="s">
        <v>148</v>
      </c>
      <c r="AC1844" t="s">
        <v>149</v>
      </c>
      <c r="AD1844" t="s">
        <v>41</v>
      </c>
      <c r="AE1844" t="s">
        <v>150</v>
      </c>
      <c r="AF1844">
        <v>4000</v>
      </c>
      <c r="AG1844" t="s">
        <v>3665</v>
      </c>
      <c r="AI1844" t="s">
        <v>59</v>
      </c>
      <c r="AL1844" t="s">
        <v>2236</v>
      </c>
      <c r="AN1844" s="3">
        <v>46072.680555555555</v>
      </c>
      <c r="AO1844" t="s">
        <v>146</v>
      </c>
    </row>
    <row r="1845" spans="1:41" x14ac:dyDescent="0.3">
      <c r="A1845" t="s">
        <v>168</v>
      </c>
      <c r="B1845" t="s">
        <v>982</v>
      </c>
      <c r="C1845" t="s">
        <v>100</v>
      </c>
      <c r="D1845" t="s">
        <v>127</v>
      </c>
      <c r="E1845" s="1">
        <v>46072</v>
      </c>
      <c r="F1845" t="s">
        <v>621</v>
      </c>
      <c r="G1845" t="s">
        <v>128</v>
      </c>
      <c r="H1845" s="2">
        <v>0.5</v>
      </c>
      <c r="I1845" s="2">
        <v>0.83333333333333337</v>
      </c>
      <c r="J1845" t="s">
        <v>100</v>
      </c>
      <c r="L1845" t="s">
        <v>100</v>
      </c>
      <c r="M1845" t="s">
        <v>411</v>
      </c>
      <c r="N1845" t="s">
        <v>412</v>
      </c>
      <c r="O1845">
        <v>228</v>
      </c>
      <c r="Q1845" t="s">
        <v>983</v>
      </c>
      <c r="R1845" t="s">
        <v>231</v>
      </c>
      <c r="S1845" t="s">
        <v>52</v>
      </c>
      <c r="U1845">
        <v>891162</v>
      </c>
      <c r="V1845" s="3">
        <v>46030.459722222222</v>
      </c>
      <c r="W1845" t="s">
        <v>415</v>
      </c>
      <c r="X1845" t="s">
        <v>416</v>
      </c>
      <c r="Y1845" t="str">
        <f>"0414869673"</f>
        <v>0414869673</v>
      </c>
      <c r="Z1845" t="s">
        <v>1635</v>
      </c>
      <c r="AA1845" s="1">
        <v>46072</v>
      </c>
      <c r="AB1845" t="s">
        <v>985</v>
      </c>
      <c r="AD1845" t="s">
        <v>168</v>
      </c>
      <c r="AE1845" t="s">
        <v>279</v>
      </c>
      <c r="AF1845">
        <v>5092</v>
      </c>
      <c r="AG1845" t="s">
        <v>986</v>
      </c>
      <c r="AI1845" t="s">
        <v>59</v>
      </c>
      <c r="AL1845" t="s">
        <v>1098</v>
      </c>
      <c r="AN1845" s="3">
        <v>46072.852777777778</v>
      </c>
      <c r="AO1845" t="s">
        <v>415</v>
      </c>
    </row>
    <row r="1846" spans="1:41" x14ac:dyDescent="0.3">
      <c r="A1846" t="s">
        <v>61</v>
      </c>
      <c r="B1846" t="s">
        <v>655</v>
      </c>
      <c r="C1846" t="s">
        <v>43</v>
      </c>
      <c r="D1846" t="s">
        <v>656</v>
      </c>
      <c r="E1846" s="1">
        <v>46072</v>
      </c>
      <c r="F1846" t="s">
        <v>621</v>
      </c>
      <c r="G1846" t="s">
        <v>128</v>
      </c>
      <c r="H1846" s="2">
        <v>0.52083333333333337</v>
      </c>
      <c r="I1846" s="2">
        <v>0.99861111111111112</v>
      </c>
      <c r="J1846" t="s">
        <v>185</v>
      </c>
      <c r="K1846" t="s">
        <v>327</v>
      </c>
      <c r="L1846" t="s">
        <v>47</v>
      </c>
      <c r="M1846" t="s">
        <v>657</v>
      </c>
      <c r="N1846" t="s">
        <v>658</v>
      </c>
      <c r="O1846">
        <v>22959</v>
      </c>
      <c r="Q1846" t="s">
        <v>665</v>
      </c>
      <c r="R1846" t="s">
        <v>1248</v>
      </c>
      <c r="S1846" t="s">
        <v>52</v>
      </c>
      <c r="U1846">
        <v>891128</v>
      </c>
      <c r="V1846" s="3">
        <v>46058.824999999997</v>
      </c>
      <c r="W1846" t="s">
        <v>660</v>
      </c>
      <c r="X1846" t="s">
        <v>661</v>
      </c>
      <c r="Y1846" t="str">
        <f>"0451533427"</f>
        <v>0451533427</v>
      </c>
      <c r="Z1846" t="s">
        <v>70</v>
      </c>
      <c r="AB1846" t="s">
        <v>662</v>
      </c>
      <c r="AC1846" t="s">
        <v>663</v>
      </c>
      <c r="AD1846" t="s">
        <v>61</v>
      </c>
      <c r="AE1846" t="s">
        <v>664</v>
      </c>
      <c r="AF1846">
        <v>2067</v>
      </c>
      <c r="AG1846" t="s">
        <v>665</v>
      </c>
      <c r="AI1846" t="s">
        <v>59</v>
      </c>
      <c r="AL1846" t="s">
        <v>4362</v>
      </c>
      <c r="AN1846" s="3">
        <v>46072.677777777775</v>
      </c>
      <c r="AO1846" t="s">
        <v>660</v>
      </c>
    </row>
    <row r="1847" spans="1:41" x14ac:dyDescent="0.3">
      <c r="A1847" t="s">
        <v>168</v>
      </c>
      <c r="B1847" t="s">
        <v>441</v>
      </c>
      <c r="C1847" t="s">
        <v>43</v>
      </c>
      <c r="E1847" s="1">
        <v>46072</v>
      </c>
      <c r="F1847" t="s">
        <v>621</v>
      </c>
      <c r="G1847" t="s">
        <v>128</v>
      </c>
      <c r="H1847" s="2">
        <v>0.52083333333333337</v>
      </c>
      <c r="I1847" s="2">
        <v>0.85416666666666663</v>
      </c>
      <c r="J1847" t="s">
        <v>185</v>
      </c>
      <c r="K1847" t="s">
        <v>678</v>
      </c>
      <c r="L1847" t="s">
        <v>186</v>
      </c>
      <c r="M1847" t="s">
        <v>1918</v>
      </c>
      <c r="N1847" t="s">
        <v>1919</v>
      </c>
      <c r="O1847">
        <v>21455</v>
      </c>
      <c r="Q1847" t="s">
        <v>944</v>
      </c>
      <c r="R1847" t="s">
        <v>556</v>
      </c>
      <c r="S1847" t="s">
        <v>52</v>
      </c>
      <c r="U1847">
        <v>891155</v>
      </c>
      <c r="V1847" s="3">
        <v>46051.081944444442</v>
      </c>
      <c r="W1847" t="s">
        <v>1920</v>
      </c>
      <c r="X1847" t="s">
        <v>1921</v>
      </c>
      <c r="Y1847" t="str">
        <f>"0431412572"</f>
        <v>0431412572</v>
      </c>
      <c r="Z1847" t="s">
        <v>70</v>
      </c>
      <c r="AA1847" s="1">
        <v>46072</v>
      </c>
      <c r="AB1847" t="s">
        <v>448</v>
      </c>
      <c r="AD1847" t="s">
        <v>168</v>
      </c>
      <c r="AE1847" t="s">
        <v>180</v>
      </c>
      <c r="AF1847">
        <v>5063</v>
      </c>
      <c r="AG1847" t="s">
        <v>944</v>
      </c>
      <c r="AI1847" t="s">
        <v>59</v>
      </c>
      <c r="AL1847" t="s">
        <v>1121</v>
      </c>
      <c r="AN1847" s="3">
        <v>46072.795138888891</v>
      </c>
      <c r="AO1847" t="s">
        <v>1920</v>
      </c>
    </row>
    <row r="1848" spans="1:41" x14ac:dyDescent="0.3">
      <c r="A1848" t="s">
        <v>168</v>
      </c>
      <c r="B1848" t="s">
        <v>441</v>
      </c>
      <c r="C1848" t="s">
        <v>43</v>
      </c>
      <c r="E1848" s="1">
        <v>46072</v>
      </c>
      <c r="F1848" t="s">
        <v>621</v>
      </c>
      <c r="G1848" t="s">
        <v>128</v>
      </c>
      <c r="H1848" s="2">
        <v>0.52083333333333337</v>
      </c>
      <c r="I1848" s="2">
        <v>0.85416666666666663</v>
      </c>
      <c r="J1848" t="s">
        <v>185</v>
      </c>
      <c r="K1848" t="s">
        <v>678</v>
      </c>
      <c r="L1848" t="s">
        <v>186</v>
      </c>
      <c r="M1848" t="s">
        <v>1117</v>
      </c>
      <c r="N1848" t="s">
        <v>1118</v>
      </c>
      <c r="O1848">
        <v>5952419</v>
      </c>
      <c r="Q1848" t="s">
        <v>944</v>
      </c>
      <c r="R1848" t="s">
        <v>556</v>
      </c>
      <c r="S1848" t="s">
        <v>52</v>
      </c>
      <c r="U1848">
        <v>891165</v>
      </c>
      <c r="V1848" s="3">
        <v>46051.081944444442</v>
      </c>
      <c r="W1848" t="s">
        <v>1119</v>
      </c>
      <c r="X1848" t="s">
        <v>1120</v>
      </c>
      <c r="Y1848" t="str">
        <f>"0433820679"</f>
        <v>0433820679</v>
      </c>
      <c r="Z1848" t="s">
        <v>70</v>
      </c>
      <c r="AA1848" s="1">
        <v>46072</v>
      </c>
      <c r="AB1848" t="s">
        <v>448</v>
      </c>
      <c r="AD1848" t="s">
        <v>168</v>
      </c>
      <c r="AE1848" t="s">
        <v>180</v>
      </c>
      <c r="AF1848">
        <v>5063</v>
      </c>
      <c r="AG1848" t="s">
        <v>944</v>
      </c>
      <c r="AI1848" t="s">
        <v>59</v>
      </c>
      <c r="AL1848" t="s">
        <v>1121</v>
      </c>
      <c r="AN1848" s="3">
        <v>46072.873611111114</v>
      </c>
      <c r="AO1848" t="s">
        <v>1119</v>
      </c>
    </row>
    <row r="1849" spans="1:41" x14ac:dyDescent="0.3">
      <c r="A1849" t="s">
        <v>41</v>
      </c>
      <c r="B1849" t="s">
        <v>244</v>
      </c>
      <c r="C1849" t="s">
        <v>245</v>
      </c>
      <c r="D1849" t="s">
        <v>246</v>
      </c>
      <c r="E1849" s="1">
        <v>46072</v>
      </c>
      <c r="F1849" t="s">
        <v>621</v>
      </c>
      <c r="G1849" t="s">
        <v>45</v>
      </c>
      <c r="H1849" s="2">
        <v>0.52083333333333337</v>
      </c>
      <c r="I1849" s="2">
        <v>0.875</v>
      </c>
      <c r="J1849" t="s">
        <v>100</v>
      </c>
      <c r="L1849" t="s">
        <v>452</v>
      </c>
      <c r="M1849" t="s">
        <v>1122</v>
      </c>
      <c r="N1849" t="s">
        <v>1123</v>
      </c>
      <c r="O1849">
        <v>5951585</v>
      </c>
      <c r="P1849" t="s">
        <v>249</v>
      </c>
      <c r="Q1849" t="s">
        <v>250</v>
      </c>
      <c r="R1849" t="s">
        <v>1124</v>
      </c>
      <c r="S1849" t="s">
        <v>52</v>
      </c>
      <c r="T1849" t="s">
        <v>252</v>
      </c>
      <c r="U1849">
        <v>891477</v>
      </c>
      <c r="V1849" s="3">
        <v>46076.592361111114</v>
      </c>
      <c r="W1849" t="s">
        <v>1124</v>
      </c>
      <c r="X1849" t="s">
        <v>1125</v>
      </c>
      <c r="Y1849" t="str">
        <f>"0406622986"</f>
        <v>0406622986</v>
      </c>
      <c r="Z1849" t="s">
        <v>527</v>
      </c>
      <c r="AA1849" s="1">
        <v>46082</v>
      </c>
      <c r="AB1849" t="s">
        <v>255</v>
      </c>
      <c r="AD1849" t="s">
        <v>41</v>
      </c>
      <c r="AE1849" t="s">
        <v>256</v>
      </c>
      <c r="AF1849">
        <v>4655</v>
      </c>
      <c r="AG1849" t="s">
        <v>3449</v>
      </c>
      <c r="AI1849" t="s">
        <v>59</v>
      </c>
      <c r="AJ1849" t="str">
        <f>"0050076953"</f>
        <v>0050076953</v>
      </c>
      <c r="AN1849" s="3">
        <v>46076.592361111114</v>
      </c>
      <c r="AO1849" t="s">
        <v>1124</v>
      </c>
    </row>
    <row r="1850" spans="1:41" x14ac:dyDescent="0.3">
      <c r="A1850" t="s">
        <v>75</v>
      </c>
      <c r="B1850" t="s">
        <v>4363</v>
      </c>
      <c r="C1850" t="s">
        <v>43</v>
      </c>
      <c r="D1850" t="s">
        <v>127</v>
      </c>
      <c r="E1850" s="1">
        <v>46072</v>
      </c>
      <c r="F1850" t="s">
        <v>621</v>
      </c>
      <c r="G1850" t="s">
        <v>128</v>
      </c>
      <c r="H1850" s="2">
        <v>0.52083333333333337</v>
      </c>
      <c r="I1850" s="2">
        <v>0.75</v>
      </c>
      <c r="J1850" t="s">
        <v>185</v>
      </c>
      <c r="L1850" t="s">
        <v>186</v>
      </c>
      <c r="M1850" t="s">
        <v>1070</v>
      </c>
      <c r="N1850" t="s">
        <v>1071</v>
      </c>
      <c r="O1850">
        <v>5951604</v>
      </c>
      <c r="Q1850" t="s">
        <v>4364</v>
      </c>
      <c r="R1850" t="s">
        <v>1248</v>
      </c>
      <c r="S1850" t="s">
        <v>52</v>
      </c>
      <c r="U1850">
        <v>891170</v>
      </c>
      <c r="V1850" s="3">
        <v>46071.78402777778</v>
      </c>
      <c r="W1850" t="s">
        <v>1072</v>
      </c>
      <c r="X1850" t="s">
        <v>1073</v>
      </c>
      <c r="Y1850" t="str">
        <f>"0410139992"</f>
        <v>0410139992</v>
      </c>
      <c r="Z1850" t="s">
        <v>70</v>
      </c>
      <c r="AA1850" s="1">
        <v>46072</v>
      </c>
      <c r="AB1850" t="s">
        <v>4365</v>
      </c>
      <c r="AD1850" t="s">
        <v>75</v>
      </c>
      <c r="AE1850" t="s">
        <v>1110</v>
      </c>
      <c r="AF1850">
        <v>6014</v>
      </c>
      <c r="AG1850" t="s">
        <v>4364</v>
      </c>
      <c r="AI1850" t="s">
        <v>59</v>
      </c>
      <c r="AL1850" t="s">
        <v>87</v>
      </c>
      <c r="AN1850" s="3">
        <v>46072.896527777775</v>
      </c>
      <c r="AO1850" t="s">
        <v>1072</v>
      </c>
    </row>
    <row r="1851" spans="1:41" x14ac:dyDescent="0.3">
      <c r="A1851" t="s">
        <v>168</v>
      </c>
      <c r="B1851" t="s">
        <v>1205</v>
      </c>
      <c r="C1851" t="s">
        <v>216</v>
      </c>
      <c r="D1851" t="s">
        <v>127</v>
      </c>
      <c r="E1851" s="1">
        <v>46072</v>
      </c>
      <c r="F1851" t="s">
        <v>621</v>
      </c>
      <c r="G1851" t="s">
        <v>128</v>
      </c>
      <c r="H1851" s="2">
        <v>0.52083333333333337</v>
      </c>
      <c r="I1851" s="2">
        <v>0.77083333333333337</v>
      </c>
      <c r="J1851" t="s">
        <v>101</v>
      </c>
      <c r="L1851" t="s">
        <v>159</v>
      </c>
      <c r="M1851" t="s">
        <v>1023</v>
      </c>
      <c r="N1851" t="s">
        <v>1024</v>
      </c>
      <c r="O1851">
        <v>22730</v>
      </c>
      <c r="Q1851" t="s">
        <v>1208</v>
      </c>
      <c r="R1851" t="s">
        <v>176</v>
      </c>
      <c r="S1851" t="s">
        <v>52</v>
      </c>
      <c r="U1851">
        <v>891159</v>
      </c>
      <c r="V1851" s="3">
        <v>46070.554166666669</v>
      </c>
      <c r="W1851" t="s">
        <v>1027</v>
      </c>
      <c r="X1851" t="s">
        <v>1028</v>
      </c>
      <c r="Y1851" t="str">
        <f>"0402354674"</f>
        <v>0402354674</v>
      </c>
      <c r="Z1851" t="s">
        <v>123</v>
      </c>
      <c r="AA1851" s="1">
        <v>46072</v>
      </c>
      <c r="AB1851" t="s">
        <v>1211</v>
      </c>
      <c r="AD1851" t="s">
        <v>168</v>
      </c>
      <c r="AE1851" t="s">
        <v>1212</v>
      </c>
      <c r="AF1851">
        <v>5045</v>
      </c>
      <c r="AG1851" t="s">
        <v>1208</v>
      </c>
      <c r="AI1851" t="s">
        <v>59</v>
      </c>
      <c r="AL1851" t="s">
        <v>4002</v>
      </c>
      <c r="AN1851" s="3">
        <v>46072.810416666667</v>
      </c>
      <c r="AO1851" t="s">
        <v>1027</v>
      </c>
    </row>
    <row r="1852" spans="1:41" x14ac:dyDescent="0.3">
      <c r="A1852" t="s">
        <v>168</v>
      </c>
      <c r="B1852" t="s">
        <v>326</v>
      </c>
      <c r="C1852" t="s">
        <v>43</v>
      </c>
      <c r="D1852" t="s">
        <v>127</v>
      </c>
      <c r="E1852" s="1">
        <v>46072</v>
      </c>
      <c r="F1852" t="s">
        <v>621</v>
      </c>
      <c r="G1852" t="s">
        <v>128</v>
      </c>
      <c r="H1852" s="2">
        <v>0.52083333333333337</v>
      </c>
      <c r="I1852" s="2">
        <v>0.79166666666666663</v>
      </c>
      <c r="J1852" t="s">
        <v>185</v>
      </c>
      <c r="L1852" t="s">
        <v>186</v>
      </c>
      <c r="M1852" t="s">
        <v>328</v>
      </c>
      <c r="N1852" t="s">
        <v>329</v>
      </c>
      <c r="O1852">
        <v>21236</v>
      </c>
      <c r="Q1852" t="s">
        <v>330</v>
      </c>
      <c r="R1852" t="s">
        <v>3993</v>
      </c>
      <c r="S1852" t="s">
        <v>52</v>
      </c>
      <c r="U1852">
        <v>891147</v>
      </c>
      <c r="V1852" s="3">
        <v>46005.844444444447</v>
      </c>
      <c r="W1852" t="s">
        <v>331</v>
      </c>
      <c r="X1852" t="s">
        <v>332</v>
      </c>
      <c r="Y1852" t="str">
        <f>"0487444258"</f>
        <v>0487444258</v>
      </c>
      <c r="Z1852" t="s">
        <v>1806</v>
      </c>
      <c r="AB1852" t="s">
        <v>333</v>
      </c>
      <c r="AD1852" t="s">
        <v>168</v>
      </c>
      <c r="AE1852" t="s">
        <v>334</v>
      </c>
      <c r="AF1852">
        <v>5034</v>
      </c>
      <c r="AI1852" t="s">
        <v>59</v>
      </c>
      <c r="AL1852" t="s">
        <v>1121</v>
      </c>
      <c r="AM1852" t="s">
        <v>4366</v>
      </c>
      <c r="AN1852" s="3">
        <v>46072.770138888889</v>
      </c>
      <c r="AO1852" t="s">
        <v>331</v>
      </c>
    </row>
    <row r="1853" spans="1:41" x14ac:dyDescent="0.3">
      <c r="A1853" t="s">
        <v>168</v>
      </c>
      <c r="B1853" t="s">
        <v>215</v>
      </c>
      <c r="C1853" t="s">
        <v>43</v>
      </c>
      <c r="D1853" t="s">
        <v>127</v>
      </c>
      <c r="E1853" s="1">
        <v>46072</v>
      </c>
      <c r="F1853" t="s">
        <v>621</v>
      </c>
      <c r="G1853" t="s">
        <v>128</v>
      </c>
      <c r="H1853" s="2">
        <v>0.52083333333333337</v>
      </c>
      <c r="I1853" s="2">
        <v>0.83333333333333337</v>
      </c>
      <c r="J1853" t="s">
        <v>258</v>
      </c>
      <c r="K1853" t="s">
        <v>259</v>
      </c>
      <c r="L1853" t="s">
        <v>186</v>
      </c>
      <c r="M1853" t="s">
        <v>798</v>
      </c>
      <c r="N1853" t="s">
        <v>799</v>
      </c>
      <c r="O1853">
        <v>20875</v>
      </c>
      <c r="Q1853" t="s">
        <v>219</v>
      </c>
      <c r="R1853" t="s">
        <v>556</v>
      </c>
      <c r="S1853" t="s">
        <v>52</v>
      </c>
      <c r="U1853">
        <v>891145</v>
      </c>
      <c r="V1853" s="3">
        <v>46057.04791666667</v>
      </c>
      <c r="W1853" t="s">
        <v>800</v>
      </c>
      <c r="X1853" t="s">
        <v>801</v>
      </c>
      <c r="Y1853" t="str">
        <f>"0417001267"</f>
        <v>0417001267</v>
      </c>
      <c r="Z1853" t="s">
        <v>70</v>
      </c>
      <c r="AA1853" s="1">
        <v>46072</v>
      </c>
      <c r="AB1853" t="s">
        <v>222</v>
      </c>
      <c r="AD1853" t="s">
        <v>168</v>
      </c>
      <c r="AE1853" t="s">
        <v>223</v>
      </c>
      <c r="AF1853">
        <v>5069</v>
      </c>
      <c r="AG1853" t="s">
        <v>219</v>
      </c>
      <c r="AI1853" t="s">
        <v>59</v>
      </c>
      <c r="AL1853" t="s">
        <v>4367</v>
      </c>
      <c r="AN1853" s="3">
        <v>46072.762499999997</v>
      </c>
      <c r="AO1853" t="s">
        <v>800</v>
      </c>
    </row>
    <row r="1854" spans="1:41" x14ac:dyDescent="0.3">
      <c r="A1854" t="s">
        <v>306</v>
      </c>
      <c r="B1854" t="s">
        <v>307</v>
      </c>
      <c r="C1854" t="s">
        <v>308</v>
      </c>
      <c r="D1854" t="s">
        <v>309</v>
      </c>
      <c r="E1854" s="1">
        <v>46072</v>
      </c>
      <c r="F1854" t="s">
        <v>621</v>
      </c>
      <c r="G1854" t="s">
        <v>128</v>
      </c>
      <c r="H1854" s="2">
        <v>0.54166666666666663</v>
      </c>
      <c r="I1854" s="2">
        <v>0.89583333333333337</v>
      </c>
      <c r="J1854" t="s">
        <v>296</v>
      </c>
      <c r="K1854" t="s">
        <v>2373</v>
      </c>
      <c r="L1854" t="s">
        <v>2374</v>
      </c>
      <c r="M1854" t="s">
        <v>2375</v>
      </c>
      <c r="N1854" t="s">
        <v>2376</v>
      </c>
      <c r="O1854">
        <v>5952415</v>
      </c>
      <c r="Q1854" t="s">
        <v>3590</v>
      </c>
      <c r="R1854" t="s">
        <v>1763</v>
      </c>
      <c r="S1854" t="s">
        <v>52</v>
      </c>
      <c r="U1854">
        <v>891353</v>
      </c>
      <c r="V1854" s="3">
        <v>46072.377083333333</v>
      </c>
      <c r="W1854" t="s">
        <v>2378</v>
      </c>
      <c r="X1854" t="s">
        <v>2379</v>
      </c>
      <c r="Y1854" t="str">
        <f>"0422461185"</f>
        <v>0422461185</v>
      </c>
      <c r="Z1854" t="s">
        <v>70</v>
      </c>
      <c r="AA1854" s="1">
        <v>46072</v>
      </c>
      <c r="AB1854" t="s">
        <v>317</v>
      </c>
      <c r="AD1854" t="s">
        <v>306</v>
      </c>
      <c r="AE1854" t="s">
        <v>318</v>
      </c>
      <c r="AF1854">
        <v>3162</v>
      </c>
      <c r="AG1854" t="s">
        <v>2380</v>
      </c>
      <c r="AI1854" t="s">
        <v>59</v>
      </c>
      <c r="AL1854" t="s">
        <v>87</v>
      </c>
      <c r="AN1854" s="3">
        <v>46074.747916666667</v>
      </c>
      <c r="AO1854" t="s">
        <v>2378</v>
      </c>
    </row>
    <row r="1855" spans="1:41" x14ac:dyDescent="0.3">
      <c r="A1855" t="s">
        <v>168</v>
      </c>
      <c r="B1855" t="s">
        <v>441</v>
      </c>
      <c r="C1855" t="s">
        <v>101</v>
      </c>
      <c r="E1855" s="1">
        <v>46072</v>
      </c>
      <c r="F1855" t="s">
        <v>621</v>
      </c>
      <c r="G1855" t="s">
        <v>128</v>
      </c>
      <c r="H1855" s="2">
        <v>0.54166666666666663</v>
      </c>
      <c r="I1855" s="2">
        <v>0.875</v>
      </c>
      <c r="J1855" t="s">
        <v>101</v>
      </c>
      <c r="L1855" t="s">
        <v>159</v>
      </c>
      <c r="M1855" t="s">
        <v>1430</v>
      </c>
      <c r="N1855" t="s">
        <v>1431</v>
      </c>
      <c r="O1855">
        <v>5951468</v>
      </c>
      <c r="P1855" t="s">
        <v>3444</v>
      </c>
      <c r="Q1855" t="s">
        <v>944</v>
      </c>
      <c r="R1855" t="s">
        <v>556</v>
      </c>
      <c r="S1855" t="s">
        <v>52</v>
      </c>
      <c r="U1855">
        <v>891164</v>
      </c>
      <c r="V1855" s="3">
        <v>46050.945138888892</v>
      </c>
      <c r="W1855" t="s">
        <v>1432</v>
      </c>
      <c r="X1855" t="s">
        <v>1433</v>
      </c>
      <c r="Y1855" t="str">
        <f>"0476999212"</f>
        <v>0476999212</v>
      </c>
      <c r="Z1855" t="s">
        <v>70</v>
      </c>
      <c r="AA1855" s="1">
        <v>46072</v>
      </c>
      <c r="AB1855" t="s">
        <v>448</v>
      </c>
      <c r="AD1855" t="s">
        <v>168</v>
      </c>
      <c r="AE1855" t="s">
        <v>180</v>
      </c>
      <c r="AF1855">
        <v>5063</v>
      </c>
      <c r="AG1855" t="s">
        <v>944</v>
      </c>
      <c r="AI1855" t="s">
        <v>59</v>
      </c>
      <c r="AL1855" t="s">
        <v>1121</v>
      </c>
      <c r="AN1855" s="3">
        <v>46072.866666666669</v>
      </c>
      <c r="AO1855" t="s">
        <v>1432</v>
      </c>
    </row>
    <row r="1856" spans="1:41" x14ac:dyDescent="0.3">
      <c r="A1856" t="s">
        <v>168</v>
      </c>
      <c r="B1856" t="s">
        <v>266</v>
      </c>
      <c r="D1856" t="s">
        <v>268</v>
      </c>
      <c r="E1856" s="1">
        <v>46072</v>
      </c>
      <c r="F1856" t="s">
        <v>621</v>
      </c>
      <c r="G1856" t="s">
        <v>128</v>
      </c>
      <c r="H1856" s="2">
        <v>0.54166666666666663</v>
      </c>
      <c r="I1856" s="2">
        <v>0.89583333333333337</v>
      </c>
      <c r="J1856" t="s">
        <v>269</v>
      </c>
      <c r="K1856" t="s">
        <v>297</v>
      </c>
      <c r="L1856" t="s">
        <v>47</v>
      </c>
      <c r="M1856" t="s">
        <v>517</v>
      </c>
      <c r="N1856" t="s">
        <v>518</v>
      </c>
      <c r="O1856">
        <v>5951368</v>
      </c>
      <c r="Q1856" t="s">
        <v>4368</v>
      </c>
      <c r="R1856" t="s">
        <v>176</v>
      </c>
      <c r="S1856" t="s">
        <v>52</v>
      </c>
      <c r="U1856">
        <v>891172</v>
      </c>
      <c r="V1856" s="3">
        <v>45993.429166666669</v>
      </c>
      <c r="W1856" t="s">
        <v>519</v>
      </c>
      <c r="X1856" t="s">
        <v>520</v>
      </c>
      <c r="Y1856" t="str">
        <f>"0420208072"</f>
        <v>0420208072</v>
      </c>
      <c r="Z1856" t="s">
        <v>4369</v>
      </c>
      <c r="AB1856" t="s">
        <v>277</v>
      </c>
      <c r="AC1856" t="s">
        <v>278</v>
      </c>
      <c r="AD1856" t="s">
        <v>168</v>
      </c>
      <c r="AE1856" t="s">
        <v>279</v>
      </c>
      <c r="AF1856">
        <v>5092</v>
      </c>
      <c r="AG1856" t="s">
        <v>274</v>
      </c>
      <c r="AI1856" t="s">
        <v>59</v>
      </c>
      <c r="AL1856" t="s">
        <v>4370</v>
      </c>
      <c r="AM1856" t="s">
        <v>281</v>
      </c>
      <c r="AN1856" s="3">
        <v>46072.911805555559</v>
      </c>
      <c r="AO1856" t="s">
        <v>519</v>
      </c>
    </row>
    <row r="1857" spans="1:41" x14ac:dyDescent="0.3">
      <c r="A1857" t="s">
        <v>168</v>
      </c>
      <c r="B1857" t="s">
        <v>326</v>
      </c>
      <c r="C1857" t="s">
        <v>43</v>
      </c>
      <c r="D1857" t="s">
        <v>127</v>
      </c>
      <c r="E1857" s="1">
        <v>46072</v>
      </c>
      <c r="F1857" t="s">
        <v>621</v>
      </c>
      <c r="G1857" t="s">
        <v>128</v>
      </c>
      <c r="H1857" s="2">
        <v>0.54166666666666663</v>
      </c>
      <c r="I1857" s="2">
        <v>0.79166666666666663</v>
      </c>
      <c r="J1857" t="s">
        <v>185</v>
      </c>
      <c r="K1857" t="s">
        <v>327</v>
      </c>
      <c r="L1857" t="s">
        <v>186</v>
      </c>
      <c r="M1857" t="s">
        <v>729</v>
      </c>
      <c r="N1857" t="s">
        <v>1939</v>
      </c>
      <c r="O1857">
        <v>5950817</v>
      </c>
      <c r="Q1857" t="s">
        <v>676</v>
      </c>
      <c r="R1857" t="s">
        <v>176</v>
      </c>
      <c r="S1857" t="s">
        <v>52</v>
      </c>
      <c r="U1857">
        <v>891148</v>
      </c>
      <c r="V1857" s="3">
        <v>46044.40902777778</v>
      </c>
      <c r="W1857" t="s">
        <v>2849</v>
      </c>
      <c r="X1857" t="s">
        <v>2850</v>
      </c>
      <c r="Y1857" t="str">
        <f>"0426051216"</f>
        <v>0426051216</v>
      </c>
      <c r="Z1857" t="s">
        <v>1201</v>
      </c>
      <c r="AB1857" t="s">
        <v>333</v>
      </c>
      <c r="AD1857" t="s">
        <v>168</v>
      </c>
      <c r="AE1857" t="s">
        <v>334</v>
      </c>
      <c r="AF1857">
        <v>5034</v>
      </c>
      <c r="AG1857" t="s">
        <v>676</v>
      </c>
      <c r="AI1857" t="s">
        <v>59</v>
      </c>
      <c r="AL1857" t="s">
        <v>1121</v>
      </c>
      <c r="AN1857" s="3">
        <v>46072.770138888889</v>
      </c>
      <c r="AO1857" t="s">
        <v>2849</v>
      </c>
    </row>
    <row r="1858" spans="1:41" x14ac:dyDescent="0.3">
      <c r="A1858" t="s">
        <v>168</v>
      </c>
      <c r="B1858" t="s">
        <v>326</v>
      </c>
      <c r="C1858" t="s">
        <v>1150</v>
      </c>
      <c r="D1858" t="s">
        <v>127</v>
      </c>
      <c r="E1858" s="1">
        <v>46072</v>
      </c>
      <c r="F1858" t="s">
        <v>621</v>
      </c>
      <c r="G1858" t="s">
        <v>128</v>
      </c>
      <c r="H1858" s="2">
        <v>0.54166666666666663</v>
      </c>
      <c r="I1858" s="2">
        <v>0.79166666666666663</v>
      </c>
      <c r="J1858" t="s">
        <v>101</v>
      </c>
      <c r="L1858" t="s">
        <v>159</v>
      </c>
      <c r="M1858" t="s">
        <v>217</v>
      </c>
      <c r="N1858" t="s">
        <v>218</v>
      </c>
      <c r="O1858">
        <v>32</v>
      </c>
      <c r="Q1858" t="s">
        <v>676</v>
      </c>
      <c r="R1858" t="s">
        <v>132</v>
      </c>
      <c r="S1858" t="s">
        <v>52</v>
      </c>
      <c r="U1858">
        <v>891151</v>
      </c>
      <c r="V1858" s="3">
        <v>46072.340277777781</v>
      </c>
      <c r="W1858" t="s">
        <v>220</v>
      </c>
      <c r="X1858" t="s">
        <v>221</v>
      </c>
      <c r="Y1858" t="str">
        <f>"0426797353"</f>
        <v>0426797353</v>
      </c>
      <c r="Z1858" t="s">
        <v>70</v>
      </c>
      <c r="AA1858" s="1">
        <v>46072</v>
      </c>
      <c r="AB1858" t="s">
        <v>333</v>
      </c>
      <c r="AD1858" t="s">
        <v>168</v>
      </c>
      <c r="AE1858" t="s">
        <v>334</v>
      </c>
      <c r="AF1858">
        <v>5034</v>
      </c>
      <c r="AG1858" t="s">
        <v>676</v>
      </c>
      <c r="AI1858" t="s">
        <v>59</v>
      </c>
      <c r="AL1858" t="s">
        <v>87</v>
      </c>
      <c r="AN1858" s="3">
        <v>46072.773611111108</v>
      </c>
      <c r="AO1858" t="s">
        <v>220</v>
      </c>
    </row>
    <row r="1859" spans="1:41" x14ac:dyDescent="0.3">
      <c r="A1859" t="s">
        <v>61</v>
      </c>
      <c r="B1859" t="s">
        <v>2984</v>
      </c>
      <c r="C1859" t="s">
        <v>43</v>
      </c>
      <c r="D1859" t="s">
        <v>2985</v>
      </c>
      <c r="E1859" s="1">
        <v>46072</v>
      </c>
      <c r="F1859" t="s">
        <v>621</v>
      </c>
      <c r="G1859" t="s">
        <v>128</v>
      </c>
      <c r="H1859" s="2">
        <v>0.5625</v>
      </c>
      <c r="I1859" s="2">
        <v>0.99861111111111112</v>
      </c>
      <c r="J1859" t="s">
        <v>4371</v>
      </c>
      <c r="L1859" t="s">
        <v>298</v>
      </c>
      <c r="M1859" t="s">
        <v>2011</v>
      </c>
      <c r="N1859" t="s">
        <v>933</v>
      </c>
      <c r="O1859">
        <v>5952316</v>
      </c>
      <c r="Q1859" t="s">
        <v>2986</v>
      </c>
      <c r="R1859" t="s">
        <v>208</v>
      </c>
      <c r="S1859" t="s">
        <v>119</v>
      </c>
      <c r="T1859" t="s">
        <v>414</v>
      </c>
      <c r="U1859">
        <v>891610</v>
      </c>
      <c r="V1859" s="3">
        <v>46070.856944444444</v>
      </c>
      <c r="W1859" t="s">
        <v>2013</v>
      </c>
      <c r="X1859" t="s">
        <v>2014</v>
      </c>
      <c r="Y1859" t="str">
        <f>"1111111111"</f>
        <v>1111111111</v>
      </c>
      <c r="Z1859" t="s">
        <v>545</v>
      </c>
      <c r="AB1859" t="s">
        <v>2987</v>
      </c>
      <c r="AD1859" t="s">
        <v>61</v>
      </c>
      <c r="AE1859" t="s">
        <v>2988</v>
      </c>
      <c r="AF1859">
        <v>2557</v>
      </c>
      <c r="AG1859" t="s">
        <v>4372</v>
      </c>
      <c r="AI1859" t="s">
        <v>59</v>
      </c>
      <c r="AL1859" t="s">
        <v>4373</v>
      </c>
      <c r="AN1859" s="3">
        <v>46071.479861111111</v>
      </c>
      <c r="AO1859" t="s">
        <v>67</v>
      </c>
    </row>
    <row r="1860" spans="1:41" x14ac:dyDescent="0.3">
      <c r="A1860" t="s">
        <v>75</v>
      </c>
      <c r="B1860" t="s">
        <v>895</v>
      </c>
      <c r="C1860" t="s">
        <v>896</v>
      </c>
      <c r="D1860" t="s">
        <v>184</v>
      </c>
      <c r="E1860" s="1">
        <v>46072</v>
      </c>
      <c r="F1860" t="s">
        <v>621</v>
      </c>
      <c r="G1860" t="s">
        <v>45</v>
      </c>
      <c r="H1860" s="2">
        <v>0.58333333333333337</v>
      </c>
      <c r="I1860" s="2">
        <v>0.75</v>
      </c>
      <c r="J1860" t="s">
        <v>46</v>
      </c>
      <c r="L1860" t="s">
        <v>4374</v>
      </c>
      <c r="M1860" t="s">
        <v>4375</v>
      </c>
      <c r="N1860" t="s">
        <v>4376</v>
      </c>
      <c r="O1860">
        <v>5952477</v>
      </c>
      <c r="Q1860" t="s">
        <v>4377</v>
      </c>
      <c r="R1860" t="s">
        <v>81</v>
      </c>
      <c r="S1860" t="s">
        <v>52</v>
      </c>
      <c r="U1860">
        <v>891163</v>
      </c>
      <c r="V1860" s="3">
        <v>46072.460416666669</v>
      </c>
      <c r="W1860" t="s">
        <v>4378</v>
      </c>
      <c r="X1860" t="s">
        <v>4379</v>
      </c>
      <c r="Y1860" t="str">
        <f>"0479018028"</f>
        <v>0479018028</v>
      </c>
      <c r="Z1860" t="s">
        <v>123</v>
      </c>
      <c r="AA1860" s="1">
        <v>46072</v>
      </c>
      <c r="AB1860" t="s">
        <v>902</v>
      </c>
      <c r="AD1860" t="s">
        <v>75</v>
      </c>
      <c r="AE1860" t="s">
        <v>903</v>
      </c>
      <c r="AF1860">
        <v>6009</v>
      </c>
      <c r="AG1860" t="s">
        <v>1830</v>
      </c>
      <c r="AI1860" t="s">
        <v>59</v>
      </c>
      <c r="AL1860" t="s">
        <v>4380</v>
      </c>
      <c r="AN1860" s="3">
        <v>46072.86041666667</v>
      </c>
      <c r="AO1860" t="s">
        <v>4378</v>
      </c>
    </row>
    <row r="1861" spans="1:41" x14ac:dyDescent="0.3">
      <c r="A1861" t="s">
        <v>61</v>
      </c>
      <c r="B1861" t="s">
        <v>158</v>
      </c>
      <c r="C1861" t="s">
        <v>43</v>
      </c>
      <c r="D1861" t="s">
        <v>127</v>
      </c>
      <c r="E1861" s="1">
        <v>46072</v>
      </c>
      <c r="F1861" t="s">
        <v>621</v>
      </c>
      <c r="G1861" t="s">
        <v>45</v>
      </c>
      <c r="H1861" s="2">
        <v>0.58333333333333337</v>
      </c>
      <c r="I1861" s="2">
        <v>0.99861111111111112</v>
      </c>
      <c r="J1861" t="s">
        <v>185</v>
      </c>
      <c r="K1861" t="s">
        <v>2742</v>
      </c>
      <c r="L1861" t="s">
        <v>186</v>
      </c>
      <c r="M1861" t="s">
        <v>1645</v>
      </c>
      <c r="N1861" t="s">
        <v>564</v>
      </c>
      <c r="O1861">
        <v>5950929</v>
      </c>
      <c r="Q1861" t="s">
        <v>162</v>
      </c>
      <c r="R1861" t="s">
        <v>208</v>
      </c>
      <c r="S1861" t="s">
        <v>52</v>
      </c>
      <c r="U1861">
        <v>891157</v>
      </c>
      <c r="V1861" s="3">
        <v>46064.870833333334</v>
      </c>
      <c r="W1861" t="s">
        <v>1845</v>
      </c>
      <c r="X1861" t="s">
        <v>1846</v>
      </c>
      <c r="Y1861" t="str">
        <f>"0426199544"</f>
        <v>0426199544</v>
      </c>
      <c r="Z1861" t="s">
        <v>1874</v>
      </c>
      <c r="AB1861" t="s">
        <v>166</v>
      </c>
      <c r="AD1861" t="s">
        <v>61</v>
      </c>
      <c r="AE1861" t="s">
        <v>167</v>
      </c>
      <c r="AF1861">
        <v>2011</v>
      </c>
      <c r="AG1861" t="s">
        <v>162</v>
      </c>
      <c r="AI1861" t="s">
        <v>59</v>
      </c>
      <c r="AL1861" t="s">
        <v>4381</v>
      </c>
      <c r="AN1861" s="3">
        <v>46072.802777777775</v>
      </c>
      <c r="AO1861" t="s">
        <v>1845</v>
      </c>
    </row>
    <row r="1862" spans="1:41" x14ac:dyDescent="0.3">
      <c r="A1862" t="s">
        <v>168</v>
      </c>
      <c r="B1862" t="s">
        <v>326</v>
      </c>
      <c r="C1862" t="s">
        <v>202</v>
      </c>
      <c r="D1862" t="s">
        <v>127</v>
      </c>
      <c r="E1862" s="1">
        <v>46072</v>
      </c>
      <c r="F1862" t="s">
        <v>621</v>
      </c>
      <c r="G1862" t="s">
        <v>128</v>
      </c>
      <c r="H1862" s="2">
        <v>0.58333333333333337</v>
      </c>
      <c r="I1862" s="2">
        <v>0.75</v>
      </c>
      <c r="J1862" t="s">
        <v>46</v>
      </c>
      <c r="L1862" t="s">
        <v>159</v>
      </c>
      <c r="M1862" t="s">
        <v>1603</v>
      </c>
      <c r="N1862" t="s">
        <v>4382</v>
      </c>
      <c r="O1862">
        <v>368</v>
      </c>
      <c r="Q1862" t="s">
        <v>676</v>
      </c>
      <c r="R1862" t="s">
        <v>132</v>
      </c>
      <c r="S1862" t="s">
        <v>52</v>
      </c>
      <c r="U1862">
        <v>891150</v>
      </c>
      <c r="V1862" s="3">
        <v>46072.343055555553</v>
      </c>
      <c r="W1862" t="s">
        <v>4383</v>
      </c>
      <c r="X1862" t="s">
        <v>4384</v>
      </c>
      <c r="Y1862" t="str">
        <f>"0403588494"</f>
        <v>0403588494</v>
      </c>
      <c r="Z1862" t="s">
        <v>70</v>
      </c>
      <c r="AA1862" s="1">
        <v>46072</v>
      </c>
      <c r="AB1862" t="s">
        <v>333</v>
      </c>
      <c r="AD1862" t="s">
        <v>168</v>
      </c>
      <c r="AE1862" t="s">
        <v>334</v>
      </c>
      <c r="AF1862">
        <v>5034</v>
      </c>
      <c r="AG1862" t="s">
        <v>676</v>
      </c>
      <c r="AI1862" t="s">
        <v>59</v>
      </c>
      <c r="AL1862" t="s">
        <v>87</v>
      </c>
      <c r="AN1862" s="3">
        <v>46072.770833333336</v>
      </c>
      <c r="AO1862" t="s">
        <v>4383</v>
      </c>
    </row>
    <row r="1863" spans="1:41" x14ac:dyDescent="0.3">
      <c r="A1863" t="s">
        <v>75</v>
      </c>
      <c r="B1863" t="s">
        <v>895</v>
      </c>
      <c r="C1863" t="s">
        <v>1621</v>
      </c>
      <c r="D1863" t="s">
        <v>184</v>
      </c>
      <c r="E1863" s="1">
        <v>46072</v>
      </c>
      <c r="F1863" t="s">
        <v>621</v>
      </c>
      <c r="G1863" t="s">
        <v>128</v>
      </c>
      <c r="H1863" s="2">
        <v>0.58333333333333337</v>
      </c>
      <c r="I1863" s="2">
        <v>0.91666666666666663</v>
      </c>
      <c r="J1863" t="s">
        <v>296</v>
      </c>
      <c r="L1863" t="s">
        <v>1453</v>
      </c>
      <c r="M1863" t="s">
        <v>1622</v>
      </c>
      <c r="N1863" t="s">
        <v>1623</v>
      </c>
      <c r="O1863">
        <v>5952211</v>
      </c>
      <c r="Q1863" t="s">
        <v>2159</v>
      </c>
      <c r="R1863" t="s">
        <v>81</v>
      </c>
      <c r="S1863" t="s">
        <v>52</v>
      </c>
      <c r="U1863">
        <v>891384</v>
      </c>
      <c r="V1863" s="3">
        <v>46062.489583333336</v>
      </c>
      <c r="W1863" t="s">
        <v>1624</v>
      </c>
      <c r="X1863" t="s">
        <v>1625</v>
      </c>
      <c r="Y1863" t="str">
        <f>"0494406921"</f>
        <v>0494406921</v>
      </c>
      <c r="Z1863" t="s">
        <v>2466</v>
      </c>
      <c r="AB1863" t="s">
        <v>902</v>
      </c>
      <c r="AD1863" t="s">
        <v>75</v>
      </c>
      <c r="AE1863" t="s">
        <v>903</v>
      </c>
      <c r="AF1863">
        <v>6009</v>
      </c>
      <c r="AG1863" t="s">
        <v>2159</v>
      </c>
      <c r="AI1863" t="s">
        <v>59</v>
      </c>
      <c r="AL1863" t="s">
        <v>2160</v>
      </c>
      <c r="AN1863" s="3">
        <v>46075.738194444442</v>
      </c>
      <c r="AO1863" t="s">
        <v>1624</v>
      </c>
    </row>
    <row r="1864" spans="1:41" x14ac:dyDescent="0.3">
      <c r="A1864" t="s">
        <v>61</v>
      </c>
      <c r="B1864" t="s">
        <v>158</v>
      </c>
      <c r="C1864" t="s">
        <v>43</v>
      </c>
      <c r="D1864" t="s">
        <v>127</v>
      </c>
      <c r="E1864" s="1">
        <v>46072</v>
      </c>
      <c r="F1864" t="s">
        <v>621</v>
      </c>
      <c r="G1864" t="s">
        <v>128</v>
      </c>
      <c r="H1864" s="2">
        <v>0.58333333333333337</v>
      </c>
      <c r="I1864" s="2">
        <v>0.99861111111111112</v>
      </c>
      <c r="J1864" t="s">
        <v>101</v>
      </c>
      <c r="L1864" t="s">
        <v>159</v>
      </c>
      <c r="M1864" t="s">
        <v>160</v>
      </c>
      <c r="N1864" t="s">
        <v>161</v>
      </c>
      <c r="O1864">
        <v>5952008</v>
      </c>
      <c r="Q1864" t="s">
        <v>162</v>
      </c>
      <c r="R1864" t="s">
        <v>67</v>
      </c>
      <c r="S1864" t="s">
        <v>52</v>
      </c>
      <c r="U1864">
        <v>891160</v>
      </c>
      <c r="V1864" s="3">
        <v>46071.583333333336</v>
      </c>
      <c r="W1864" t="s">
        <v>163</v>
      </c>
      <c r="X1864" t="s">
        <v>164</v>
      </c>
      <c r="Y1864" t="str">
        <f>"0482375205"</f>
        <v>0482375205</v>
      </c>
      <c r="Z1864" t="s">
        <v>70</v>
      </c>
      <c r="AA1864" s="1">
        <v>46072</v>
      </c>
      <c r="AB1864" t="s">
        <v>166</v>
      </c>
      <c r="AD1864" t="s">
        <v>61</v>
      </c>
      <c r="AE1864" t="s">
        <v>167</v>
      </c>
      <c r="AF1864">
        <v>2011</v>
      </c>
      <c r="AG1864" t="s">
        <v>162</v>
      </c>
      <c r="AI1864" t="s">
        <v>59</v>
      </c>
      <c r="AL1864" t="s">
        <v>4385</v>
      </c>
      <c r="AN1864" s="3">
        <v>46072.81527777778</v>
      </c>
      <c r="AO1864" t="s">
        <v>163</v>
      </c>
    </row>
    <row r="1865" spans="1:41" x14ac:dyDescent="0.3">
      <c r="A1865" t="s">
        <v>168</v>
      </c>
      <c r="B1865" t="s">
        <v>1963</v>
      </c>
      <c r="C1865" t="s">
        <v>602</v>
      </c>
      <c r="D1865" t="s">
        <v>401</v>
      </c>
      <c r="E1865" s="1">
        <v>46072</v>
      </c>
      <c r="F1865" t="s">
        <v>621</v>
      </c>
      <c r="G1865" t="s">
        <v>128</v>
      </c>
      <c r="H1865" s="2">
        <v>0.58333333333333337</v>
      </c>
      <c r="I1865" s="2">
        <v>0.75</v>
      </c>
      <c r="J1865" t="s">
        <v>269</v>
      </c>
      <c r="L1865" t="s">
        <v>172</v>
      </c>
      <c r="M1865" t="s">
        <v>173</v>
      </c>
      <c r="N1865" t="s">
        <v>174</v>
      </c>
      <c r="O1865">
        <v>300006</v>
      </c>
      <c r="Q1865" t="s">
        <v>2337</v>
      </c>
      <c r="R1865" t="s">
        <v>231</v>
      </c>
      <c r="S1865" t="s">
        <v>52</v>
      </c>
      <c r="U1865">
        <v>891152</v>
      </c>
      <c r="V1865" s="3">
        <v>46072.404861111114</v>
      </c>
      <c r="W1865" t="s">
        <v>177</v>
      </c>
      <c r="X1865" t="s">
        <v>178</v>
      </c>
      <c r="Y1865" t="str">
        <f>"0430966876"</f>
        <v>0430966876</v>
      </c>
      <c r="Z1865" t="s">
        <v>70</v>
      </c>
      <c r="AB1865" t="s">
        <v>1967</v>
      </c>
      <c r="AD1865" t="s">
        <v>168</v>
      </c>
      <c r="AE1865" t="s">
        <v>1968</v>
      </c>
      <c r="AF1865">
        <v>5000</v>
      </c>
      <c r="AG1865" t="s">
        <v>2337</v>
      </c>
      <c r="AI1865" t="s">
        <v>59</v>
      </c>
      <c r="AL1865" t="s">
        <v>4386</v>
      </c>
      <c r="AN1865" s="3">
        <v>46072.774305555555</v>
      </c>
      <c r="AO1865" t="s">
        <v>177</v>
      </c>
    </row>
    <row r="1866" spans="1:41" x14ac:dyDescent="0.3">
      <c r="A1866" t="s">
        <v>168</v>
      </c>
      <c r="B1866" t="s">
        <v>376</v>
      </c>
      <c r="C1866" t="s">
        <v>100</v>
      </c>
      <c r="D1866" t="s">
        <v>127</v>
      </c>
      <c r="E1866" s="1">
        <v>46072</v>
      </c>
      <c r="F1866" t="s">
        <v>621</v>
      </c>
      <c r="G1866" t="s">
        <v>128</v>
      </c>
      <c r="H1866" s="2">
        <v>0.58333333333333337</v>
      </c>
      <c r="I1866" s="2">
        <v>0.875</v>
      </c>
      <c r="J1866" t="s">
        <v>100</v>
      </c>
      <c r="L1866" t="s">
        <v>100</v>
      </c>
      <c r="M1866" t="s">
        <v>377</v>
      </c>
      <c r="N1866" t="s">
        <v>378</v>
      </c>
      <c r="O1866">
        <v>21963</v>
      </c>
      <c r="Q1866" t="s">
        <v>2748</v>
      </c>
      <c r="R1866" t="s">
        <v>380</v>
      </c>
      <c r="S1866" t="s">
        <v>52</v>
      </c>
      <c r="U1866">
        <v>891167</v>
      </c>
      <c r="V1866" s="3">
        <v>46035.349305555559</v>
      </c>
      <c r="W1866" t="s">
        <v>381</v>
      </c>
      <c r="X1866" t="s">
        <v>382</v>
      </c>
      <c r="Y1866" t="str">
        <f>"0438336604"</f>
        <v>0438336604</v>
      </c>
      <c r="Z1866" t="s">
        <v>1635</v>
      </c>
      <c r="AA1866" s="1">
        <v>46072</v>
      </c>
      <c r="AB1866" t="s">
        <v>383</v>
      </c>
      <c r="AD1866" t="s">
        <v>168</v>
      </c>
      <c r="AE1866" t="s">
        <v>384</v>
      </c>
      <c r="AF1866">
        <v>5000</v>
      </c>
      <c r="AI1866" t="s">
        <v>59</v>
      </c>
      <c r="AL1866" t="s">
        <v>3956</v>
      </c>
      <c r="AN1866" s="3">
        <v>46072.886805555558</v>
      </c>
      <c r="AO1866" t="s">
        <v>381</v>
      </c>
    </row>
    <row r="1867" spans="1:41" x14ac:dyDescent="0.3">
      <c r="A1867" t="s">
        <v>61</v>
      </c>
      <c r="B1867" t="s">
        <v>62</v>
      </c>
      <c r="C1867" t="s">
        <v>484</v>
      </c>
      <c r="D1867" t="s">
        <v>63</v>
      </c>
      <c r="E1867" s="1">
        <v>46072</v>
      </c>
      <c r="F1867" t="s">
        <v>621</v>
      </c>
      <c r="G1867" t="s">
        <v>128</v>
      </c>
      <c r="H1867" s="2">
        <v>0.58333333333333337</v>
      </c>
      <c r="I1867" s="2">
        <v>0.91666666666666663</v>
      </c>
      <c r="J1867" t="s">
        <v>486</v>
      </c>
      <c r="L1867" t="s">
        <v>487</v>
      </c>
      <c r="M1867" t="s">
        <v>2064</v>
      </c>
      <c r="N1867" t="s">
        <v>2065</v>
      </c>
      <c r="O1867">
        <v>5952410</v>
      </c>
      <c r="Q1867" t="s">
        <v>4387</v>
      </c>
      <c r="R1867" t="s">
        <v>132</v>
      </c>
      <c r="S1867" t="s">
        <v>52</v>
      </c>
      <c r="U1867">
        <v>891173</v>
      </c>
      <c r="V1867" s="3">
        <v>46072.440972222219</v>
      </c>
      <c r="W1867" t="s">
        <v>2067</v>
      </c>
      <c r="X1867" t="s">
        <v>2068</v>
      </c>
      <c r="Y1867" t="str">
        <f>"0410100247"</f>
        <v>0410100247</v>
      </c>
      <c r="Z1867" t="s">
        <v>1201</v>
      </c>
      <c r="AB1867" t="s">
        <v>71</v>
      </c>
      <c r="AD1867" t="s">
        <v>61</v>
      </c>
      <c r="AE1867" t="s">
        <v>72</v>
      </c>
      <c r="AF1867">
        <v>2747</v>
      </c>
      <c r="AG1867" t="s">
        <v>2287</v>
      </c>
      <c r="AI1867" t="s">
        <v>59</v>
      </c>
      <c r="AN1867" s="3">
        <v>46072.913888888892</v>
      </c>
      <c r="AO1867" t="s">
        <v>2067</v>
      </c>
    </row>
    <row r="1868" spans="1:41" x14ac:dyDescent="0.3">
      <c r="A1868" t="s">
        <v>168</v>
      </c>
      <c r="B1868" t="s">
        <v>376</v>
      </c>
      <c r="C1868" t="s">
        <v>100</v>
      </c>
      <c r="D1868" t="s">
        <v>127</v>
      </c>
      <c r="E1868" s="1">
        <v>46072</v>
      </c>
      <c r="F1868" t="s">
        <v>621</v>
      </c>
      <c r="G1868" t="s">
        <v>128</v>
      </c>
      <c r="H1868" s="2">
        <v>0.58333333333333337</v>
      </c>
      <c r="I1868" s="2">
        <v>0.91666666666666663</v>
      </c>
      <c r="J1868" t="s">
        <v>100</v>
      </c>
      <c r="L1868" t="s">
        <v>100</v>
      </c>
      <c r="M1868" t="s">
        <v>975</v>
      </c>
      <c r="N1868" t="s">
        <v>976</v>
      </c>
      <c r="O1868">
        <v>5950948</v>
      </c>
      <c r="Q1868" t="s">
        <v>2748</v>
      </c>
      <c r="R1868" t="s">
        <v>380</v>
      </c>
      <c r="S1868" t="s">
        <v>52</v>
      </c>
      <c r="U1868">
        <v>891174</v>
      </c>
      <c r="V1868" s="3">
        <v>46035.347916666666</v>
      </c>
      <c r="W1868" t="s">
        <v>978</v>
      </c>
      <c r="X1868" t="s">
        <v>979</v>
      </c>
      <c r="Y1868" t="str">
        <f>"0451011613"</f>
        <v>0451011613</v>
      </c>
      <c r="Z1868" t="s">
        <v>290</v>
      </c>
      <c r="AB1868" t="s">
        <v>383</v>
      </c>
      <c r="AD1868" t="s">
        <v>168</v>
      </c>
      <c r="AE1868" t="s">
        <v>384</v>
      </c>
      <c r="AF1868">
        <v>5000</v>
      </c>
      <c r="AI1868" t="s">
        <v>59</v>
      </c>
      <c r="AL1868" t="s">
        <v>385</v>
      </c>
      <c r="AN1868" s="3">
        <v>46072.916666666664</v>
      </c>
      <c r="AO1868" t="s">
        <v>978</v>
      </c>
    </row>
    <row r="1869" spans="1:41" x14ac:dyDescent="0.3">
      <c r="A1869" t="s">
        <v>168</v>
      </c>
      <c r="B1869" t="s">
        <v>376</v>
      </c>
      <c r="C1869" t="s">
        <v>100</v>
      </c>
      <c r="D1869" t="s">
        <v>127</v>
      </c>
      <c r="E1869" s="1">
        <v>46072</v>
      </c>
      <c r="F1869" t="s">
        <v>621</v>
      </c>
      <c r="G1869" t="s">
        <v>128</v>
      </c>
      <c r="H1869" s="2">
        <v>0.58333333333333337</v>
      </c>
      <c r="I1869" s="2">
        <v>0.875</v>
      </c>
      <c r="J1869" t="s">
        <v>100</v>
      </c>
      <c r="L1869" t="s">
        <v>100</v>
      </c>
      <c r="M1869" t="s">
        <v>1253</v>
      </c>
      <c r="N1869" t="s">
        <v>1254</v>
      </c>
      <c r="O1869">
        <v>5951043</v>
      </c>
      <c r="Q1869" t="s">
        <v>1255</v>
      </c>
      <c r="R1869" t="s">
        <v>380</v>
      </c>
      <c r="S1869" t="s">
        <v>52</v>
      </c>
      <c r="U1869">
        <v>891168</v>
      </c>
      <c r="V1869" s="3">
        <v>46035.348611111112</v>
      </c>
      <c r="W1869" t="s">
        <v>1256</v>
      </c>
      <c r="X1869" t="s">
        <v>1257</v>
      </c>
      <c r="Y1869" t="str">
        <f>"0431343551"</f>
        <v>0431343551</v>
      </c>
      <c r="Z1869" t="s">
        <v>290</v>
      </c>
      <c r="AB1869" t="s">
        <v>383</v>
      </c>
      <c r="AD1869" t="s">
        <v>168</v>
      </c>
      <c r="AE1869" t="s">
        <v>384</v>
      </c>
      <c r="AF1869">
        <v>5000</v>
      </c>
      <c r="AI1869" t="s">
        <v>59</v>
      </c>
      <c r="AL1869" t="s">
        <v>1258</v>
      </c>
      <c r="AM1869" t="s">
        <v>2749</v>
      </c>
      <c r="AN1869" s="3">
        <v>46072.88958333333</v>
      </c>
      <c r="AO1869" t="s">
        <v>1256</v>
      </c>
    </row>
    <row r="1870" spans="1:41" x14ac:dyDescent="0.3">
      <c r="A1870" t="s">
        <v>168</v>
      </c>
      <c r="B1870" t="s">
        <v>1205</v>
      </c>
      <c r="C1870" t="s">
        <v>2348</v>
      </c>
      <c r="D1870" t="s">
        <v>127</v>
      </c>
      <c r="E1870" s="1">
        <v>46072</v>
      </c>
      <c r="F1870" t="s">
        <v>621</v>
      </c>
      <c r="G1870" t="s">
        <v>128</v>
      </c>
      <c r="H1870" s="2">
        <v>0.58333333333333337</v>
      </c>
      <c r="I1870" s="2">
        <v>0.75</v>
      </c>
      <c r="J1870" t="s">
        <v>170</v>
      </c>
      <c r="K1870" t="s">
        <v>77</v>
      </c>
      <c r="L1870" t="s">
        <v>159</v>
      </c>
      <c r="M1870" t="s">
        <v>228</v>
      </c>
      <c r="N1870" t="s">
        <v>229</v>
      </c>
      <c r="O1870">
        <v>21017</v>
      </c>
      <c r="Q1870" t="s">
        <v>1208</v>
      </c>
      <c r="R1870" t="s">
        <v>176</v>
      </c>
      <c r="S1870" t="s">
        <v>52</v>
      </c>
      <c r="U1870">
        <v>891153</v>
      </c>
      <c r="V1870" s="3">
        <v>46070.554166666669</v>
      </c>
      <c r="W1870" t="s">
        <v>232</v>
      </c>
      <c r="X1870" t="s">
        <v>233</v>
      </c>
      <c r="Y1870" t="str">
        <f>"0409900497"</f>
        <v>0409900497</v>
      </c>
      <c r="Z1870" t="s">
        <v>55</v>
      </c>
      <c r="AA1870" s="1">
        <v>46072</v>
      </c>
      <c r="AB1870" t="s">
        <v>1211</v>
      </c>
      <c r="AD1870" t="s">
        <v>168</v>
      </c>
      <c r="AE1870" t="s">
        <v>1212</v>
      </c>
      <c r="AF1870">
        <v>5045</v>
      </c>
      <c r="AG1870" t="s">
        <v>1208</v>
      </c>
      <c r="AI1870" t="s">
        <v>59</v>
      </c>
      <c r="AL1870" t="s">
        <v>4002</v>
      </c>
      <c r="AN1870" s="3">
        <v>46072.774305555555</v>
      </c>
      <c r="AO1870" t="s">
        <v>232</v>
      </c>
    </row>
    <row r="1871" spans="1:41" x14ac:dyDescent="0.3">
      <c r="A1871" t="s">
        <v>168</v>
      </c>
      <c r="B1871" t="s">
        <v>400</v>
      </c>
      <c r="C1871" t="s">
        <v>100</v>
      </c>
      <c r="D1871" t="s">
        <v>401</v>
      </c>
      <c r="E1871" s="1">
        <v>46072</v>
      </c>
      <c r="F1871" t="s">
        <v>621</v>
      </c>
      <c r="G1871" t="s">
        <v>128</v>
      </c>
      <c r="H1871" s="2">
        <v>0.58333333333333337</v>
      </c>
      <c r="I1871" s="2">
        <v>0.91666666666666663</v>
      </c>
      <c r="J1871" t="s">
        <v>100</v>
      </c>
      <c r="L1871" t="s">
        <v>100</v>
      </c>
      <c r="M1871" t="s">
        <v>402</v>
      </c>
      <c r="N1871" t="s">
        <v>403</v>
      </c>
      <c r="O1871">
        <v>21398</v>
      </c>
      <c r="Q1871" t="s">
        <v>4388</v>
      </c>
      <c r="R1871" t="s">
        <v>176</v>
      </c>
      <c r="S1871" t="s">
        <v>52</v>
      </c>
      <c r="U1871">
        <v>891178</v>
      </c>
      <c r="V1871" s="3">
        <v>46070.667361111111</v>
      </c>
      <c r="W1871" t="s">
        <v>405</v>
      </c>
      <c r="X1871" t="s">
        <v>406</v>
      </c>
      <c r="Y1871" t="str">
        <f>"0423877972"</f>
        <v>0423877972</v>
      </c>
      <c r="Z1871" t="s">
        <v>70</v>
      </c>
      <c r="AA1871" s="1">
        <v>46072</v>
      </c>
      <c r="AB1871" t="s">
        <v>407</v>
      </c>
      <c r="AD1871" t="s">
        <v>168</v>
      </c>
      <c r="AE1871" t="s">
        <v>347</v>
      </c>
      <c r="AF1871">
        <v>5042</v>
      </c>
      <c r="AG1871" t="s">
        <v>1974</v>
      </c>
      <c r="AI1871" t="s">
        <v>59</v>
      </c>
      <c r="AL1871" t="s">
        <v>4389</v>
      </c>
      <c r="AN1871" s="3">
        <v>46072.934027777781</v>
      </c>
      <c r="AO1871" t="s">
        <v>405</v>
      </c>
    </row>
    <row r="1872" spans="1:41" x14ac:dyDescent="0.3">
      <c r="A1872" t="s">
        <v>168</v>
      </c>
      <c r="B1872" t="s">
        <v>441</v>
      </c>
      <c r="C1872" t="s">
        <v>296</v>
      </c>
      <c r="E1872" s="1">
        <v>46072</v>
      </c>
      <c r="F1872" t="s">
        <v>621</v>
      </c>
      <c r="G1872" t="s">
        <v>128</v>
      </c>
      <c r="H1872" s="2">
        <v>0.60416666666666663</v>
      </c>
      <c r="I1872" s="2">
        <v>0.9375</v>
      </c>
      <c r="J1872" t="s">
        <v>296</v>
      </c>
      <c r="K1872" t="s">
        <v>360</v>
      </c>
      <c r="L1872" t="s">
        <v>339</v>
      </c>
      <c r="M1872" t="s">
        <v>340</v>
      </c>
      <c r="N1872" t="s">
        <v>341</v>
      </c>
      <c r="O1872">
        <v>5951711</v>
      </c>
      <c r="Q1872" t="s">
        <v>444</v>
      </c>
      <c r="R1872" t="s">
        <v>445</v>
      </c>
      <c r="S1872" t="s">
        <v>52</v>
      </c>
      <c r="U1872">
        <v>891179</v>
      </c>
      <c r="V1872" s="3">
        <v>46067.540972222225</v>
      </c>
      <c r="W1872" t="s">
        <v>343</v>
      </c>
      <c r="X1872" t="s">
        <v>344</v>
      </c>
      <c r="Y1872" t="str">
        <f>"0422996486"</f>
        <v>0422996486</v>
      </c>
      <c r="Z1872" t="s">
        <v>527</v>
      </c>
      <c r="AA1872" s="1">
        <v>46072</v>
      </c>
      <c r="AB1872" t="s">
        <v>448</v>
      </c>
      <c r="AD1872" t="s">
        <v>168</v>
      </c>
      <c r="AE1872" t="s">
        <v>180</v>
      </c>
      <c r="AF1872">
        <v>5063</v>
      </c>
      <c r="AI1872" t="s">
        <v>59</v>
      </c>
      <c r="AL1872" t="s">
        <v>1121</v>
      </c>
      <c r="AN1872" s="3">
        <v>46072.945833333331</v>
      </c>
      <c r="AO1872" t="s">
        <v>343</v>
      </c>
    </row>
    <row r="1873" spans="1:41" x14ac:dyDescent="0.3">
      <c r="A1873" t="s">
        <v>306</v>
      </c>
      <c r="B1873" t="s">
        <v>528</v>
      </c>
      <c r="C1873" t="s">
        <v>1523</v>
      </c>
      <c r="D1873" t="s">
        <v>63</v>
      </c>
      <c r="E1873" s="1">
        <v>46072</v>
      </c>
      <c r="F1873" t="s">
        <v>621</v>
      </c>
      <c r="G1873" t="s">
        <v>128</v>
      </c>
      <c r="H1873" s="2">
        <v>0.60416666666666663</v>
      </c>
      <c r="I1873" s="2">
        <v>0.91666666666666663</v>
      </c>
      <c r="J1873" t="s">
        <v>296</v>
      </c>
      <c r="L1873" t="s">
        <v>1260</v>
      </c>
      <c r="M1873" t="s">
        <v>239</v>
      </c>
      <c r="N1873" t="s">
        <v>1261</v>
      </c>
      <c r="O1873">
        <v>5952100</v>
      </c>
      <c r="Q1873" t="s">
        <v>2757</v>
      </c>
      <c r="R1873" t="s">
        <v>1248</v>
      </c>
      <c r="S1873" t="s">
        <v>52</v>
      </c>
      <c r="U1873">
        <v>891175</v>
      </c>
      <c r="V1873" s="3">
        <v>46067.318749999999</v>
      </c>
      <c r="W1873" t="s">
        <v>1262</v>
      </c>
      <c r="X1873" t="s">
        <v>1263</v>
      </c>
      <c r="Y1873" t="str">
        <f>"0420517034"</f>
        <v>0420517034</v>
      </c>
      <c r="Z1873" t="s">
        <v>70</v>
      </c>
      <c r="AA1873" s="1">
        <v>46072</v>
      </c>
      <c r="AB1873" t="s">
        <v>537</v>
      </c>
      <c r="AD1873" t="s">
        <v>306</v>
      </c>
      <c r="AE1873" t="s">
        <v>538</v>
      </c>
      <c r="AF1873">
        <v>3152</v>
      </c>
      <c r="AG1873" t="s">
        <v>2757</v>
      </c>
      <c r="AI1873" t="s">
        <v>59</v>
      </c>
      <c r="AL1873" t="s">
        <v>87</v>
      </c>
      <c r="AN1873" s="3">
        <v>46072.918055555558</v>
      </c>
      <c r="AO1873" t="s">
        <v>1262</v>
      </c>
    </row>
    <row r="1874" spans="1:41" x14ac:dyDescent="0.3">
      <c r="A1874" t="s">
        <v>41</v>
      </c>
      <c r="B1874" t="s">
        <v>2102</v>
      </c>
      <c r="C1874" t="s">
        <v>4390</v>
      </c>
      <c r="D1874" t="s">
        <v>1286</v>
      </c>
      <c r="E1874" s="1">
        <v>46072</v>
      </c>
      <c r="F1874" t="s">
        <v>621</v>
      </c>
      <c r="G1874" t="s">
        <v>128</v>
      </c>
      <c r="H1874" s="2">
        <v>0.60416666666666663</v>
      </c>
      <c r="I1874" s="2">
        <v>0.95833333333333337</v>
      </c>
      <c r="J1874" t="s">
        <v>529</v>
      </c>
      <c r="L1874" t="s">
        <v>4391</v>
      </c>
      <c r="M1874" t="s">
        <v>4392</v>
      </c>
      <c r="N1874" t="s">
        <v>1939</v>
      </c>
      <c r="O1874">
        <v>5952473</v>
      </c>
      <c r="Q1874" t="s">
        <v>98</v>
      </c>
      <c r="R1874" t="s">
        <v>51</v>
      </c>
      <c r="S1874" t="s">
        <v>119</v>
      </c>
      <c r="T1874" t="s">
        <v>1356</v>
      </c>
      <c r="U1874">
        <v>891543</v>
      </c>
      <c r="V1874" s="3">
        <v>46072.43472222222</v>
      </c>
      <c r="W1874" t="s">
        <v>4393</v>
      </c>
      <c r="X1874" t="s">
        <v>4394</v>
      </c>
      <c r="Y1874" t="str">
        <f>"0421830240"</f>
        <v>0421830240</v>
      </c>
      <c r="Z1874" t="s">
        <v>70</v>
      </c>
      <c r="AA1874" s="1">
        <v>46072</v>
      </c>
      <c r="AB1874" t="s">
        <v>2107</v>
      </c>
      <c r="AD1874" t="s">
        <v>41</v>
      </c>
      <c r="AE1874" t="s">
        <v>2108</v>
      </c>
      <c r="AF1874">
        <v>4066</v>
      </c>
      <c r="AG1874" t="s">
        <v>98</v>
      </c>
      <c r="AI1874" t="s">
        <v>59</v>
      </c>
      <c r="AL1874" t="s">
        <v>87</v>
      </c>
      <c r="AN1874" s="3">
        <v>46072.43472222222</v>
      </c>
      <c r="AO1874" t="s">
        <v>4393</v>
      </c>
    </row>
    <row r="1875" spans="1:41" x14ac:dyDescent="0.3">
      <c r="A1875" t="s">
        <v>41</v>
      </c>
      <c r="B1875" t="s">
        <v>1284</v>
      </c>
      <c r="C1875" t="s">
        <v>1285</v>
      </c>
      <c r="D1875" t="s">
        <v>1286</v>
      </c>
      <c r="E1875" s="1">
        <v>46072</v>
      </c>
      <c r="F1875" t="s">
        <v>621</v>
      </c>
      <c r="G1875" t="s">
        <v>128</v>
      </c>
      <c r="H1875" s="2">
        <v>0.625</v>
      </c>
      <c r="I1875" s="2">
        <v>0.9375</v>
      </c>
      <c r="J1875" t="s">
        <v>2019</v>
      </c>
      <c r="L1875" t="s">
        <v>464</v>
      </c>
      <c r="M1875" t="s">
        <v>4395</v>
      </c>
      <c r="N1875" t="s">
        <v>4396</v>
      </c>
      <c r="O1875">
        <v>5952194</v>
      </c>
      <c r="Q1875" t="s">
        <v>413</v>
      </c>
      <c r="R1875" t="s">
        <v>51</v>
      </c>
      <c r="S1875" t="s">
        <v>52</v>
      </c>
      <c r="U1875">
        <v>891196</v>
      </c>
      <c r="V1875" s="3">
        <v>46072.520833333336</v>
      </c>
      <c r="W1875" t="s">
        <v>4397</v>
      </c>
      <c r="X1875" t="s">
        <v>4398</v>
      </c>
      <c r="Y1875" t="str">
        <f>"0451974293"</f>
        <v>0451974293</v>
      </c>
      <c r="Z1875" t="s">
        <v>70</v>
      </c>
      <c r="AA1875" s="1">
        <v>46072</v>
      </c>
      <c r="AB1875" t="s">
        <v>1288</v>
      </c>
      <c r="AD1875" t="s">
        <v>41</v>
      </c>
      <c r="AE1875" t="s">
        <v>150</v>
      </c>
      <c r="AF1875">
        <v>4000</v>
      </c>
      <c r="AI1875" t="s">
        <v>59</v>
      </c>
      <c r="AL1875" t="s">
        <v>4399</v>
      </c>
      <c r="AM1875" t="s">
        <v>4400</v>
      </c>
      <c r="AN1875" s="3">
        <v>46072.984722222223</v>
      </c>
      <c r="AO1875" t="s">
        <v>4397</v>
      </c>
    </row>
    <row r="1876" spans="1:41" x14ac:dyDescent="0.3">
      <c r="A1876" t="s">
        <v>61</v>
      </c>
      <c r="B1876" t="s">
        <v>1462</v>
      </c>
      <c r="C1876" t="s">
        <v>43</v>
      </c>
      <c r="D1876" t="s">
        <v>90</v>
      </c>
      <c r="E1876" s="1">
        <v>46072</v>
      </c>
      <c r="F1876" t="s">
        <v>621</v>
      </c>
      <c r="G1876" t="s">
        <v>128</v>
      </c>
      <c r="H1876" s="2">
        <v>0.625</v>
      </c>
      <c r="I1876" s="2">
        <v>0.875</v>
      </c>
      <c r="J1876" t="s">
        <v>46</v>
      </c>
      <c r="L1876" t="s">
        <v>47</v>
      </c>
      <c r="M1876" t="s">
        <v>1080</v>
      </c>
      <c r="N1876" t="s">
        <v>1081</v>
      </c>
      <c r="O1876">
        <v>5951255</v>
      </c>
      <c r="Q1876" t="s">
        <v>2875</v>
      </c>
      <c r="R1876" t="s">
        <v>67</v>
      </c>
      <c r="S1876" t="s">
        <v>52</v>
      </c>
      <c r="U1876">
        <v>891166</v>
      </c>
      <c r="V1876" s="3">
        <v>46072.450694444444</v>
      </c>
      <c r="W1876" t="s">
        <v>1083</v>
      </c>
      <c r="X1876" t="s">
        <v>1084</v>
      </c>
      <c r="Y1876" t="str">
        <f>"0451307044"</f>
        <v>0451307044</v>
      </c>
      <c r="Z1876" t="s">
        <v>70</v>
      </c>
      <c r="AA1876" s="1">
        <v>46072</v>
      </c>
      <c r="AB1876" t="s">
        <v>1468</v>
      </c>
      <c r="AD1876" t="s">
        <v>61</v>
      </c>
      <c r="AE1876" t="s">
        <v>1469</v>
      </c>
      <c r="AF1876">
        <v>2060</v>
      </c>
      <c r="AG1876" t="s">
        <v>541</v>
      </c>
      <c r="AI1876" t="s">
        <v>59</v>
      </c>
      <c r="AL1876" t="s">
        <v>2726</v>
      </c>
      <c r="AN1876" s="3">
        <v>46072.87777777778</v>
      </c>
      <c r="AO1876" t="s">
        <v>1083</v>
      </c>
    </row>
    <row r="1877" spans="1:41" x14ac:dyDescent="0.3">
      <c r="A1877" t="s">
        <v>306</v>
      </c>
      <c r="B1877" t="s">
        <v>450</v>
      </c>
      <c r="C1877" t="s">
        <v>100</v>
      </c>
      <c r="D1877" t="s">
        <v>63</v>
      </c>
      <c r="E1877" s="1">
        <v>46072</v>
      </c>
      <c r="F1877" t="s">
        <v>621</v>
      </c>
      <c r="G1877" t="s">
        <v>128</v>
      </c>
      <c r="H1877" s="2">
        <v>0.625</v>
      </c>
      <c r="I1877" s="2">
        <v>0.91666666666666663</v>
      </c>
      <c r="J1877" t="s">
        <v>100</v>
      </c>
      <c r="L1877" t="s">
        <v>473</v>
      </c>
      <c r="M1877" t="s">
        <v>474</v>
      </c>
      <c r="N1877" t="s">
        <v>475</v>
      </c>
      <c r="O1877">
        <v>5950662</v>
      </c>
      <c r="Q1877" t="s">
        <v>3968</v>
      </c>
      <c r="R1877" t="s">
        <v>208</v>
      </c>
      <c r="S1877" t="s">
        <v>52</v>
      </c>
      <c r="U1877">
        <v>891177</v>
      </c>
      <c r="V1877" s="3">
        <v>46064.861111111109</v>
      </c>
      <c r="W1877" t="s">
        <v>477</v>
      </c>
      <c r="X1877" t="s">
        <v>478</v>
      </c>
      <c r="Y1877" t="str">
        <f>"0449808311"</f>
        <v>0449808311</v>
      </c>
      <c r="Z1877" t="s">
        <v>290</v>
      </c>
      <c r="AB1877" t="s">
        <v>459</v>
      </c>
      <c r="AD1877" t="s">
        <v>306</v>
      </c>
      <c r="AE1877" t="s">
        <v>460</v>
      </c>
      <c r="AF1877">
        <v>3058</v>
      </c>
      <c r="AG1877" t="s">
        <v>455</v>
      </c>
      <c r="AI1877" t="s">
        <v>59</v>
      </c>
      <c r="AL1877" t="s">
        <v>370</v>
      </c>
      <c r="AN1877" s="3">
        <v>46072.931944444441</v>
      </c>
      <c r="AO1877" t="s">
        <v>477</v>
      </c>
    </row>
    <row r="1878" spans="1:41" x14ac:dyDescent="0.3">
      <c r="A1878" t="s">
        <v>306</v>
      </c>
      <c r="B1878" t="s">
        <v>1060</v>
      </c>
      <c r="C1878" t="s">
        <v>100</v>
      </c>
      <c r="D1878" t="s">
        <v>184</v>
      </c>
      <c r="E1878" s="1">
        <v>46072</v>
      </c>
      <c r="F1878" t="s">
        <v>621</v>
      </c>
      <c r="G1878" t="s">
        <v>485</v>
      </c>
      <c r="H1878" s="2">
        <v>0.625</v>
      </c>
      <c r="I1878" s="2">
        <v>0</v>
      </c>
      <c r="J1878" t="s">
        <v>451</v>
      </c>
      <c r="L1878" t="s">
        <v>452</v>
      </c>
      <c r="M1878" t="s">
        <v>1980</v>
      </c>
      <c r="N1878" t="s">
        <v>1981</v>
      </c>
      <c r="O1878">
        <v>21297</v>
      </c>
      <c r="Q1878" t="s">
        <v>413</v>
      </c>
      <c r="R1878" t="s">
        <v>314</v>
      </c>
      <c r="S1878" t="s">
        <v>119</v>
      </c>
      <c r="T1878" t="s">
        <v>1619</v>
      </c>
      <c r="U1878">
        <v>891551</v>
      </c>
      <c r="V1878" s="3">
        <v>46071.352083333331</v>
      </c>
      <c r="W1878" t="s">
        <v>1983</v>
      </c>
      <c r="X1878" t="s">
        <v>1984</v>
      </c>
      <c r="Y1878" t="str">
        <f>"0434131195"</f>
        <v>0434131195</v>
      </c>
      <c r="Z1878" t="s">
        <v>70</v>
      </c>
      <c r="AA1878" s="1">
        <v>46072</v>
      </c>
      <c r="AB1878" t="s">
        <v>1066</v>
      </c>
      <c r="AD1878" t="s">
        <v>306</v>
      </c>
      <c r="AE1878" t="s">
        <v>1067</v>
      </c>
      <c r="AF1878">
        <v>3084</v>
      </c>
      <c r="AI1878" t="s">
        <v>59</v>
      </c>
      <c r="AL1878" t="s">
        <v>4401</v>
      </c>
      <c r="AM1878" t="s">
        <v>4402</v>
      </c>
      <c r="AN1878" s="3">
        <v>46073</v>
      </c>
      <c r="AO1878" t="s">
        <v>208</v>
      </c>
    </row>
    <row r="1879" spans="1:41" x14ac:dyDescent="0.3">
      <c r="A1879" t="s">
        <v>61</v>
      </c>
      <c r="B1879" t="s">
        <v>182</v>
      </c>
      <c r="C1879" t="s">
        <v>484</v>
      </c>
      <c r="D1879" t="s">
        <v>184</v>
      </c>
      <c r="E1879" s="1">
        <v>46072</v>
      </c>
      <c r="F1879" t="s">
        <v>621</v>
      </c>
      <c r="G1879" t="s">
        <v>485</v>
      </c>
      <c r="H1879" s="2">
        <v>0.77083333333333337</v>
      </c>
      <c r="I1879" s="2">
        <v>0.29166666666666669</v>
      </c>
      <c r="J1879" t="s">
        <v>590</v>
      </c>
      <c r="L1879" t="s">
        <v>487</v>
      </c>
      <c r="M1879" t="s">
        <v>488</v>
      </c>
      <c r="N1879" t="s">
        <v>489</v>
      </c>
      <c r="O1879">
        <v>5951809</v>
      </c>
      <c r="Q1879" t="s">
        <v>490</v>
      </c>
      <c r="R1879" t="s">
        <v>67</v>
      </c>
      <c r="S1879" t="s">
        <v>52</v>
      </c>
      <c r="U1879">
        <v>891223</v>
      </c>
      <c r="V1879" s="3">
        <v>46051.534722222219</v>
      </c>
      <c r="W1879" t="s">
        <v>491</v>
      </c>
      <c r="X1879" t="s">
        <v>492</v>
      </c>
      <c r="Y1879" t="str">
        <f>"0431000508"</f>
        <v>0431000508</v>
      </c>
      <c r="Z1879" t="s">
        <v>795</v>
      </c>
      <c r="AB1879" t="s">
        <v>193</v>
      </c>
      <c r="AD1879" t="s">
        <v>61</v>
      </c>
      <c r="AE1879" t="s">
        <v>194</v>
      </c>
      <c r="AF1879">
        <v>2229</v>
      </c>
      <c r="AG1879" t="s">
        <v>129</v>
      </c>
      <c r="AI1879" t="s">
        <v>59</v>
      </c>
      <c r="AL1879" t="s">
        <v>108</v>
      </c>
      <c r="AN1879" s="3">
        <v>46073.307638888888</v>
      </c>
      <c r="AO1879" t="s">
        <v>491</v>
      </c>
    </row>
    <row r="1880" spans="1:41" x14ac:dyDescent="0.3">
      <c r="A1880" t="s">
        <v>41</v>
      </c>
      <c r="B1880" t="s">
        <v>632</v>
      </c>
      <c r="C1880" t="s">
        <v>602</v>
      </c>
      <c r="D1880" t="s">
        <v>246</v>
      </c>
      <c r="E1880" s="1">
        <v>46072</v>
      </c>
      <c r="F1880" t="s">
        <v>621</v>
      </c>
      <c r="G1880" t="s">
        <v>485</v>
      </c>
      <c r="H1880" s="2">
        <v>0.77083333333333337</v>
      </c>
      <c r="I1880" s="2">
        <v>0.29166666666666669</v>
      </c>
      <c r="J1880" t="s">
        <v>269</v>
      </c>
      <c r="K1880" t="s">
        <v>2096</v>
      </c>
      <c r="L1880" t="s">
        <v>428</v>
      </c>
      <c r="M1880" t="s">
        <v>554</v>
      </c>
      <c r="N1880" t="s">
        <v>555</v>
      </c>
      <c r="O1880">
        <v>5950685</v>
      </c>
      <c r="Q1880" t="s">
        <v>2098</v>
      </c>
      <c r="R1880" t="s">
        <v>51</v>
      </c>
      <c r="S1880" t="s">
        <v>52</v>
      </c>
      <c r="U1880">
        <v>891237</v>
      </c>
      <c r="V1880" s="3">
        <v>46063.543055555558</v>
      </c>
      <c r="W1880" t="s">
        <v>557</v>
      </c>
      <c r="X1880" t="s">
        <v>558</v>
      </c>
      <c r="Y1880" t="str">
        <f>"0431966228"</f>
        <v>0431966228</v>
      </c>
      <c r="Z1880" t="s">
        <v>1806</v>
      </c>
      <c r="AB1880" t="s">
        <v>640</v>
      </c>
      <c r="AD1880" t="s">
        <v>41</v>
      </c>
      <c r="AE1880" t="s">
        <v>641</v>
      </c>
      <c r="AF1880">
        <v>4305</v>
      </c>
      <c r="AG1880" t="s">
        <v>3981</v>
      </c>
      <c r="AI1880" t="s">
        <v>59</v>
      </c>
      <c r="AL1880" t="s">
        <v>4403</v>
      </c>
      <c r="AN1880" s="3">
        <v>46073.331250000003</v>
      </c>
      <c r="AO1880" t="s">
        <v>557</v>
      </c>
    </row>
    <row r="1881" spans="1:41" x14ac:dyDescent="0.3">
      <c r="A1881" t="s">
        <v>75</v>
      </c>
      <c r="B1881" t="s">
        <v>76</v>
      </c>
      <c r="C1881" t="s">
        <v>529</v>
      </c>
      <c r="D1881" t="s">
        <v>63</v>
      </c>
      <c r="E1881" s="1">
        <v>46072</v>
      </c>
      <c r="F1881" t="s">
        <v>621</v>
      </c>
      <c r="G1881" t="s">
        <v>485</v>
      </c>
      <c r="H1881" s="2">
        <v>0.79166666666666663</v>
      </c>
      <c r="I1881" s="2">
        <v>0.3125</v>
      </c>
      <c r="J1881" t="s">
        <v>529</v>
      </c>
      <c r="L1881" t="s">
        <v>735</v>
      </c>
      <c r="M1881" t="s">
        <v>4404</v>
      </c>
      <c r="N1881" t="s">
        <v>4405</v>
      </c>
      <c r="O1881">
        <v>5952235</v>
      </c>
      <c r="Q1881" t="s">
        <v>3998</v>
      </c>
      <c r="R1881" t="s">
        <v>1248</v>
      </c>
      <c r="S1881" t="s">
        <v>52</v>
      </c>
      <c r="U1881">
        <v>891240</v>
      </c>
      <c r="V1881" s="3">
        <v>46070.97152777778</v>
      </c>
      <c r="W1881" t="s">
        <v>4406</v>
      </c>
      <c r="X1881" t="s">
        <v>4407</v>
      </c>
      <c r="Y1881" t="str">
        <f>"0439951820"</f>
        <v>0439951820</v>
      </c>
      <c r="Z1881" t="s">
        <v>70</v>
      </c>
      <c r="AA1881" s="1">
        <v>46072</v>
      </c>
      <c r="AB1881" t="s">
        <v>85</v>
      </c>
      <c r="AD1881" t="s">
        <v>75</v>
      </c>
      <c r="AE1881" t="s">
        <v>86</v>
      </c>
      <c r="AF1881">
        <v>6000</v>
      </c>
      <c r="AG1881" t="s">
        <v>956</v>
      </c>
      <c r="AI1881" t="s">
        <v>59</v>
      </c>
      <c r="AL1881" t="s">
        <v>4408</v>
      </c>
      <c r="AN1881" s="3">
        <v>46073.443749999999</v>
      </c>
      <c r="AO1881" t="s">
        <v>4406</v>
      </c>
    </row>
    <row r="1882" spans="1:41" x14ac:dyDescent="0.3">
      <c r="A1882" t="s">
        <v>61</v>
      </c>
      <c r="B1882" t="s">
        <v>1937</v>
      </c>
      <c r="C1882" t="s">
        <v>1627</v>
      </c>
      <c r="D1882" t="s">
        <v>184</v>
      </c>
      <c r="E1882" s="1">
        <v>46072</v>
      </c>
      <c r="F1882" t="s">
        <v>621</v>
      </c>
      <c r="G1882" t="s">
        <v>485</v>
      </c>
      <c r="H1882" s="2">
        <v>0.79166666666666663</v>
      </c>
      <c r="I1882" s="2">
        <v>0.3125</v>
      </c>
      <c r="J1882" t="s">
        <v>486</v>
      </c>
      <c r="L1882" t="s">
        <v>487</v>
      </c>
      <c r="M1882" t="s">
        <v>1645</v>
      </c>
      <c r="N1882" t="s">
        <v>1646</v>
      </c>
      <c r="O1882">
        <v>5951065</v>
      </c>
      <c r="Q1882" t="s">
        <v>3730</v>
      </c>
      <c r="R1882" t="s">
        <v>67</v>
      </c>
      <c r="S1882" t="s">
        <v>52</v>
      </c>
      <c r="U1882">
        <v>891222</v>
      </c>
      <c r="V1882" s="3">
        <v>46064.405555555553</v>
      </c>
      <c r="W1882" t="s">
        <v>1647</v>
      </c>
      <c r="X1882" t="s">
        <v>1648</v>
      </c>
      <c r="Y1882" t="str">
        <f>"0408979009"</f>
        <v>0408979009</v>
      </c>
      <c r="Z1882" t="s">
        <v>2548</v>
      </c>
      <c r="AB1882" t="s">
        <v>1942</v>
      </c>
      <c r="AD1882" t="s">
        <v>61</v>
      </c>
      <c r="AE1882" t="s">
        <v>1943</v>
      </c>
      <c r="AF1882">
        <v>2065</v>
      </c>
      <c r="AG1882" t="s">
        <v>1564</v>
      </c>
      <c r="AI1882" t="s">
        <v>59</v>
      </c>
      <c r="AL1882" t="s">
        <v>4409</v>
      </c>
      <c r="AN1882" s="3">
        <v>46073.291666666664</v>
      </c>
      <c r="AO1882" t="s">
        <v>1647</v>
      </c>
    </row>
    <row r="1883" spans="1:41" x14ac:dyDescent="0.3">
      <c r="A1883" t="s">
        <v>61</v>
      </c>
      <c r="B1883" t="s">
        <v>507</v>
      </c>
      <c r="D1883" t="s">
        <v>63</v>
      </c>
      <c r="E1883" s="1">
        <v>46062</v>
      </c>
      <c r="F1883" t="s">
        <v>569</v>
      </c>
      <c r="G1883" t="s">
        <v>45</v>
      </c>
      <c r="H1883" s="2">
        <v>0.29166666666666669</v>
      </c>
      <c r="I1883" s="2">
        <v>0.8125</v>
      </c>
      <c r="J1883" t="s">
        <v>296</v>
      </c>
      <c r="L1883" t="s">
        <v>633</v>
      </c>
      <c r="M1883" t="s">
        <v>4410</v>
      </c>
      <c r="N1883" t="s">
        <v>4411</v>
      </c>
      <c r="O1883">
        <v>402158</v>
      </c>
      <c r="Q1883" t="s">
        <v>516</v>
      </c>
      <c r="R1883" t="s">
        <v>67</v>
      </c>
      <c r="S1883" t="s">
        <v>52</v>
      </c>
      <c r="U1883">
        <v>889869</v>
      </c>
      <c r="V1883" s="3">
        <v>46056.451388888891</v>
      </c>
      <c r="W1883" t="s">
        <v>4412</v>
      </c>
      <c r="X1883" t="s">
        <v>4413</v>
      </c>
      <c r="Y1883" t="str">
        <f>"0423590735"</f>
        <v>0423590735</v>
      </c>
      <c r="Z1883" t="s">
        <v>3006</v>
      </c>
      <c r="AB1883" t="s">
        <v>514</v>
      </c>
      <c r="AD1883" t="s">
        <v>61</v>
      </c>
      <c r="AE1883" t="s">
        <v>515</v>
      </c>
      <c r="AF1883">
        <v>2086</v>
      </c>
      <c r="AG1883" t="s">
        <v>516</v>
      </c>
      <c r="AI1883" t="s">
        <v>59</v>
      </c>
      <c r="AL1883" t="s">
        <v>4414</v>
      </c>
      <c r="AN1883" s="3">
        <v>46062.8125</v>
      </c>
      <c r="AO1883" t="s">
        <v>4412</v>
      </c>
    </row>
    <row r="1884" spans="1:41" x14ac:dyDescent="0.3">
      <c r="A1884" t="s">
        <v>41</v>
      </c>
      <c r="B1884" t="s">
        <v>568</v>
      </c>
      <c r="C1884" t="s">
        <v>602</v>
      </c>
      <c r="D1884" t="s">
        <v>246</v>
      </c>
      <c r="E1884" s="1">
        <v>46062</v>
      </c>
      <c r="F1884" t="s">
        <v>569</v>
      </c>
      <c r="G1884" t="s">
        <v>45</v>
      </c>
      <c r="H1884" s="2">
        <v>0.29166666666666669</v>
      </c>
      <c r="I1884" s="2">
        <v>0.45833333333333331</v>
      </c>
      <c r="J1884" t="s">
        <v>269</v>
      </c>
      <c r="L1884" t="s">
        <v>47</v>
      </c>
      <c r="M1884" t="s">
        <v>603</v>
      </c>
      <c r="N1884" t="s">
        <v>604</v>
      </c>
      <c r="O1884">
        <v>80</v>
      </c>
      <c r="P1884" t="s">
        <v>571</v>
      </c>
      <c r="Q1884" t="s">
        <v>572</v>
      </c>
      <c r="R1884" t="s">
        <v>573</v>
      </c>
      <c r="S1884" t="s">
        <v>52</v>
      </c>
      <c r="T1884" t="s">
        <v>252</v>
      </c>
      <c r="U1884">
        <v>890749</v>
      </c>
      <c r="V1884" s="3">
        <v>46070.46597222222</v>
      </c>
      <c r="W1884" t="s">
        <v>605</v>
      </c>
      <c r="X1884" t="s">
        <v>606</v>
      </c>
      <c r="Y1884" t="str">
        <f>"0414330986"</f>
        <v>0414330986</v>
      </c>
      <c r="Z1884" t="s">
        <v>585</v>
      </c>
      <c r="AA1884" s="1">
        <v>46068</v>
      </c>
      <c r="AB1884" t="s">
        <v>576</v>
      </c>
      <c r="AD1884" t="s">
        <v>41</v>
      </c>
      <c r="AE1884" t="s">
        <v>577</v>
      </c>
      <c r="AF1884">
        <v>4700</v>
      </c>
      <c r="AG1884" t="s">
        <v>572</v>
      </c>
      <c r="AI1884" t="s">
        <v>59</v>
      </c>
      <c r="AJ1884" t="str">
        <f>"0050075176"</f>
        <v>0050075176</v>
      </c>
      <c r="AN1884" s="3">
        <v>46070.46597222222</v>
      </c>
      <c r="AO1884" t="s">
        <v>573</v>
      </c>
    </row>
    <row r="1885" spans="1:41" x14ac:dyDescent="0.3">
      <c r="A1885" t="s">
        <v>168</v>
      </c>
      <c r="B1885" t="s">
        <v>1963</v>
      </c>
      <c r="C1885" t="s">
        <v>2026</v>
      </c>
      <c r="D1885" t="s">
        <v>401</v>
      </c>
      <c r="E1885" s="1">
        <v>46062</v>
      </c>
      <c r="F1885" t="s">
        <v>569</v>
      </c>
      <c r="G1885" t="s">
        <v>45</v>
      </c>
      <c r="H1885" s="2">
        <v>0.29166666666666669</v>
      </c>
      <c r="I1885" s="2">
        <v>0.625</v>
      </c>
      <c r="J1885" t="s">
        <v>529</v>
      </c>
      <c r="L1885" t="s">
        <v>298</v>
      </c>
      <c r="M1885" t="s">
        <v>4415</v>
      </c>
      <c r="N1885" t="s">
        <v>4416</v>
      </c>
      <c r="O1885">
        <v>22642</v>
      </c>
      <c r="Q1885" t="s">
        <v>4417</v>
      </c>
      <c r="R1885" t="s">
        <v>1248</v>
      </c>
      <c r="S1885" t="s">
        <v>52</v>
      </c>
      <c r="U1885">
        <v>889817</v>
      </c>
      <c r="V1885" s="3">
        <v>46061.359027777777</v>
      </c>
      <c r="W1885" t="s">
        <v>4418</v>
      </c>
      <c r="X1885" t="s">
        <v>4419</v>
      </c>
      <c r="Y1885" t="str">
        <f>"0416488885"</f>
        <v>0416488885</v>
      </c>
      <c r="Z1885" t="s">
        <v>70</v>
      </c>
      <c r="AA1885" s="1">
        <v>46062</v>
      </c>
      <c r="AB1885" t="s">
        <v>1967</v>
      </c>
      <c r="AD1885" t="s">
        <v>168</v>
      </c>
      <c r="AE1885" t="s">
        <v>1968</v>
      </c>
      <c r="AF1885">
        <v>5000</v>
      </c>
      <c r="AG1885" t="s">
        <v>4420</v>
      </c>
      <c r="AI1885" t="s">
        <v>59</v>
      </c>
      <c r="AL1885" t="s">
        <v>4421</v>
      </c>
      <c r="AN1885" s="3">
        <v>46062.650694444441</v>
      </c>
      <c r="AO1885" t="s">
        <v>4418</v>
      </c>
    </row>
    <row r="1886" spans="1:41" x14ac:dyDescent="0.3">
      <c r="A1886" t="s">
        <v>306</v>
      </c>
      <c r="B1886" t="s">
        <v>1334</v>
      </c>
      <c r="C1886" t="s">
        <v>269</v>
      </c>
      <c r="D1886" t="s">
        <v>1336</v>
      </c>
      <c r="E1886" s="1">
        <v>46062</v>
      </c>
      <c r="F1886" t="s">
        <v>569</v>
      </c>
      <c r="G1886" t="s">
        <v>45</v>
      </c>
      <c r="H1886" s="2">
        <v>0.29166666666666669</v>
      </c>
      <c r="I1886" s="2">
        <v>0.625</v>
      </c>
      <c r="J1886" t="s">
        <v>269</v>
      </c>
      <c r="L1886" t="s">
        <v>1327</v>
      </c>
      <c r="M1886" t="s">
        <v>1328</v>
      </c>
      <c r="N1886" t="s">
        <v>1329</v>
      </c>
      <c r="O1886">
        <v>20185</v>
      </c>
      <c r="Q1886" t="s">
        <v>413</v>
      </c>
      <c r="R1886" t="s">
        <v>1248</v>
      </c>
      <c r="S1886" t="s">
        <v>52</v>
      </c>
      <c r="U1886">
        <v>889813</v>
      </c>
      <c r="V1886" s="3">
        <v>46061.34097222222</v>
      </c>
      <c r="W1886" t="s">
        <v>1331</v>
      </c>
      <c r="X1886" t="s">
        <v>1332</v>
      </c>
      <c r="Y1886" t="str">
        <f>"0422616195"</f>
        <v>0422616195</v>
      </c>
      <c r="Z1886" t="s">
        <v>70</v>
      </c>
      <c r="AA1886" s="1">
        <v>46062</v>
      </c>
      <c r="AB1886" t="s">
        <v>1342</v>
      </c>
      <c r="AD1886" t="s">
        <v>306</v>
      </c>
      <c r="AE1886" t="s">
        <v>1343</v>
      </c>
      <c r="AF1886">
        <v>3144</v>
      </c>
      <c r="AG1886" t="s">
        <v>413</v>
      </c>
      <c r="AI1886" t="s">
        <v>59</v>
      </c>
      <c r="AL1886" t="s">
        <v>87</v>
      </c>
      <c r="AN1886" s="3">
        <v>46062.611805555556</v>
      </c>
      <c r="AO1886" t="s">
        <v>1331</v>
      </c>
    </row>
    <row r="1887" spans="1:41" x14ac:dyDescent="0.3">
      <c r="A1887" t="s">
        <v>41</v>
      </c>
      <c r="B1887" t="s">
        <v>1557</v>
      </c>
      <c r="C1887" t="s">
        <v>183</v>
      </c>
      <c r="D1887" t="s">
        <v>63</v>
      </c>
      <c r="E1887" s="1">
        <v>46062</v>
      </c>
      <c r="F1887" t="s">
        <v>569</v>
      </c>
      <c r="G1887" t="s">
        <v>45</v>
      </c>
      <c r="H1887" s="2">
        <v>0.29166666666666669</v>
      </c>
      <c r="I1887" s="2">
        <v>0.64583333333333337</v>
      </c>
      <c r="J1887" t="s">
        <v>185</v>
      </c>
      <c r="K1887" t="s">
        <v>1507</v>
      </c>
      <c r="L1887" t="s">
        <v>186</v>
      </c>
      <c r="M1887" t="s">
        <v>2815</v>
      </c>
      <c r="N1887" t="s">
        <v>2816</v>
      </c>
      <c r="O1887">
        <v>22933</v>
      </c>
      <c r="Q1887" t="s">
        <v>1559</v>
      </c>
      <c r="R1887" t="s">
        <v>723</v>
      </c>
      <c r="S1887" t="s">
        <v>52</v>
      </c>
      <c r="U1887">
        <v>889820</v>
      </c>
      <c r="V1887" s="3">
        <v>46057.490277777775</v>
      </c>
      <c r="W1887" t="s">
        <v>2818</v>
      </c>
      <c r="X1887" t="s">
        <v>2819</v>
      </c>
      <c r="Y1887" t="str">
        <f>"0433824417"</f>
        <v>0433824417</v>
      </c>
      <c r="Z1887" t="s">
        <v>70</v>
      </c>
      <c r="AA1887" s="1">
        <v>46062</v>
      </c>
      <c r="AB1887" t="s">
        <v>1562</v>
      </c>
      <c r="AD1887" t="s">
        <v>41</v>
      </c>
      <c r="AE1887" t="s">
        <v>1563</v>
      </c>
      <c r="AF1887">
        <v>4109</v>
      </c>
      <c r="AG1887" t="s">
        <v>2817</v>
      </c>
      <c r="AI1887" t="s">
        <v>59</v>
      </c>
      <c r="AL1887" t="s">
        <v>4422</v>
      </c>
      <c r="AN1887" s="3">
        <v>46062.664583333331</v>
      </c>
      <c r="AO1887" t="s">
        <v>2818</v>
      </c>
    </row>
    <row r="1888" spans="1:41" x14ac:dyDescent="0.3">
      <c r="A1888" t="s">
        <v>168</v>
      </c>
      <c r="B1888" t="s">
        <v>376</v>
      </c>
      <c r="C1888" t="s">
        <v>43</v>
      </c>
      <c r="D1888" t="s">
        <v>127</v>
      </c>
      <c r="E1888" s="1">
        <v>46062</v>
      </c>
      <c r="F1888" t="s">
        <v>569</v>
      </c>
      <c r="G1888" t="s">
        <v>45</v>
      </c>
      <c r="H1888" s="2">
        <v>0.29166666666666669</v>
      </c>
      <c r="I1888" s="2">
        <v>0.625</v>
      </c>
      <c r="J1888" t="s">
        <v>185</v>
      </c>
      <c r="L1888" t="s">
        <v>186</v>
      </c>
      <c r="M1888" t="s">
        <v>1530</v>
      </c>
      <c r="N1888" t="s">
        <v>1531</v>
      </c>
      <c r="O1888">
        <v>5952013</v>
      </c>
      <c r="Q1888" t="s">
        <v>670</v>
      </c>
      <c r="R1888" t="s">
        <v>231</v>
      </c>
      <c r="S1888" t="s">
        <v>52</v>
      </c>
      <c r="U1888">
        <v>889811</v>
      </c>
      <c r="V1888" s="3">
        <v>46035.652083333334</v>
      </c>
      <c r="W1888" t="s">
        <v>1532</v>
      </c>
      <c r="X1888" t="s">
        <v>1533</v>
      </c>
      <c r="Y1888" t="str">
        <f>"0412621412"</f>
        <v>0412621412</v>
      </c>
      <c r="Z1888" t="s">
        <v>1225</v>
      </c>
      <c r="AB1888" t="s">
        <v>383</v>
      </c>
      <c r="AD1888" t="s">
        <v>168</v>
      </c>
      <c r="AE1888" t="s">
        <v>384</v>
      </c>
      <c r="AF1888">
        <v>5000</v>
      </c>
      <c r="AG1888" t="s">
        <v>674</v>
      </c>
      <c r="AI1888" t="s">
        <v>59</v>
      </c>
      <c r="AL1888" t="s">
        <v>385</v>
      </c>
      <c r="AM1888" t="s">
        <v>4423</v>
      </c>
      <c r="AN1888" s="3">
        <v>46062.591666666667</v>
      </c>
      <c r="AO1888" t="s">
        <v>1532</v>
      </c>
    </row>
    <row r="1889" spans="1:41" x14ac:dyDescent="0.3">
      <c r="A1889" t="s">
        <v>61</v>
      </c>
      <c r="B1889" t="s">
        <v>655</v>
      </c>
      <c r="C1889" t="s">
        <v>43</v>
      </c>
      <c r="D1889" t="s">
        <v>656</v>
      </c>
      <c r="E1889" s="1">
        <v>46062</v>
      </c>
      <c r="F1889" t="s">
        <v>569</v>
      </c>
      <c r="G1889" t="s">
        <v>45</v>
      </c>
      <c r="H1889" s="2">
        <v>0.30208333333333331</v>
      </c>
      <c r="I1889" s="2">
        <v>0.99861111111111112</v>
      </c>
      <c r="J1889" t="s">
        <v>101</v>
      </c>
      <c r="L1889" t="s">
        <v>47</v>
      </c>
      <c r="M1889" t="s">
        <v>785</v>
      </c>
      <c r="N1889" t="s">
        <v>905</v>
      </c>
      <c r="O1889">
        <v>5950885</v>
      </c>
      <c r="Q1889" t="s">
        <v>665</v>
      </c>
      <c r="R1889" t="s">
        <v>67</v>
      </c>
      <c r="S1889" t="s">
        <v>52</v>
      </c>
      <c r="U1889">
        <v>889846</v>
      </c>
      <c r="V1889" s="3">
        <v>46042.432638888888</v>
      </c>
      <c r="W1889" t="s">
        <v>906</v>
      </c>
      <c r="X1889" t="s">
        <v>907</v>
      </c>
      <c r="Y1889" t="str">
        <f>"0421650139"</f>
        <v>0421650139</v>
      </c>
      <c r="Z1889" t="s">
        <v>4424</v>
      </c>
      <c r="AB1889" t="s">
        <v>662</v>
      </c>
      <c r="AC1889" t="s">
        <v>663</v>
      </c>
      <c r="AD1889" t="s">
        <v>61</v>
      </c>
      <c r="AE1889" t="s">
        <v>664</v>
      </c>
      <c r="AF1889">
        <v>2067</v>
      </c>
      <c r="AG1889" t="s">
        <v>665</v>
      </c>
      <c r="AI1889" t="s">
        <v>59</v>
      </c>
      <c r="AL1889" t="s">
        <v>4425</v>
      </c>
      <c r="AN1889" s="3">
        <v>46062.759722222225</v>
      </c>
      <c r="AO1889" t="s">
        <v>906</v>
      </c>
    </row>
    <row r="1890" spans="1:41" x14ac:dyDescent="0.3">
      <c r="A1890" t="s">
        <v>75</v>
      </c>
      <c r="B1890" t="s">
        <v>4363</v>
      </c>
      <c r="C1890" t="s">
        <v>43</v>
      </c>
      <c r="D1890" t="s">
        <v>127</v>
      </c>
      <c r="E1890" s="1">
        <v>46062</v>
      </c>
      <c r="F1890" t="s">
        <v>569</v>
      </c>
      <c r="G1890" t="s">
        <v>45</v>
      </c>
      <c r="H1890" s="2">
        <v>0.3125</v>
      </c>
      <c r="I1890" s="2">
        <v>0.75</v>
      </c>
      <c r="J1890" t="s">
        <v>101</v>
      </c>
      <c r="L1890" t="s">
        <v>159</v>
      </c>
      <c r="M1890" t="s">
        <v>187</v>
      </c>
      <c r="N1890" t="s">
        <v>1105</v>
      </c>
      <c r="O1890">
        <v>21727</v>
      </c>
      <c r="Q1890" t="s">
        <v>4426</v>
      </c>
      <c r="R1890" t="s">
        <v>81</v>
      </c>
      <c r="S1890" t="s">
        <v>52</v>
      </c>
      <c r="U1890">
        <v>889878</v>
      </c>
      <c r="V1890" s="3">
        <v>46056.645138888889</v>
      </c>
      <c r="W1890" t="s">
        <v>1107</v>
      </c>
      <c r="X1890" t="s">
        <v>1108</v>
      </c>
      <c r="Y1890" t="str">
        <f>"0407897784"</f>
        <v>0407897784</v>
      </c>
      <c r="Z1890" t="s">
        <v>70</v>
      </c>
      <c r="AA1890" s="1">
        <v>46062</v>
      </c>
      <c r="AB1890" t="s">
        <v>4365</v>
      </c>
      <c r="AD1890" t="s">
        <v>75</v>
      </c>
      <c r="AE1890" t="s">
        <v>1110</v>
      </c>
      <c r="AF1890">
        <v>6014</v>
      </c>
      <c r="AG1890" t="s">
        <v>4426</v>
      </c>
      <c r="AI1890" t="s">
        <v>59</v>
      </c>
      <c r="AL1890" t="s">
        <v>87</v>
      </c>
      <c r="AN1890" s="3">
        <v>46062.827777777777</v>
      </c>
      <c r="AO1890" t="s">
        <v>1107</v>
      </c>
    </row>
    <row r="1891" spans="1:41" x14ac:dyDescent="0.3">
      <c r="A1891" t="s">
        <v>75</v>
      </c>
      <c r="B1891" t="s">
        <v>2210</v>
      </c>
      <c r="C1891" t="s">
        <v>2211</v>
      </c>
      <c r="D1891" t="s">
        <v>2212</v>
      </c>
      <c r="E1891" s="1">
        <v>46062</v>
      </c>
      <c r="F1891" t="s">
        <v>569</v>
      </c>
      <c r="G1891" t="s">
        <v>45</v>
      </c>
      <c r="H1891" s="2">
        <v>0.3125</v>
      </c>
      <c r="I1891" s="2">
        <v>0.72916666666666663</v>
      </c>
      <c r="J1891" t="s">
        <v>101</v>
      </c>
      <c r="L1891" t="s">
        <v>159</v>
      </c>
      <c r="M1891" t="s">
        <v>1051</v>
      </c>
      <c r="N1891" t="s">
        <v>2213</v>
      </c>
      <c r="O1891">
        <v>22543</v>
      </c>
      <c r="Q1891" t="s">
        <v>2214</v>
      </c>
      <c r="R1891" t="s">
        <v>926</v>
      </c>
      <c r="S1891" t="s">
        <v>52</v>
      </c>
      <c r="U1891">
        <v>889885</v>
      </c>
      <c r="V1891" s="3">
        <v>46057.636111111111</v>
      </c>
      <c r="W1891" t="s">
        <v>2215</v>
      </c>
      <c r="X1891" t="s">
        <v>2216</v>
      </c>
      <c r="Y1891" t="str">
        <f>"0433875003"</f>
        <v>0433875003</v>
      </c>
      <c r="Z1891" t="s">
        <v>70</v>
      </c>
      <c r="AA1891" s="1">
        <v>46062</v>
      </c>
      <c r="AB1891" t="s">
        <v>2217</v>
      </c>
      <c r="AD1891" t="s">
        <v>75</v>
      </c>
      <c r="AE1891" t="s">
        <v>903</v>
      </c>
      <c r="AF1891">
        <v>6009</v>
      </c>
      <c r="AG1891" t="s">
        <v>2214</v>
      </c>
      <c r="AI1891" t="s">
        <v>59</v>
      </c>
      <c r="AL1891" t="s">
        <v>2218</v>
      </c>
      <c r="AN1891" s="3">
        <v>46062.842361111114</v>
      </c>
      <c r="AO1891" t="s">
        <v>2215</v>
      </c>
    </row>
    <row r="1892" spans="1:41" x14ac:dyDescent="0.3">
      <c r="A1892" t="s">
        <v>306</v>
      </c>
      <c r="B1892" t="s">
        <v>1512</v>
      </c>
      <c r="C1892" t="s">
        <v>43</v>
      </c>
      <c r="D1892" t="s">
        <v>1513</v>
      </c>
      <c r="E1892" s="1">
        <v>46062</v>
      </c>
      <c r="F1892" t="s">
        <v>569</v>
      </c>
      <c r="G1892" t="s">
        <v>45</v>
      </c>
      <c r="H1892" s="2">
        <v>0.3125</v>
      </c>
      <c r="I1892" s="2">
        <v>0.75</v>
      </c>
      <c r="J1892" t="s">
        <v>701</v>
      </c>
      <c r="L1892" t="s">
        <v>702</v>
      </c>
      <c r="M1892" t="s">
        <v>4427</v>
      </c>
      <c r="N1892" t="s">
        <v>4428</v>
      </c>
      <c r="O1892">
        <v>21160</v>
      </c>
      <c r="Q1892" t="s">
        <v>4429</v>
      </c>
      <c r="R1892" t="s">
        <v>145</v>
      </c>
      <c r="S1892" t="s">
        <v>52</v>
      </c>
      <c r="U1892">
        <v>889830</v>
      </c>
      <c r="V1892" s="3">
        <v>46061.740277777775</v>
      </c>
      <c r="W1892" t="s">
        <v>4430</v>
      </c>
      <c r="X1892" t="s">
        <v>4431</v>
      </c>
      <c r="Y1892" t="str">
        <f>"0407223020"</f>
        <v>0407223020</v>
      </c>
      <c r="Z1892" t="s">
        <v>70</v>
      </c>
      <c r="AA1892" s="1">
        <v>46062</v>
      </c>
      <c r="AB1892" t="s">
        <v>1519</v>
      </c>
      <c r="AD1892" t="s">
        <v>306</v>
      </c>
      <c r="AE1892" t="s">
        <v>1520</v>
      </c>
      <c r="AF1892">
        <v>3002</v>
      </c>
      <c r="AG1892" t="s">
        <v>2289</v>
      </c>
      <c r="AI1892" t="s">
        <v>59</v>
      </c>
      <c r="AL1892" t="s">
        <v>4432</v>
      </c>
      <c r="AN1892" s="3">
        <v>46062.703472222223</v>
      </c>
      <c r="AO1892" t="s">
        <v>4430</v>
      </c>
    </row>
    <row r="1893" spans="1:41" x14ac:dyDescent="0.3">
      <c r="A1893" t="s">
        <v>61</v>
      </c>
      <c r="B1893" t="s">
        <v>62</v>
      </c>
      <c r="C1893" t="s">
        <v>43</v>
      </c>
      <c r="D1893" t="s">
        <v>63</v>
      </c>
      <c r="E1893" s="1">
        <v>46062</v>
      </c>
      <c r="F1893" t="s">
        <v>569</v>
      </c>
      <c r="G1893" t="s">
        <v>45</v>
      </c>
      <c r="H1893" s="2">
        <v>0.3125</v>
      </c>
      <c r="I1893" s="2">
        <v>0.98958333333333337</v>
      </c>
      <c r="J1893" t="s">
        <v>185</v>
      </c>
      <c r="L1893" t="s">
        <v>784</v>
      </c>
      <c r="M1893" t="s">
        <v>785</v>
      </c>
      <c r="N1893" t="s">
        <v>786</v>
      </c>
      <c r="O1893">
        <v>5951112</v>
      </c>
      <c r="Q1893" t="s">
        <v>66</v>
      </c>
      <c r="R1893" t="s">
        <v>67</v>
      </c>
      <c r="S1893" t="s">
        <v>52</v>
      </c>
      <c r="U1893">
        <v>889815</v>
      </c>
      <c r="V1893" s="3">
        <v>46056.431944444441</v>
      </c>
      <c r="W1893" t="s">
        <v>787</v>
      </c>
      <c r="X1893" t="s">
        <v>788</v>
      </c>
      <c r="Y1893" t="str">
        <f>"0423329386"</f>
        <v>0423329386</v>
      </c>
      <c r="Z1893" t="s">
        <v>1669</v>
      </c>
      <c r="AB1893" t="s">
        <v>71</v>
      </c>
      <c r="AD1893" t="s">
        <v>61</v>
      </c>
      <c r="AE1893" t="s">
        <v>72</v>
      </c>
      <c r="AF1893">
        <v>2747</v>
      </c>
      <c r="AG1893" t="s">
        <v>73</v>
      </c>
      <c r="AI1893" t="s">
        <v>59</v>
      </c>
      <c r="AL1893" t="s">
        <v>4433</v>
      </c>
      <c r="AN1893" s="3">
        <v>46062.636805555558</v>
      </c>
      <c r="AO1893" t="s">
        <v>787</v>
      </c>
    </row>
    <row r="1894" spans="1:41" x14ac:dyDescent="0.3">
      <c r="A1894" t="s">
        <v>61</v>
      </c>
      <c r="B1894" t="s">
        <v>62</v>
      </c>
      <c r="C1894" t="s">
        <v>43</v>
      </c>
      <c r="D1894" t="s">
        <v>63</v>
      </c>
      <c r="E1894" s="1">
        <v>46062</v>
      </c>
      <c r="F1894" t="s">
        <v>569</v>
      </c>
      <c r="G1894" t="s">
        <v>45</v>
      </c>
      <c r="H1894" s="2">
        <v>0.3125</v>
      </c>
      <c r="I1894" s="2">
        <v>0.99861111111111112</v>
      </c>
      <c r="J1894" t="s">
        <v>101</v>
      </c>
      <c r="L1894" t="s">
        <v>159</v>
      </c>
      <c r="M1894" t="s">
        <v>1746</v>
      </c>
      <c r="N1894" t="s">
        <v>1747</v>
      </c>
      <c r="O1894">
        <v>20760</v>
      </c>
      <c r="Q1894" t="s">
        <v>66</v>
      </c>
      <c r="R1894" t="s">
        <v>67</v>
      </c>
      <c r="S1894" t="s">
        <v>52</v>
      </c>
      <c r="U1894">
        <v>889842</v>
      </c>
      <c r="V1894" s="3">
        <v>46056.431944444441</v>
      </c>
      <c r="W1894" t="s">
        <v>1748</v>
      </c>
      <c r="X1894" t="s">
        <v>1749</v>
      </c>
      <c r="Y1894" t="str">
        <f>"0433858379"</f>
        <v>0433858379</v>
      </c>
      <c r="Z1894" t="s">
        <v>1907</v>
      </c>
      <c r="AB1894" t="s">
        <v>71</v>
      </c>
      <c r="AD1894" t="s">
        <v>61</v>
      </c>
      <c r="AE1894" t="s">
        <v>72</v>
      </c>
      <c r="AF1894">
        <v>2747</v>
      </c>
      <c r="AG1894" t="s">
        <v>73</v>
      </c>
      <c r="AI1894" t="s">
        <v>59</v>
      </c>
      <c r="AL1894" t="s">
        <v>4434</v>
      </c>
      <c r="AN1894" s="3">
        <v>46062.725694444445</v>
      </c>
      <c r="AO1894" t="s">
        <v>1748</v>
      </c>
    </row>
    <row r="1895" spans="1:41" x14ac:dyDescent="0.3">
      <c r="A1895" t="s">
        <v>306</v>
      </c>
      <c r="B1895" t="s">
        <v>1512</v>
      </c>
      <c r="C1895" t="s">
        <v>43</v>
      </c>
      <c r="D1895" t="s">
        <v>1513</v>
      </c>
      <c r="E1895" s="1">
        <v>46062</v>
      </c>
      <c r="F1895" t="s">
        <v>569</v>
      </c>
      <c r="G1895" t="s">
        <v>45</v>
      </c>
      <c r="H1895" s="2">
        <v>0.3125</v>
      </c>
      <c r="I1895" s="2">
        <v>0.75</v>
      </c>
      <c r="J1895" t="s">
        <v>46</v>
      </c>
      <c r="L1895" t="s">
        <v>1260</v>
      </c>
      <c r="M1895" t="s">
        <v>239</v>
      </c>
      <c r="N1895" t="s">
        <v>1261</v>
      </c>
      <c r="O1895">
        <v>5952100</v>
      </c>
      <c r="Q1895" t="s">
        <v>4429</v>
      </c>
      <c r="R1895" t="s">
        <v>145</v>
      </c>
      <c r="S1895" t="s">
        <v>52</v>
      </c>
      <c r="U1895">
        <v>889843</v>
      </c>
      <c r="V1895" s="3">
        <v>46061.740972222222</v>
      </c>
      <c r="W1895" t="s">
        <v>1262</v>
      </c>
      <c r="X1895" t="s">
        <v>1263</v>
      </c>
      <c r="Y1895" t="str">
        <f>"0420517034"</f>
        <v>0420517034</v>
      </c>
      <c r="Z1895" t="s">
        <v>70</v>
      </c>
      <c r="AB1895" t="s">
        <v>1519</v>
      </c>
      <c r="AD1895" t="s">
        <v>306</v>
      </c>
      <c r="AE1895" t="s">
        <v>1520</v>
      </c>
      <c r="AF1895">
        <v>3002</v>
      </c>
      <c r="AG1895" t="s">
        <v>2289</v>
      </c>
      <c r="AI1895" t="s">
        <v>59</v>
      </c>
      <c r="AL1895" t="s">
        <v>4432</v>
      </c>
      <c r="AN1895" s="3">
        <v>46062.73541666667</v>
      </c>
      <c r="AO1895" t="s">
        <v>1262</v>
      </c>
    </row>
    <row r="1896" spans="1:41" x14ac:dyDescent="0.3">
      <c r="A1896" t="s">
        <v>41</v>
      </c>
      <c r="B1896" t="s">
        <v>426</v>
      </c>
      <c r="C1896" t="s">
        <v>43</v>
      </c>
      <c r="D1896" t="s">
        <v>246</v>
      </c>
      <c r="E1896" s="1">
        <v>46062</v>
      </c>
      <c r="F1896" t="s">
        <v>569</v>
      </c>
      <c r="G1896" t="s">
        <v>45</v>
      </c>
      <c r="H1896" s="2">
        <v>0.32291666666666669</v>
      </c>
      <c r="I1896" s="2">
        <v>0.71875</v>
      </c>
      <c r="J1896" t="s">
        <v>185</v>
      </c>
      <c r="K1896" t="s">
        <v>427</v>
      </c>
      <c r="L1896" t="s">
        <v>815</v>
      </c>
      <c r="M1896" t="s">
        <v>816</v>
      </c>
      <c r="N1896" t="s">
        <v>817</v>
      </c>
      <c r="O1896">
        <v>22501</v>
      </c>
      <c r="Q1896" t="s">
        <v>249</v>
      </c>
      <c r="R1896" t="s">
        <v>51</v>
      </c>
      <c r="S1896" t="s">
        <v>52</v>
      </c>
      <c r="U1896">
        <v>889847</v>
      </c>
      <c r="V1896" s="3">
        <v>46059.572916666664</v>
      </c>
      <c r="W1896" t="s">
        <v>818</v>
      </c>
      <c r="X1896" t="s">
        <v>819</v>
      </c>
      <c r="Y1896" t="str">
        <f>"0432588228"</f>
        <v>0432588228</v>
      </c>
      <c r="Z1896" t="s">
        <v>2257</v>
      </c>
      <c r="AB1896" t="s">
        <v>434</v>
      </c>
      <c r="AD1896" t="s">
        <v>41</v>
      </c>
      <c r="AE1896" t="s">
        <v>435</v>
      </c>
      <c r="AF1896">
        <v>4163</v>
      </c>
      <c r="AG1896" t="s">
        <v>249</v>
      </c>
      <c r="AI1896" t="s">
        <v>59</v>
      </c>
      <c r="AL1896" t="s">
        <v>249</v>
      </c>
      <c r="AN1896" s="3">
        <v>46062.762499999997</v>
      </c>
      <c r="AO1896" t="s">
        <v>818</v>
      </c>
    </row>
    <row r="1897" spans="1:41" x14ac:dyDescent="0.3">
      <c r="A1897" t="s">
        <v>61</v>
      </c>
      <c r="B1897" t="s">
        <v>655</v>
      </c>
      <c r="C1897" t="s">
        <v>43</v>
      </c>
      <c r="D1897" t="s">
        <v>656</v>
      </c>
      <c r="E1897" s="1">
        <v>46062</v>
      </c>
      <c r="F1897" t="s">
        <v>569</v>
      </c>
      <c r="G1897" t="s">
        <v>45</v>
      </c>
      <c r="H1897" s="2">
        <v>0.33333333333333331</v>
      </c>
      <c r="I1897" s="2">
        <v>0.99861111111111112</v>
      </c>
      <c r="J1897" t="s">
        <v>185</v>
      </c>
      <c r="K1897" t="s">
        <v>327</v>
      </c>
      <c r="L1897" t="s">
        <v>47</v>
      </c>
      <c r="M1897" t="s">
        <v>657</v>
      </c>
      <c r="N1897" t="s">
        <v>658</v>
      </c>
      <c r="O1897">
        <v>22959</v>
      </c>
      <c r="Q1897" t="s">
        <v>665</v>
      </c>
      <c r="R1897" t="s">
        <v>145</v>
      </c>
      <c r="S1897" t="s">
        <v>52</v>
      </c>
      <c r="U1897">
        <v>889841</v>
      </c>
      <c r="V1897" s="3">
        <v>46052.692361111112</v>
      </c>
      <c r="W1897" t="s">
        <v>660</v>
      </c>
      <c r="X1897" t="s">
        <v>661</v>
      </c>
      <c r="Y1897" t="str">
        <f>"0451533427"</f>
        <v>0451533427</v>
      </c>
      <c r="Z1897" t="s">
        <v>70</v>
      </c>
      <c r="AB1897" t="s">
        <v>662</v>
      </c>
      <c r="AC1897" t="s">
        <v>663</v>
      </c>
      <c r="AD1897" t="s">
        <v>61</v>
      </c>
      <c r="AE1897" t="s">
        <v>664</v>
      </c>
      <c r="AF1897">
        <v>2067</v>
      </c>
      <c r="AG1897" t="s">
        <v>665</v>
      </c>
      <c r="AI1897" t="s">
        <v>59</v>
      </c>
      <c r="AL1897" t="s">
        <v>4435</v>
      </c>
      <c r="AN1897" s="3">
        <v>46062.71875</v>
      </c>
      <c r="AO1897" t="s">
        <v>660</v>
      </c>
    </row>
    <row r="1898" spans="1:41" x14ac:dyDescent="0.3">
      <c r="A1898" t="s">
        <v>41</v>
      </c>
      <c r="B1898" t="s">
        <v>4436</v>
      </c>
      <c r="E1898" s="1">
        <v>46062</v>
      </c>
      <c r="F1898" t="s">
        <v>569</v>
      </c>
      <c r="G1898" t="s">
        <v>45</v>
      </c>
      <c r="H1898" s="2">
        <v>0.33333333333333331</v>
      </c>
      <c r="I1898" s="2">
        <v>0.6875</v>
      </c>
      <c r="J1898" t="s">
        <v>1850</v>
      </c>
      <c r="L1898" t="s">
        <v>633</v>
      </c>
      <c r="M1898" t="s">
        <v>634</v>
      </c>
      <c r="N1898" t="s">
        <v>635</v>
      </c>
      <c r="O1898">
        <v>402532</v>
      </c>
      <c r="Q1898" t="s">
        <v>4437</v>
      </c>
      <c r="R1898" t="s">
        <v>51</v>
      </c>
      <c r="S1898" t="s">
        <v>119</v>
      </c>
      <c r="T1898" t="s">
        <v>1619</v>
      </c>
      <c r="U1898">
        <v>890921</v>
      </c>
      <c r="V1898" s="3">
        <v>46052.611805555556</v>
      </c>
      <c r="W1898" t="s">
        <v>637</v>
      </c>
      <c r="X1898" t="s">
        <v>638</v>
      </c>
      <c r="Y1898" t="str">
        <f>"0433474014"</f>
        <v>0433474014</v>
      </c>
      <c r="Z1898" t="s">
        <v>70</v>
      </c>
      <c r="AA1898" s="1">
        <v>46062</v>
      </c>
      <c r="AB1898" t="s">
        <v>4438</v>
      </c>
      <c r="AD1898" t="s">
        <v>41</v>
      </c>
      <c r="AE1898" t="s">
        <v>4439</v>
      </c>
      <c r="AF1898">
        <v>4114</v>
      </c>
      <c r="AG1898" t="s">
        <v>4440</v>
      </c>
      <c r="AI1898" t="s">
        <v>59</v>
      </c>
      <c r="AL1898" t="s">
        <v>4441</v>
      </c>
      <c r="AN1898" s="3">
        <v>46063.711805555555</v>
      </c>
      <c r="AO1898" t="s">
        <v>208</v>
      </c>
    </row>
    <row r="1899" spans="1:41" x14ac:dyDescent="0.3">
      <c r="A1899" t="s">
        <v>41</v>
      </c>
      <c r="B1899" t="s">
        <v>138</v>
      </c>
      <c r="C1899" t="s">
        <v>139</v>
      </c>
      <c r="D1899" t="s">
        <v>127</v>
      </c>
      <c r="E1899" s="1">
        <v>46062</v>
      </c>
      <c r="F1899" t="s">
        <v>569</v>
      </c>
      <c r="G1899" t="s">
        <v>45</v>
      </c>
      <c r="H1899" s="2">
        <v>0.33333333333333331</v>
      </c>
      <c r="I1899" s="2">
        <v>0.66666666666666663</v>
      </c>
      <c r="J1899" t="s">
        <v>140</v>
      </c>
      <c r="L1899" t="s">
        <v>141</v>
      </c>
      <c r="M1899" t="s">
        <v>142</v>
      </c>
      <c r="N1899" t="s">
        <v>143</v>
      </c>
      <c r="O1899">
        <v>22649</v>
      </c>
      <c r="Q1899" t="s">
        <v>1536</v>
      </c>
      <c r="R1899" t="s">
        <v>51</v>
      </c>
      <c r="S1899" t="s">
        <v>52</v>
      </c>
      <c r="U1899">
        <v>889831</v>
      </c>
      <c r="V1899" s="3">
        <v>46057.623611111114</v>
      </c>
      <c r="W1899" t="s">
        <v>146</v>
      </c>
      <c r="X1899" t="s">
        <v>147</v>
      </c>
      <c r="Y1899" t="str">
        <f>"0407039143"</f>
        <v>0407039143</v>
      </c>
      <c r="Z1899" t="s">
        <v>70</v>
      </c>
      <c r="AA1899" s="1">
        <v>46062</v>
      </c>
      <c r="AB1899" t="s">
        <v>148</v>
      </c>
      <c r="AC1899" t="s">
        <v>149</v>
      </c>
      <c r="AD1899" t="s">
        <v>41</v>
      </c>
      <c r="AE1899" t="s">
        <v>150</v>
      </c>
      <c r="AF1899">
        <v>4000</v>
      </c>
      <c r="AG1899" t="s">
        <v>1537</v>
      </c>
      <c r="AI1899" t="s">
        <v>59</v>
      </c>
      <c r="AL1899" t="s">
        <v>87</v>
      </c>
      <c r="AN1899" s="3">
        <v>46062.70416666667</v>
      </c>
      <c r="AO1899" t="s">
        <v>146</v>
      </c>
    </row>
    <row r="1900" spans="1:41" x14ac:dyDescent="0.3">
      <c r="A1900" t="s">
        <v>75</v>
      </c>
      <c r="B1900" t="s">
        <v>895</v>
      </c>
      <c r="C1900" t="s">
        <v>896</v>
      </c>
      <c r="D1900" t="s">
        <v>184</v>
      </c>
      <c r="E1900" s="1">
        <v>46062</v>
      </c>
      <c r="F1900" t="s">
        <v>569</v>
      </c>
      <c r="G1900" t="s">
        <v>45</v>
      </c>
      <c r="H1900" s="2">
        <v>0.33333333333333331</v>
      </c>
      <c r="I1900" s="2">
        <v>0.58333333333333337</v>
      </c>
      <c r="J1900" t="s">
        <v>46</v>
      </c>
      <c r="K1900" t="s">
        <v>77</v>
      </c>
      <c r="L1900" t="s">
        <v>47</v>
      </c>
      <c r="M1900" t="s">
        <v>64</v>
      </c>
      <c r="N1900" t="s">
        <v>1055</v>
      </c>
      <c r="O1900">
        <v>5951519</v>
      </c>
      <c r="Q1900" t="s">
        <v>3292</v>
      </c>
      <c r="R1900" t="s">
        <v>926</v>
      </c>
      <c r="S1900" t="s">
        <v>52</v>
      </c>
      <c r="U1900">
        <v>889828</v>
      </c>
      <c r="V1900" s="3">
        <v>46059.663888888892</v>
      </c>
      <c r="W1900" t="s">
        <v>1057</v>
      </c>
      <c r="X1900" t="s">
        <v>1058</v>
      </c>
      <c r="Y1900" t="str">
        <f>"0432063806"</f>
        <v>0432063806</v>
      </c>
      <c r="Z1900" t="s">
        <v>70</v>
      </c>
      <c r="AA1900" s="1">
        <v>46062</v>
      </c>
      <c r="AB1900" t="s">
        <v>902</v>
      </c>
      <c r="AD1900" t="s">
        <v>75</v>
      </c>
      <c r="AE1900" t="s">
        <v>903</v>
      </c>
      <c r="AF1900">
        <v>6009</v>
      </c>
      <c r="AG1900" t="s">
        <v>1830</v>
      </c>
      <c r="AI1900" t="s">
        <v>59</v>
      </c>
      <c r="AL1900" t="s">
        <v>87</v>
      </c>
      <c r="AN1900" s="3">
        <v>46062.702777777777</v>
      </c>
      <c r="AO1900" t="s">
        <v>1057</v>
      </c>
    </row>
    <row r="1901" spans="1:41" x14ac:dyDescent="0.3">
      <c r="A1901" t="s">
        <v>61</v>
      </c>
      <c r="B1901" t="s">
        <v>859</v>
      </c>
      <c r="C1901" t="s">
        <v>43</v>
      </c>
      <c r="D1901" t="s">
        <v>227</v>
      </c>
      <c r="E1901" s="1">
        <v>46062</v>
      </c>
      <c r="F1901" t="s">
        <v>569</v>
      </c>
      <c r="G1901" t="s">
        <v>45</v>
      </c>
      <c r="H1901" s="2">
        <v>0.33333333333333331</v>
      </c>
      <c r="I1901" s="2">
        <v>0.54166666666666663</v>
      </c>
      <c r="J1901" t="s">
        <v>46</v>
      </c>
      <c r="L1901" t="s">
        <v>47</v>
      </c>
      <c r="M1901" t="s">
        <v>91</v>
      </c>
      <c r="N1901" t="s">
        <v>92</v>
      </c>
      <c r="O1901">
        <v>5950650</v>
      </c>
      <c r="Q1901" t="s">
        <v>860</v>
      </c>
      <c r="R1901" t="s">
        <v>132</v>
      </c>
      <c r="S1901" t="s">
        <v>52</v>
      </c>
      <c r="U1901">
        <v>889779</v>
      </c>
      <c r="V1901" s="3">
        <v>46043.590277777781</v>
      </c>
      <c r="W1901" t="s">
        <v>94</v>
      </c>
      <c r="X1901" t="s">
        <v>95</v>
      </c>
      <c r="Y1901" t="str">
        <f>"0493332534"</f>
        <v>0493332534</v>
      </c>
      <c r="Z1901" t="s">
        <v>395</v>
      </c>
      <c r="AB1901" t="s">
        <v>861</v>
      </c>
      <c r="AD1901" t="s">
        <v>61</v>
      </c>
      <c r="AE1901" t="s">
        <v>765</v>
      </c>
      <c r="AF1901">
        <v>2220</v>
      </c>
      <c r="AG1901" t="s">
        <v>860</v>
      </c>
      <c r="AI1901" t="s">
        <v>59</v>
      </c>
      <c r="AL1901" t="s">
        <v>4193</v>
      </c>
      <c r="AN1901" s="3">
        <v>46062.50277777778</v>
      </c>
      <c r="AO1901" t="s">
        <v>94</v>
      </c>
    </row>
    <row r="1902" spans="1:41" x14ac:dyDescent="0.3">
      <c r="A1902" t="s">
        <v>61</v>
      </c>
      <c r="B1902" t="s">
        <v>507</v>
      </c>
      <c r="C1902" t="s">
        <v>202</v>
      </c>
      <c r="D1902" t="s">
        <v>63</v>
      </c>
      <c r="E1902" s="1">
        <v>46062</v>
      </c>
      <c r="F1902" t="s">
        <v>569</v>
      </c>
      <c r="G1902" t="s">
        <v>45</v>
      </c>
      <c r="H1902" s="2">
        <v>0.33333333333333331</v>
      </c>
      <c r="I1902" s="2">
        <v>0.6875</v>
      </c>
      <c r="J1902" t="s">
        <v>46</v>
      </c>
      <c r="L1902" t="s">
        <v>47</v>
      </c>
      <c r="M1902" t="s">
        <v>351</v>
      </c>
      <c r="N1902" t="s">
        <v>352</v>
      </c>
      <c r="O1902">
        <v>5951965</v>
      </c>
      <c r="Q1902" t="s">
        <v>840</v>
      </c>
      <c r="R1902" t="s">
        <v>67</v>
      </c>
      <c r="S1902" t="s">
        <v>52</v>
      </c>
      <c r="U1902">
        <v>889824</v>
      </c>
      <c r="V1902" s="3">
        <v>46059.474999999999</v>
      </c>
      <c r="W1902" t="s">
        <v>354</v>
      </c>
      <c r="X1902" t="s">
        <v>355</v>
      </c>
      <c r="Y1902" t="str">
        <f>"0430083393"</f>
        <v>0430083393</v>
      </c>
      <c r="Z1902" t="s">
        <v>4442</v>
      </c>
      <c r="AB1902" t="s">
        <v>514</v>
      </c>
      <c r="AD1902" t="s">
        <v>61</v>
      </c>
      <c r="AE1902" t="s">
        <v>515</v>
      </c>
      <c r="AF1902">
        <v>2086</v>
      </c>
      <c r="AG1902" t="s">
        <v>840</v>
      </c>
      <c r="AI1902" t="s">
        <v>59</v>
      </c>
      <c r="AL1902" t="s">
        <v>4443</v>
      </c>
      <c r="AN1902" s="3">
        <v>46062.685416666667</v>
      </c>
      <c r="AO1902" t="s">
        <v>354</v>
      </c>
    </row>
    <row r="1903" spans="1:41" x14ac:dyDescent="0.3">
      <c r="A1903" t="s">
        <v>168</v>
      </c>
      <c r="B1903" t="s">
        <v>689</v>
      </c>
      <c r="C1903" t="s">
        <v>43</v>
      </c>
      <c r="D1903" t="s">
        <v>268</v>
      </c>
      <c r="E1903" s="1">
        <v>46062</v>
      </c>
      <c r="F1903" t="s">
        <v>569</v>
      </c>
      <c r="G1903" t="s">
        <v>45</v>
      </c>
      <c r="H1903" s="2">
        <v>0.33333333333333331</v>
      </c>
      <c r="I1903" s="2">
        <v>0.66666666666666663</v>
      </c>
      <c r="J1903" t="s">
        <v>100</v>
      </c>
      <c r="L1903" t="s">
        <v>100</v>
      </c>
      <c r="M1903" t="s">
        <v>862</v>
      </c>
      <c r="N1903" t="s">
        <v>863</v>
      </c>
      <c r="O1903">
        <v>5952375</v>
      </c>
      <c r="Q1903" t="s">
        <v>692</v>
      </c>
      <c r="R1903" t="s">
        <v>864</v>
      </c>
      <c r="S1903" t="s">
        <v>52</v>
      </c>
      <c r="T1903" t="s">
        <v>252</v>
      </c>
      <c r="U1903">
        <v>890106</v>
      </c>
      <c r="V1903" s="3">
        <v>46064.509027777778</v>
      </c>
      <c r="W1903" t="s">
        <v>864</v>
      </c>
      <c r="X1903" t="s">
        <v>865</v>
      </c>
      <c r="Y1903" t="str">
        <f>"0433092113"</f>
        <v>0433092113</v>
      </c>
      <c r="Z1903" t="s">
        <v>123</v>
      </c>
      <c r="AA1903" s="1">
        <v>46075</v>
      </c>
      <c r="AB1903" t="s">
        <v>695</v>
      </c>
      <c r="AD1903" t="s">
        <v>168</v>
      </c>
      <c r="AE1903" t="s">
        <v>696</v>
      </c>
      <c r="AF1903">
        <v>5606</v>
      </c>
      <c r="AG1903" t="s">
        <v>866</v>
      </c>
      <c r="AI1903" t="s">
        <v>59</v>
      </c>
      <c r="AJ1903" t="str">
        <f>"0020187960"</f>
        <v>0020187960</v>
      </c>
      <c r="AN1903" s="3">
        <v>46064.509027777778</v>
      </c>
      <c r="AO1903" t="s">
        <v>864</v>
      </c>
    </row>
    <row r="1904" spans="1:41" x14ac:dyDescent="0.3">
      <c r="A1904" t="s">
        <v>168</v>
      </c>
      <c r="B1904" t="s">
        <v>847</v>
      </c>
      <c r="C1904" t="s">
        <v>848</v>
      </c>
      <c r="D1904" t="s">
        <v>268</v>
      </c>
      <c r="E1904" s="1">
        <v>46062</v>
      </c>
      <c r="F1904" t="s">
        <v>569</v>
      </c>
      <c r="G1904" t="s">
        <v>45</v>
      </c>
      <c r="H1904" s="2">
        <v>0.35416666666666669</v>
      </c>
      <c r="I1904" s="2">
        <v>0.70833333333333337</v>
      </c>
      <c r="J1904" t="s">
        <v>101</v>
      </c>
      <c r="K1904" t="s">
        <v>849</v>
      </c>
      <c r="L1904" t="s">
        <v>159</v>
      </c>
      <c r="M1904" t="s">
        <v>1377</v>
      </c>
      <c r="N1904" t="s">
        <v>1378</v>
      </c>
      <c r="O1904">
        <v>22414</v>
      </c>
      <c r="Q1904" t="s">
        <v>857</v>
      </c>
      <c r="R1904" t="s">
        <v>231</v>
      </c>
      <c r="S1904" t="s">
        <v>52</v>
      </c>
      <c r="U1904">
        <v>889836</v>
      </c>
      <c r="V1904" s="3">
        <v>46035.578472222223</v>
      </c>
      <c r="W1904" t="s">
        <v>1379</v>
      </c>
      <c r="X1904" t="s">
        <v>1380</v>
      </c>
      <c r="Y1904" t="str">
        <f>"0425653004"</f>
        <v>0425653004</v>
      </c>
      <c r="Z1904" t="s">
        <v>1225</v>
      </c>
      <c r="AB1904" t="s">
        <v>847</v>
      </c>
      <c r="AC1904" t="s">
        <v>855</v>
      </c>
      <c r="AD1904" t="s">
        <v>168</v>
      </c>
      <c r="AE1904" t="s">
        <v>856</v>
      </c>
      <c r="AF1904">
        <v>5112</v>
      </c>
      <c r="AG1904" t="s">
        <v>857</v>
      </c>
      <c r="AI1904" t="s">
        <v>59</v>
      </c>
      <c r="AL1904" t="s">
        <v>4358</v>
      </c>
      <c r="AN1904" s="3">
        <v>46062.709722222222</v>
      </c>
      <c r="AO1904" t="s">
        <v>1379</v>
      </c>
    </row>
    <row r="1905" spans="1:41" x14ac:dyDescent="0.3">
      <c r="A1905" t="s">
        <v>168</v>
      </c>
      <c r="B1905" t="s">
        <v>847</v>
      </c>
      <c r="C1905" t="s">
        <v>848</v>
      </c>
      <c r="D1905" t="s">
        <v>268</v>
      </c>
      <c r="E1905" s="1">
        <v>46062</v>
      </c>
      <c r="F1905" t="s">
        <v>569</v>
      </c>
      <c r="G1905" t="s">
        <v>45</v>
      </c>
      <c r="H1905" s="2">
        <v>0.35416666666666669</v>
      </c>
      <c r="I1905" s="2">
        <v>0.70833333333333337</v>
      </c>
      <c r="J1905" t="s">
        <v>101</v>
      </c>
      <c r="K1905" t="s">
        <v>849</v>
      </c>
      <c r="L1905" t="s">
        <v>159</v>
      </c>
      <c r="M1905" t="s">
        <v>1552</v>
      </c>
      <c r="N1905" t="s">
        <v>1553</v>
      </c>
      <c r="O1905">
        <v>5951790</v>
      </c>
      <c r="Q1905" t="s">
        <v>3423</v>
      </c>
      <c r="R1905" t="s">
        <v>231</v>
      </c>
      <c r="S1905" t="s">
        <v>52</v>
      </c>
      <c r="U1905">
        <v>889837</v>
      </c>
      <c r="V1905" s="3">
        <v>46038.387499999997</v>
      </c>
      <c r="W1905" t="s">
        <v>1554</v>
      </c>
      <c r="X1905" t="s">
        <v>1555</v>
      </c>
      <c r="Y1905" t="str">
        <f>"0402115073"</f>
        <v>0402115073</v>
      </c>
      <c r="Z1905" t="s">
        <v>70</v>
      </c>
      <c r="AA1905" s="1">
        <v>46062</v>
      </c>
      <c r="AB1905" t="s">
        <v>847</v>
      </c>
      <c r="AC1905" t="s">
        <v>855</v>
      </c>
      <c r="AD1905" t="s">
        <v>168</v>
      </c>
      <c r="AE1905" t="s">
        <v>856</v>
      </c>
      <c r="AF1905">
        <v>5112</v>
      </c>
      <c r="AG1905" t="s">
        <v>857</v>
      </c>
      <c r="AI1905" t="s">
        <v>59</v>
      </c>
      <c r="AL1905" t="s">
        <v>4444</v>
      </c>
      <c r="AM1905" t="s">
        <v>4445</v>
      </c>
      <c r="AN1905" s="3">
        <v>46062.710416666669</v>
      </c>
      <c r="AO1905" t="s">
        <v>1554</v>
      </c>
    </row>
    <row r="1906" spans="1:41" x14ac:dyDescent="0.3">
      <c r="A1906" t="s">
        <v>168</v>
      </c>
      <c r="B1906" t="s">
        <v>282</v>
      </c>
      <c r="C1906" t="s">
        <v>170</v>
      </c>
      <c r="D1906" t="s">
        <v>283</v>
      </c>
      <c r="E1906" s="1">
        <v>46062</v>
      </c>
      <c r="F1906" t="s">
        <v>569</v>
      </c>
      <c r="G1906" t="s">
        <v>45</v>
      </c>
      <c r="H1906" s="2">
        <v>0.35416666666666669</v>
      </c>
      <c r="I1906" s="2">
        <v>0.52083333333333337</v>
      </c>
      <c r="J1906" t="s">
        <v>170</v>
      </c>
      <c r="K1906" t="s">
        <v>77</v>
      </c>
      <c r="L1906" t="s">
        <v>204</v>
      </c>
      <c r="M1906" t="s">
        <v>205</v>
      </c>
      <c r="N1906" t="s">
        <v>206</v>
      </c>
      <c r="O1906">
        <v>21706</v>
      </c>
      <c r="Q1906" t="s">
        <v>294</v>
      </c>
      <c r="R1906" t="s">
        <v>231</v>
      </c>
      <c r="S1906" t="s">
        <v>52</v>
      </c>
      <c r="U1906">
        <v>889804</v>
      </c>
      <c r="V1906" s="3">
        <v>46059.479861111111</v>
      </c>
      <c r="W1906" t="s">
        <v>209</v>
      </c>
      <c r="X1906" t="s">
        <v>210</v>
      </c>
      <c r="Y1906" t="str">
        <f>"0415862070"</f>
        <v>0415862070</v>
      </c>
      <c r="Z1906" t="s">
        <v>234</v>
      </c>
      <c r="AB1906" t="s">
        <v>291</v>
      </c>
      <c r="AC1906" t="s">
        <v>292</v>
      </c>
      <c r="AD1906" t="s">
        <v>168</v>
      </c>
      <c r="AE1906" t="s">
        <v>293</v>
      </c>
      <c r="AF1906">
        <v>5037</v>
      </c>
      <c r="AG1906" t="s">
        <v>294</v>
      </c>
      <c r="AI1906" t="s">
        <v>59</v>
      </c>
      <c r="AL1906" t="s">
        <v>4446</v>
      </c>
      <c r="AN1906" s="3">
        <v>46062.545138888891</v>
      </c>
      <c r="AO1906" t="s">
        <v>209</v>
      </c>
    </row>
    <row r="1907" spans="1:41" x14ac:dyDescent="0.3">
      <c r="A1907" t="s">
        <v>61</v>
      </c>
      <c r="B1907" t="s">
        <v>1079</v>
      </c>
      <c r="C1907" t="s">
        <v>2037</v>
      </c>
      <c r="D1907" t="s">
        <v>63</v>
      </c>
      <c r="E1907" s="1">
        <v>46062</v>
      </c>
      <c r="F1907" t="s">
        <v>569</v>
      </c>
      <c r="G1907" t="s">
        <v>45</v>
      </c>
      <c r="H1907" s="2">
        <v>0.35416666666666669</v>
      </c>
      <c r="I1907" s="2">
        <v>0.70833333333333337</v>
      </c>
      <c r="J1907" t="s">
        <v>46</v>
      </c>
      <c r="L1907" t="s">
        <v>47</v>
      </c>
      <c r="M1907" t="s">
        <v>4447</v>
      </c>
      <c r="N1907" t="s">
        <v>4448</v>
      </c>
      <c r="O1907">
        <v>22791</v>
      </c>
      <c r="Q1907" t="s">
        <v>2242</v>
      </c>
      <c r="R1907" t="s">
        <v>132</v>
      </c>
      <c r="S1907" t="s">
        <v>52</v>
      </c>
      <c r="U1907">
        <v>889833</v>
      </c>
      <c r="V1907" s="3">
        <v>46059.359027777777</v>
      </c>
      <c r="W1907" t="s">
        <v>4449</v>
      </c>
      <c r="X1907" t="s">
        <v>4450</v>
      </c>
      <c r="Y1907" t="str">
        <f>"0422247376"</f>
        <v>0422247376</v>
      </c>
      <c r="Z1907" t="s">
        <v>123</v>
      </c>
      <c r="AB1907" t="s">
        <v>1085</v>
      </c>
      <c r="AD1907" t="s">
        <v>61</v>
      </c>
      <c r="AE1907" t="s">
        <v>1086</v>
      </c>
      <c r="AF1907">
        <v>2031</v>
      </c>
      <c r="AG1907" t="s">
        <v>2242</v>
      </c>
      <c r="AI1907" t="s">
        <v>59</v>
      </c>
      <c r="AL1907" t="s">
        <v>4270</v>
      </c>
      <c r="AN1907" s="3">
        <v>46062.705555555556</v>
      </c>
      <c r="AO1907" t="s">
        <v>4449</v>
      </c>
    </row>
    <row r="1908" spans="1:41" x14ac:dyDescent="0.3">
      <c r="A1908" t="s">
        <v>168</v>
      </c>
      <c r="B1908" t="s">
        <v>282</v>
      </c>
      <c r="C1908" t="s">
        <v>170</v>
      </c>
      <c r="D1908" t="s">
        <v>283</v>
      </c>
      <c r="E1908" s="1">
        <v>46062</v>
      </c>
      <c r="F1908" t="s">
        <v>569</v>
      </c>
      <c r="G1908" t="s">
        <v>45</v>
      </c>
      <c r="H1908" s="2">
        <v>0.35416666666666669</v>
      </c>
      <c r="I1908" s="2">
        <v>0.52083333333333337</v>
      </c>
      <c r="J1908" t="s">
        <v>170</v>
      </c>
      <c r="K1908" t="s">
        <v>77</v>
      </c>
      <c r="L1908" t="s">
        <v>47</v>
      </c>
      <c r="M1908" t="s">
        <v>1089</v>
      </c>
      <c r="N1908" t="s">
        <v>1024</v>
      </c>
      <c r="O1908">
        <v>20963</v>
      </c>
      <c r="Q1908" t="s">
        <v>287</v>
      </c>
      <c r="R1908" t="s">
        <v>231</v>
      </c>
      <c r="S1908" t="s">
        <v>52</v>
      </c>
      <c r="U1908">
        <v>889802</v>
      </c>
      <c r="V1908" s="3">
        <v>46059.479861111111</v>
      </c>
      <c r="W1908" t="s">
        <v>1091</v>
      </c>
      <c r="X1908" t="s">
        <v>1092</v>
      </c>
      <c r="Y1908" t="str">
        <f>"0430222501"</f>
        <v>0430222501</v>
      </c>
      <c r="Z1908" t="s">
        <v>1375</v>
      </c>
      <c r="AB1908" t="s">
        <v>291</v>
      </c>
      <c r="AC1908" t="s">
        <v>292</v>
      </c>
      <c r="AD1908" t="s">
        <v>168</v>
      </c>
      <c r="AE1908" t="s">
        <v>293</v>
      </c>
      <c r="AF1908">
        <v>5037</v>
      </c>
      <c r="AG1908" t="s">
        <v>294</v>
      </c>
      <c r="AI1908" t="s">
        <v>59</v>
      </c>
      <c r="AL1908" t="s">
        <v>4451</v>
      </c>
      <c r="AN1908" s="3">
        <v>46062.543055555558</v>
      </c>
      <c r="AO1908" t="s">
        <v>1091</v>
      </c>
    </row>
    <row r="1909" spans="1:41" x14ac:dyDescent="0.3">
      <c r="A1909" t="s">
        <v>168</v>
      </c>
      <c r="B1909" t="s">
        <v>847</v>
      </c>
      <c r="C1909" t="s">
        <v>848</v>
      </c>
      <c r="D1909" t="s">
        <v>268</v>
      </c>
      <c r="E1909" s="1">
        <v>46062</v>
      </c>
      <c r="F1909" t="s">
        <v>569</v>
      </c>
      <c r="G1909" t="s">
        <v>45</v>
      </c>
      <c r="H1909" s="2">
        <v>0.35416666666666669</v>
      </c>
      <c r="I1909" s="2">
        <v>0.70833333333333337</v>
      </c>
      <c r="J1909" t="s">
        <v>101</v>
      </c>
      <c r="K1909" t="s">
        <v>849</v>
      </c>
      <c r="L1909" t="s">
        <v>159</v>
      </c>
      <c r="M1909" t="s">
        <v>4354</v>
      </c>
      <c r="N1909" t="s">
        <v>4355</v>
      </c>
      <c r="O1909">
        <v>5951776</v>
      </c>
      <c r="Q1909" t="s">
        <v>857</v>
      </c>
      <c r="R1909" t="s">
        <v>231</v>
      </c>
      <c r="S1909" t="s">
        <v>52</v>
      </c>
      <c r="U1909">
        <v>889840</v>
      </c>
      <c r="V1909" s="3">
        <v>46035.578472222223</v>
      </c>
      <c r="W1909" t="s">
        <v>4356</v>
      </c>
      <c r="X1909" t="s">
        <v>4357</v>
      </c>
      <c r="Y1909" t="str">
        <f>"0433255461"</f>
        <v>0433255461</v>
      </c>
      <c r="Z1909" t="s">
        <v>1324</v>
      </c>
      <c r="AB1909" t="s">
        <v>847</v>
      </c>
      <c r="AC1909" t="s">
        <v>855</v>
      </c>
      <c r="AD1909" t="s">
        <v>168</v>
      </c>
      <c r="AE1909" t="s">
        <v>856</v>
      </c>
      <c r="AF1909">
        <v>5112</v>
      </c>
      <c r="AG1909" t="s">
        <v>857</v>
      </c>
      <c r="AI1909" t="s">
        <v>59</v>
      </c>
      <c r="AL1909" t="s">
        <v>4452</v>
      </c>
      <c r="AN1909" s="3">
        <v>46062.715277777781</v>
      </c>
      <c r="AO1909" t="s">
        <v>4356</v>
      </c>
    </row>
    <row r="1910" spans="1:41" x14ac:dyDescent="0.3">
      <c r="A1910" t="s">
        <v>61</v>
      </c>
      <c r="B1910" t="s">
        <v>655</v>
      </c>
      <c r="C1910" t="s">
        <v>43</v>
      </c>
      <c r="D1910" t="s">
        <v>656</v>
      </c>
      <c r="E1910" s="1">
        <v>46062</v>
      </c>
      <c r="F1910" t="s">
        <v>569</v>
      </c>
      <c r="G1910" t="s">
        <v>45</v>
      </c>
      <c r="H1910" s="2">
        <v>0.35416666666666669</v>
      </c>
      <c r="I1910" s="2">
        <v>0.70833333333333337</v>
      </c>
      <c r="J1910" t="s">
        <v>100</v>
      </c>
      <c r="L1910" t="s">
        <v>100</v>
      </c>
      <c r="M1910" t="s">
        <v>1039</v>
      </c>
      <c r="N1910" t="s">
        <v>1040</v>
      </c>
      <c r="O1910">
        <v>5951110</v>
      </c>
      <c r="Q1910" t="s">
        <v>665</v>
      </c>
      <c r="R1910" t="s">
        <v>145</v>
      </c>
      <c r="S1910" t="s">
        <v>52</v>
      </c>
      <c r="U1910">
        <v>889827</v>
      </c>
      <c r="V1910" s="3">
        <v>46037.762499999997</v>
      </c>
      <c r="W1910" t="s">
        <v>1042</v>
      </c>
      <c r="X1910" t="s">
        <v>1043</v>
      </c>
      <c r="Y1910" t="str">
        <f>"0424952006"</f>
        <v>0424952006</v>
      </c>
      <c r="Z1910" t="s">
        <v>4453</v>
      </c>
      <c r="AB1910" t="s">
        <v>662</v>
      </c>
      <c r="AC1910" t="s">
        <v>663</v>
      </c>
      <c r="AD1910" t="s">
        <v>61</v>
      </c>
      <c r="AE1910" t="s">
        <v>664</v>
      </c>
      <c r="AF1910">
        <v>2067</v>
      </c>
      <c r="AG1910" t="s">
        <v>1571</v>
      </c>
      <c r="AI1910" t="s">
        <v>59</v>
      </c>
      <c r="AL1910" t="s">
        <v>4193</v>
      </c>
      <c r="AN1910" s="3">
        <v>46062.70208333333</v>
      </c>
      <c r="AO1910" t="s">
        <v>1042</v>
      </c>
    </row>
    <row r="1911" spans="1:41" x14ac:dyDescent="0.3">
      <c r="A1911" t="s">
        <v>874</v>
      </c>
      <c r="B1911" t="s">
        <v>875</v>
      </c>
      <c r="D1911" t="s">
        <v>388</v>
      </c>
      <c r="E1911" s="1">
        <v>46062</v>
      </c>
      <c r="F1911" t="s">
        <v>569</v>
      </c>
      <c r="G1911" t="s">
        <v>45</v>
      </c>
      <c r="H1911" s="2">
        <v>0.35416666666666669</v>
      </c>
      <c r="I1911" s="2">
        <v>0.70833333333333337</v>
      </c>
      <c r="J1911" t="s">
        <v>876</v>
      </c>
      <c r="L1911" t="s">
        <v>877</v>
      </c>
      <c r="M1911" t="s">
        <v>878</v>
      </c>
      <c r="N1911" t="s">
        <v>879</v>
      </c>
      <c r="O1911">
        <v>5951689</v>
      </c>
      <c r="P1911" t="s">
        <v>249</v>
      </c>
      <c r="Q1911" t="s">
        <v>880</v>
      </c>
      <c r="R1911" t="s">
        <v>392</v>
      </c>
      <c r="S1911" t="s">
        <v>52</v>
      </c>
      <c r="T1911" t="s">
        <v>252</v>
      </c>
      <c r="U1911">
        <v>890594</v>
      </c>
      <c r="V1911" s="3">
        <v>46069.382638888892</v>
      </c>
      <c r="W1911" t="s">
        <v>881</v>
      </c>
      <c r="X1911" t="s">
        <v>882</v>
      </c>
      <c r="Y1911" t="str">
        <f>"0474765680"</f>
        <v>0474765680</v>
      </c>
      <c r="Z1911" t="s">
        <v>585</v>
      </c>
      <c r="AA1911" s="1">
        <v>46110</v>
      </c>
      <c r="AB1911" t="s">
        <v>883</v>
      </c>
      <c r="AD1911" t="s">
        <v>397</v>
      </c>
      <c r="AE1911" t="s">
        <v>884</v>
      </c>
      <c r="AG1911" t="s">
        <v>880</v>
      </c>
      <c r="AI1911" t="s">
        <v>59</v>
      </c>
      <c r="AJ1911" t="str">
        <f>"0090000061"</f>
        <v>0090000061</v>
      </c>
      <c r="AN1911" s="3">
        <v>46069.382638888892</v>
      </c>
      <c r="AO1911" t="s">
        <v>392</v>
      </c>
    </row>
    <row r="1912" spans="1:41" x14ac:dyDescent="0.3">
      <c r="A1912" t="s">
        <v>168</v>
      </c>
      <c r="B1912" t="s">
        <v>1021</v>
      </c>
      <c r="C1912" t="s">
        <v>202</v>
      </c>
      <c r="D1912" t="s">
        <v>127</v>
      </c>
      <c r="E1912" s="1">
        <v>46062</v>
      </c>
      <c r="F1912" t="s">
        <v>569</v>
      </c>
      <c r="G1912" t="s">
        <v>45</v>
      </c>
      <c r="H1912" s="2">
        <v>0.375</v>
      </c>
      <c r="I1912" s="2">
        <v>0.58333333333333337</v>
      </c>
      <c r="J1912" t="s">
        <v>46</v>
      </c>
      <c r="L1912" t="s">
        <v>47</v>
      </c>
      <c r="M1912" t="s">
        <v>371</v>
      </c>
      <c r="N1912" t="s">
        <v>372</v>
      </c>
      <c r="O1912">
        <v>20698</v>
      </c>
      <c r="Q1912" t="s">
        <v>1179</v>
      </c>
      <c r="R1912" t="s">
        <v>500</v>
      </c>
      <c r="S1912" t="s">
        <v>52</v>
      </c>
      <c r="U1912">
        <v>889812</v>
      </c>
      <c r="V1912" s="3">
        <v>46061.859027777777</v>
      </c>
      <c r="W1912" t="s">
        <v>373</v>
      </c>
      <c r="X1912" t="s">
        <v>374</v>
      </c>
      <c r="Y1912" t="str">
        <f>"0424925273"</f>
        <v>0424925273</v>
      </c>
      <c r="Z1912" t="s">
        <v>70</v>
      </c>
      <c r="AA1912" s="1">
        <v>46062</v>
      </c>
      <c r="AB1912" t="s">
        <v>1029</v>
      </c>
      <c r="AD1912" t="s">
        <v>168</v>
      </c>
      <c r="AE1912" t="s">
        <v>1030</v>
      </c>
      <c r="AF1912">
        <v>5022</v>
      </c>
      <c r="AG1912" t="s">
        <v>1179</v>
      </c>
      <c r="AI1912" t="s">
        <v>59</v>
      </c>
      <c r="AL1912" t="s">
        <v>4454</v>
      </c>
      <c r="AN1912" s="3">
        <v>46062.604166666664</v>
      </c>
      <c r="AO1912" t="s">
        <v>373</v>
      </c>
    </row>
    <row r="1913" spans="1:41" x14ac:dyDescent="0.3">
      <c r="A1913" t="s">
        <v>306</v>
      </c>
      <c r="B1913" t="s">
        <v>450</v>
      </c>
      <c r="C1913" t="s">
        <v>100</v>
      </c>
      <c r="D1913" t="s">
        <v>63</v>
      </c>
      <c r="E1913" s="1">
        <v>46062</v>
      </c>
      <c r="F1913" t="s">
        <v>569</v>
      </c>
      <c r="G1913" t="s">
        <v>45</v>
      </c>
      <c r="H1913" s="2">
        <v>0.375</v>
      </c>
      <c r="I1913" s="2">
        <v>0.58333333333333337</v>
      </c>
      <c r="J1913" t="s">
        <v>451</v>
      </c>
      <c r="L1913" t="s">
        <v>452</v>
      </c>
      <c r="M1913" t="s">
        <v>1122</v>
      </c>
      <c r="N1913" t="s">
        <v>1123</v>
      </c>
      <c r="O1913">
        <v>5951585</v>
      </c>
      <c r="Q1913" t="s">
        <v>461</v>
      </c>
      <c r="R1913" t="s">
        <v>314</v>
      </c>
      <c r="S1913" t="s">
        <v>52</v>
      </c>
      <c r="U1913">
        <v>889808</v>
      </c>
      <c r="V1913" s="3">
        <v>46057.522222222222</v>
      </c>
      <c r="W1913" t="s">
        <v>1124</v>
      </c>
      <c r="X1913" t="s">
        <v>1125</v>
      </c>
      <c r="Y1913" t="str">
        <f>"0406622986"</f>
        <v>0406622986</v>
      </c>
      <c r="Z1913" t="s">
        <v>1917</v>
      </c>
      <c r="AB1913" t="s">
        <v>459</v>
      </c>
      <c r="AD1913" t="s">
        <v>306</v>
      </c>
      <c r="AE1913" t="s">
        <v>460</v>
      </c>
      <c r="AF1913">
        <v>3058</v>
      </c>
      <c r="AG1913" t="s">
        <v>461</v>
      </c>
      <c r="AI1913" t="s">
        <v>59</v>
      </c>
      <c r="AL1913" t="s">
        <v>87</v>
      </c>
      <c r="AN1913" s="3">
        <v>46062.582638888889</v>
      </c>
      <c r="AO1913" t="s">
        <v>1124</v>
      </c>
    </row>
    <row r="1914" spans="1:41" x14ac:dyDescent="0.3">
      <c r="A1914" t="s">
        <v>61</v>
      </c>
      <c r="B1914" t="s">
        <v>940</v>
      </c>
      <c r="C1914" t="s">
        <v>4455</v>
      </c>
      <c r="D1914" t="s">
        <v>127</v>
      </c>
      <c r="E1914" s="1">
        <v>46062</v>
      </c>
      <c r="F1914" t="s">
        <v>569</v>
      </c>
      <c r="G1914" t="s">
        <v>45</v>
      </c>
      <c r="H1914" s="2">
        <v>0.375</v>
      </c>
      <c r="I1914" s="2">
        <v>0.625</v>
      </c>
      <c r="J1914" t="s">
        <v>529</v>
      </c>
      <c r="L1914" t="s">
        <v>735</v>
      </c>
      <c r="M1914" t="s">
        <v>2762</v>
      </c>
      <c r="N1914" t="s">
        <v>2763</v>
      </c>
      <c r="O1914">
        <v>22330</v>
      </c>
      <c r="Q1914" t="s">
        <v>940</v>
      </c>
      <c r="R1914" t="s">
        <v>67</v>
      </c>
      <c r="S1914" t="s">
        <v>52</v>
      </c>
      <c r="U1914">
        <v>889823</v>
      </c>
      <c r="V1914" s="3">
        <v>46037.527083333334</v>
      </c>
      <c r="W1914" t="s">
        <v>2764</v>
      </c>
      <c r="X1914" t="s">
        <v>2765</v>
      </c>
      <c r="Y1914" t="str">
        <f>"0420483284"</f>
        <v>0420483284</v>
      </c>
      <c r="Z1914" t="s">
        <v>70</v>
      </c>
      <c r="AA1914" s="1">
        <v>46062</v>
      </c>
      <c r="AB1914" t="s">
        <v>4456</v>
      </c>
      <c r="AC1914" t="s">
        <v>4457</v>
      </c>
      <c r="AD1914" t="s">
        <v>61</v>
      </c>
      <c r="AE1914" t="s">
        <v>4458</v>
      </c>
      <c r="AF1914">
        <v>2135</v>
      </c>
      <c r="AG1914" t="s">
        <v>3427</v>
      </c>
      <c r="AI1914" t="s">
        <v>59</v>
      </c>
      <c r="AL1914" t="s">
        <v>4459</v>
      </c>
      <c r="AN1914" s="3">
        <v>46062.679861111108</v>
      </c>
      <c r="AO1914" t="s">
        <v>2764</v>
      </c>
    </row>
    <row r="1915" spans="1:41" x14ac:dyDescent="0.3">
      <c r="A1915" t="s">
        <v>41</v>
      </c>
      <c r="B1915" t="s">
        <v>551</v>
      </c>
      <c r="C1915" t="s">
        <v>1547</v>
      </c>
      <c r="D1915" t="s">
        <v>246</v>
      </c>
      <c r="E1915" s="1">
        <v>46062</v>
      </c>
      <c r="F1915" t="s">
        <v>569</v>
      </c>
      <c r="G1915" t="s">
        <v>45</v>
      </c>
      <c r="H1915" s="2">
        <v>0.375</v>
      </c>
      <c r="I1915" s="2">
        <v>0.72916666666666663</v>
      </c>
      <c r="J1915" t="s">
        <v>46</v>
      </c>
      <c r="K1915" t="s">
        <v>427</v>
      </c>
      <c r="L1915" t="s">
        <v>2444</v>
      </c>
      <c r="M1915" t="s">
        <v>2445</v>
      </c>
      <c r="N1915" t="s">
        <v>2446</v>
      </c>
      <c r="O1915">
        <v>20620</v>
      </c>
      <c r="Q1915" t="s">
        <v>4460</v>
      </c>
      <c r="R1915" t="s">
        <v>723</v>
      </c>
      <c r="S1915" t="s">
        <v>52</v>
      </c>
      <c r="U1915">
        <v>889853</v>
      </c>
      <c r="V1915" s="3">
        <v>46059.565972222219</v>
      </c>
      <c r="W1915" t="s">
        <v>2448</v>
      </c>
      <c r="X1915" t="s">
        <v>2449</v>
      </c>
      <c r="Y1915" t="str">
        <f>"0408694662"</f>
        <v>0408694662</v>
      </c>
      <c r="Z1915" t="s">
        <v>585</v>
      </c>
      <c r="AB1915" t="s">
        <v>559</v>
      </c>
      <c r="AD1915" t="s">
        <v>41</v>
      </c>
      <c r="AE1915" t="s">
        <v>560</v>
      </c>
      <c r="AF1915">
        <v>4131</v>
      </c>
      <c r="AG1915" t="s">
        <v>2261</v>
      </c>
      <c r="AI1915" t="s">
        <v>59</v>
      </c>
      <c r="AL1915" t="s">
        <v>370</v>
      </c>
      <c r="AM1915" t="s">
        <v>2263</v>
      </c>
      <c r="AN1915" s="3">
        <v>46062.771527777775</v>
      </c>
      <c r="AO1915" t="s">
        <v>2448</v>
      </c>
    </row>
    <row r="1916" spans="1:41" x14ac:dyDescent="0.3">
      <c r="A1916" t="s">
        <v>41</v>
      </c>
      <c r="B1916" t="s">
        <v>965</v>
      </c>
      <c r="C1916" t="s">
        <v>43</v>
      </c>
      <c r="D1916" t="s">
        <v>966</v>
      </c>
      <c r="E1916" s="1">
        <v>46062</v>
      </c>
      <c r="F1916" t="s">
        <v>569</v>
      </c>
      <c r="G1916" t="s">
        <v>45</v>
      </c>
      <c r="H1916" s="2">
        <v>0.39583333333333331</v>
      </c>
      <c r="I1916" s="2">
        <v>0.72916666666666663</v>
      </c>
      <c r="J1916" t="s">
        <v>46</v>
      </c>
      <c r="K1916" t="s">
        <v>750</v>
      </c>
      <c r="L1916" t="s">
        <v>298</v>
      </c>
      <c r="M1916" t="s">
        <v>1578</v>
      </c>
      <c r="N1916" t="s">
        <v>1579</v>
      </c>
      <c r="O1916">
        <v>5952061</v>
      </c>
      <c r="Q1916" t="s">
        <v>823</v>
      </c>
      <c r="R1916" t="s">
        <v>723</v>
      </c>
      <c r="S1916" t="s">
        <v>52</v>
      </c>
      <c r="U1916">
        <v>889825</v>
      </c>
      <c r="V1916" s="3">
        <v>46059.681250000001</v>
      </c>
      <c r="W1916" t="s">
        <v>1581</v>
      </c>
      <c r="X1916" t="s">
        <v>1582</v>
      </c>
      <c r="Y1916" t="str">
        <f>"0401803081"</f>
        <v>0401803081</v>
      </c>
      <c r="Z1916" t="s">
        <v>70</v>
      </c>
      <c r="AA1916" s="1">
        <v>46062</v>
      </c>
      <c r="AB1916" t="s">
        <v>972</v>
      </c>
      <c r="AD1916" t="s">
        <v>41</v>
      </c>
      <c r="AE1916" t="s">
        <v>973</v>
      </c>
      <c r="AF1916">
        <v>4068</v>
      </c>
      <c r="AG1916" t="s">
        <v>823</v>
      </c>
      <c r="AI1916" t="s">
        <v>59</v>
      </c>
      <c r="AL1916" t="s">
        <v>4461</v>
      </c>
      <c r="AN1916" s="3">
        <v>46062.695138888892</v>
      </c>
      <c r="AO1916" t="s">
        <v>1581</v>
      </c>
    </row>
    <row r="1917" spans="1:41" x14ac:dyDescent="0.3">
      <c r="A1917" t="s">
        <v>61</v>
      </c>
      <c r="B1917" t="s">
        <v>88</v>
      </c>
      <c r="C1917" t="s">
        <v>3680</v>
      </c>
      <c r="D1917" t="s">
        <v>90</v>
      </c>
      <c r="E1917" s="1">
        <v>46062</v>
      </c>
      <c r="F1917" t="s">
        <v>569</v>
      </c>
      <c r="G1917" t="s">
        <v>45</v>
      </c>
      <c r="H1917" s="2">
        <v>0.39583333333333331</v>
      </c>
      <c r="I1917" s="2">
        <v>0.83333333333333337</v>
      </c>
      <c r="J1917" t="s">
        <v>46</v>
      </c>
      <c r="L1917" t="s">
        <v>47</v>
      </c>
      <c r="M1917" t="s">
        <v>914</v>
      </c>
      <c r="N1917" t="s">
        <v>915</v>
      </c>
      <c r="O1917">
        <v>5951931</v>
      </c>
      <c r="P1917">
        <v>11686751</v>
      </c>
      <c r="Q1917" t="s">
        <v>1245</v>
      </c>
      <c r="R1917" t="s">
        <v>132</v>
      </c>
      <c r="S1917" t="s">
        <v>52</v>
      </c>
      <c r="U1917">
        <v>889870</v>
      </c>
      <c r="V1917" s="3">
        <v>46059.39166666667</v>
      </c>
      <c r="W1917" t="s">
        <v>917</v>
      </c>
      <c r="X1917" t="s">
        <v>918</v>
      </c>
      <c r="Y1917" t="str">
        <f>"0402155331"</f>
        <v>0402155331</v>
      </c>
      <c r="Z1917" t="s">
        <v>70</v>
      </c>
      <c r="AA1917" s="1">
        <v>46062</v>
      </c>
      <c r="AB1917" t="s">
        <v>96</v>
      </c>
      <c r="AD1917" t="s">
        <v>61</v>
      </c>
      <c r="AE1917" t="s">
        <v>97</v>
      </c>
      <c r="AF1917">
        <v>2010</v>
      </c>
      <c r="AG1917" t="s">
        <v>98</v>
      </c>
      <c r="AI1917" t="s">
        <v>59</v>
      </c>
      <c r="AL1917" t="s">
        <v>4462</v>
      </c>
      <c r="AN1917" s="3">
        <v>46062.815972222219</v>
      </c>
      <c r="AO1917" t="s">
        <v>917</v>
      </c>
    </row>
    <row r="1918" spans="1:41" x14ac:dyDescent="0.3">
      <c r="A1918" t="s">
        <v>168</v>
      </c>
      <c r="B1918" t="s">
        <v>1178</v>
      </c>
      <c r="C1918" t="s">
        <v>202</v>
      </c>
      <c r="D1918" t="s">
        <v>127</v>
      </c>
      <c r="E1918" s="1">
        <v>46062</v>
      </c>
      <c r="F1918" t="s">
        <v>569</v>
      </c>
      <c r="G1918" t="s">
        <v>45</v>
      </c>
      <c r="H1918" s="2">
        <v>0.41666666666666669</v>
      </c>
      <c r="I1918" s="2">
        <v>0.75</v>
      </c>
      <c r="J1918" t="s">
        <v>46</v>
      </c>
      <c r="L1918" t="s">
        <v>47</v>
      </c>
      <c r="M1918" t="s">
        <v>1603</v>
      </c>
      <c r="N1918" t="s">
        <v>1604</v>
      </c>
      <c r="O1918">
        <v>5952018</v>
      </c>
      <c r="P1918" t="s">
        <v>4463</v>
      </c>
      <c r="Q1918" t="s">
        <v>2047</v>
      </c>
      <c r="R1918" t="s">
        <v>176</v>
      </c>
      <c r="S1918" t="s">
        <v>52</v>
      </c>
      <c r="U1918">
        <v>889852</v>
      </c>
      <c r="V1918" s="3">
        <v>46041.802083333336</v>
      </c>
      <c r="W1918" t="s">
        <v>1606</v>
      </c>
      <c r="X1918" t="s">
        <v>1607</v>
      </c>
      <c r="Y1918" t="str">
        <f>"0415208433"</f>
        <v>0415208433</v>
      </c>
      <c r="Z1918" t="s">
        <v>550</v>
      </c>
      <c r="AB1918" t="s">
        <v>1184</v>
      </c>
      <c r="AD1918" t="s">
        <v>168</v>
      </c>
      <c r="AE1918" t="s">
        <v>1185</v>
      </c>
      <c r="AF1918">
        <v>5066</v>
      </c>
      <c r="AG1918" t="s">
        <v>2047</v>
      </c>
      <c r="AI1918" t="s">
        <v>59</v>
      </c>
      <c r="AL1918" t="s">
        <v>3827</v>
      </c>
      <c r="AN1918" s="3">
        <v>46062.770138888889</v>
      </c>
      <c r="AO1918" t="s">
        <v>1606</v>
      </c>
    </row>
    <row r="1919" spans="1:41" x14ac:dyDescent="0.3">
      <c r="A1919" t="s">
        <v>306</v>
      </c>
      <c r="B1919" t="s">
        <v>820</v>
      </c>
      <c r="C1919" t="s">
        <v>100</v>
      </c>
      <c r="D1919" t="s">
        <v>127</v>
      </c>
      <c r="E1919" s="1">
        <v>46062</v>
      </c>
      <c r="F1919" t="s">
        <v>569</v>
      </c>
      <c r="G1919" t="s">
        <v>45</v>
      </c>
      <c r="H1919" s="2">
        <v>0.41666666666666669</v>
      </c>
      <c r="I1919" s="2">
        <v>0.75</v>
      </c>
      <c r="J1919" t="s">
        <v>451</v>
      </c>
      <c r="L1919" t="s">
        <v>452</v>
      </c>
      <c r="M1919" t="s">
        <v>821</v>
      </c>
      <c r="N1919" t="s">
        <v>822</v>
      </c>
      <c r="O1919">
        <v>20712</v>
      </c>
      <c r="Q1919" t="s">
        <v>823</v>
      </c>
      <c r="R1919" t="s">
        <v>476</v>
      </c>
      <c r="S1919" t="s">
        <v>52</v>
      </c>
      <c r="U1919">
        <v>889839</v>
      </c>
      <c r="V1919" s="3">
        <v>46057.548611111109</v>
      </c>
      <c r="W1919" t="s">
        <v>824</v>
      </c>
      <c r="X1919" t="s">
        <v>825</v>
      </c>
      <c r="Y1919" t="str">
        <f>"0439419256"</f>
        <v>0439419256</v>
      </c>
      <c r="Z1919" t="s">
        <v>70</v>
      </c>
      <c r="AA1919" s="1">
        <v>46062</v>
      </c>
      <c r="AB1919" t="s">
        <v>826</v>
      </c>
      <c r="AD1919" t="s">
        <v>306</v>
      </c>
      <c r="AE1919" t="s">
        <v>827</v>
      </c>
      <c r="AF1919">
        <v>3181</v>
      </c>
      <c r="AG1919" t="s">
        <v>823</v>
      </c>
      <c r="AI1919" t="s">
        <v>59</v>
      </c>
      <c r="AL1919" t="s">
        <v>87</v>
      </c>
      <c r="AN1919" s="3">
        <v>46062.713888888888</v>
      </c>
      <c r="AO1919" t="s">
        <v>824</v>
      </c>
    </row>
    <row r="1920" spans="1:41" x14ac:dyDescent="0.3">
      <c r="A1920" t="s">
        <v>61</v>
      </c>
      <c r="B1920" t="s">
        <v>3050</v>
      </c>
      <c r="C1920" t="s">
        <v>43</v>
      </c>
      <c r="D1920" t="s">
        <v>127</v>
      </c>
      <c r="E1920" s="1">
        <v>46062</v>
      </c>
      <c r="F1920" t="s">
        <v>569</v>
      </c>
      <c r="G1920" t="s">
        <v>45</v>
      </c>
      <c r="H1920" s="2">
        <v>0.41666666666666669</v>
      </c>
      <c r="I1920" s="2">
        <v>0.6875</v>
      </c>
      <c r="J1920" t="s">
        <v>46</v>
      </c>
      <c r="L1920" t="s">
        <v>47</v>
      </c>
      <c r="M1920" t="s">
        <v>4464</v>
      </c>
      <c r="N1920" t="s">
        <v>4465</v>
      </c>
      <c r="O1920">
        <v>5952216</v>
      </c>
      <c r="Q1920" t="s">
        <v>3051</v>
      </c>
      <c r="R1920" t="s">
        <v>145</v>
      </c>
      <c r="S1920" t="s">
        <v>52</v>
      </c>
      <c r="U1920">
        <v>889822</v>
      </c>
      <c r="V1920" s="3">
        <v>46061.575694444444</v>
      </c>
      <c r="W1920" t="s">
        <v>4466</v>
      </c>
      <c r="X1920" t="s">
        <v>4467</v>
      </c>
      <c r="Y1920" t="str">
        <f>"0468834019"</f>
        <v>0468834019</v>
      </c>
      <c r="Z1920" t="s">
        <v>70</v>
      </c>
      <c r="AA1920" s="1">
        <v>46062</v>
      </c>
      <c r="AB1920" t="s">
        <v>3052</v>
      </c>
      <c r="AC1920" t="s">
        <v>3053</v>
      </c>
      <c r="AD1920" t="s">
        <v>61</v>
      </c>
      <c r="AE1920" t="s">
        <v>922</v>
      </c>
      <c r="AF1920">
        <v>2228</v>
      </c>
      <c r="AG1920" t="s">
        <v>3051</v>
      </c>
      <c r="AI1920" t="s">
        <v>59</v>
      </c>
      <c r="AL1920" t="s">
        <v>87</v>
      </c>
      <c r="AN1920" s="3">
        <v>46062.676388888889</v>
      </c>
      <c r="AO1920" t="s">
        <v>4466</v>
      </c>
    </row>
    <row r="1921" spans="1:41" x14ac:dyDescent="0.3">
      <c r="A1921" t="s">
        <v>61</v>
      </c>
      <c r="B1921" t="s">
        <v>912</v>
      </c>
      <c r="C1921" t="s">
        <v>913</v>
      </c>
      <c r="D1921" t="s">
        <v>184</v>
      </c>
      <c r="E1921" s="1">
        <v>46062</v>
      </c>
      <c r="F1921" t="s">
        <v>569</v>
      </c>
      <c r="G1921" t="s">
        <v>45</v>
      </c>
      <c r="H1921" s="2">
        <v>0.41666666666666669</v>
      </c>
      <c r="I1921" s="2">
        <v>0.77083333333333337</v>
      </c>
      <c r="J1921" t="s">
        <v>46</v>
      </c>
      <c r="L1921" t="s">
        <v>3220</v>
      </c>
      <c r="M1921" t="s">
        <v>736</v>
      </c>
      <c r="N1921" t="s">
        <v>4468</v>
      </c>
      <c r="O1921">
        <v>22262</v>
      </c>
      <c r="Q1921" t="s">
        <v>916</v>
      </c>
      <c r="R1921" t="s">
        <v>67</v>
      </c>
      <c r="S1921" t="s">
        <v>52</v>
      </c>
      <c r="U1921">
        <v>889851</v>
      </c>
      <c r="V1921" s="3">
        <v>46059.624305555553</v>
      </c>
      <c r="W1921" t="s">
        <v>4469</v>
      </c>
      <c r="X1921" t="s">
        <v>4470</v>
      </c>
      <c r="Y1921" t="str">
        <f>"0451308430"</f>
        <v>0451308430</v>
      </c>
      <c r="Z1921" t="s">
        <v>70</v>
      </c>
      <c r="AA1921" s="1">
        <v>46062</v>
      </c>
      <c r="AB1921" t="s">
        <v>920</v>
      </c>
      <c r="AC1921" t="s">
        <v>921</v>
      </c>
      <c r="AD1921" t="s">
        <v>61</v>
      </c>
      <c r="AE1921" t="s">
        <v>922</v>
      </c>
      <c r="AF1921">
        <v>2228</v>
      </c>
      <c r="AG1921" t="s">
        <v>916</v>
      </c>
      <c r="AI1921" t="s">
        <v>59</v>
      </c>
      <c r="AL1921" t="s">
        <v>4471</v>
      </c>
      <c r="AN1921" s="3">
        <v>46062.768055555556</v>
      </c>
      <c r="AO1921" t="s">
        <v>4469</v>
      </c>
    </row>
    <row r="1922" spans="1:41" x14ac:dyDescent="0.3">
      <c r="A1922" t="s">
        <v>41</v>
      </c>
      <c r="B1922" t="s">
        <v>4472</v>
      </c>
      <c r="C1922" t="s">
        <v>43</v>
      </c>
      <c r="D1922" t="s">
        <v>127</v>
      </c>
      <c r="E1922" s="1">
        <v>46062</v>
      </c>
      <c r="F1922" t="s">
        <v>569</v>
      </c>
      <c r="G1922" t="s">
        <v>45</v>
      </c>
      <c r="H1922" s="2">
        <v>0.41666666666666669</v>
      </c>
      <c r="I1922" s="2">
        <v>0.75</v>
      </c>
      <c r="J1922" t="s">
        <v>46</v>
      </c>
      <c r="L1922" t="s">
        <v>47</v>
      </c>
      <c r="M1922" t="s">
        <v>1497</v>
      </c>
      <c r="N1922" t="s">
        <v>465</v>
      </c>
      <c r="O1922">
        <v>5950806</v>
      </c>
      <c r="Q1922" t="s">
        <v>4473</v>
      </c>
      <c r="R1922" t="s">
        <v>51</v>
      </c>
      <c r="S1922" t="s">
        <v>52</v>
      </c>
      <c r="U1922">
        <v>889829</v>
      </c>
      <c r="V1922" s="3">
        <v>46056.584722222222</v>
      </c>
      <c r="W1922" t="s">
        <v>1498</v>
      </c>
      <c r="X1922" t="s">
        <v>1499</v>
      </c>
      <c r="Y1922" t="str">
        <f>"0425332962"</f>
        <v>0425332962</v>
      </c>
      <c r="Z1922" t="s">
        <v>503</v>
      </c>
      <c r="AB1922" t="s">
        <v>4474</v>
      </c>
      <c r="AD1922" t="s">
        <v>41</v>
      </c>
      <c r="AE1922" t="s">
        <v>4475</v>
      </c>
      <c r="AF1922">
        <v>4006</v>
      </c>
      <c r="AG1922" t="s">
        <v>4476</v>
      </c>
      <c r="AI1922" t="s">
        <v>59</v>
      </c>
      <c r="AL1922" t="s">
        <v>4477</v>
      </c>
      <c r="AN1922" s="3">
        <v>46062.702777777777</v>
      </c>
      <c r="AO1922" t="s">
        <v>1498</v>
      </c>
    </row>
    <row r="1923" spans="1:41" x14ac:dyDescent="0.3">
      <c r="A1923" t="s">
        <v>61</v>
      </c>
      <c r="B1923" t="s">
        <v>1079</v>
      </c>
      <c r="C1923" t="s">
        <v>2037</v>
      </c>
      <c r="D1923" t="s">
        <v>63</v>
      </c>
      <c r="E1923" s="1">
        <v>46062</v>
      </c>
      <c r="F1923" t="s">
        <v>569</v>
      </c>
      <c r="G1923" t="s">
        <v>45</v>
      </c>
      <c r="H1923" s="2">
        <v>0.45833333333333331</v>
      </c>
      <c r="I1923" s="2">
        <v>0.8125</v>
      </c>
      <c r="J1923" t="s">
        <v>46</v>
      </c>
      <c r="L1923" t="s">
        <v>159</v>
      </c>
      <c r="M1923" t="s">
        <v>1126</v>
      </c>
      <c r="N1923" t="s">
        <v>1127</v>
      </c>
      <c r="O1923">
        <v>21552</v>
      </c>
      <c r="Q1923" t="s">
        <v>1087</v>
      </c>
      <c r="R1923" t="s">
        <v>132</v>
      </c>
      <c r="S1923" t="s">
        <v>52</v>
      </c>
      <c r="U1923">
        <v>889864</v>
      </c>
      <c r="V1923" s="3">
        <v>46059.359027777777</v>
      </c>
      <c r="W1923" t="s">
        <v>1129</v>
      </c>
      <c r="X1923" t="s">
        <v>1130</v>
      </c>
      <c r="Y1923" t="str">
        <f>"0401723179"</f>
        <v>0401723179</v>
      </c>
      <c r="Z1923" t="s">
        <v>55</v>
      </c>
      <c r="AB1923" t="s">
        <v>1085</v>
      </c>
      <c r="AD1923" t="s">
        <v>61</v>
      </c>
      <c r="AE1923" t="s">
        <v>1086</v>
      </c>
      <c r="AF1923">
        <v>2031</v>
      </c>
      <c r="AG1923" t="s">
        <v>2242</v>
      </c>
      <c r="AI1923" t="s">
        <v>59</v>
      </c>
      <c r="AL1923" t="s">
        <v>4270</v>
      </c>
      <c r="AN1923" s="3">
        <v>46062.792361111111</v>
      </c>
      <c r="AO1923" t="s">
        <v>1129</v>
      </c>
    </row>
    <row r="1924" spans="1:41" x14ac:dyDescent="0.3">
      <c r="A1924" t="s">
        <v>168</v>
      </c>
      <c r="B1924" t="s">
        <v>409</v>
      </c>
      <c r="C1924" t="s">
        <v>100</v>
      </c>
      <c r="D1924" t="s">
        <v>309</v>
      </c>
      <c r="E1924" s="1">
        <v>46062</v>
      </c>
      <c r="F1924" t="s">
        <v>569</v>
      </c>
      <c r="G1924" t="s">
        <v>128</v>
      </c>
      <c r="H1924" s="2">
        <v>0.5</v>
      </c>
      <c r="I1924" s="2">
        <v>0.83333333333333337</v>
      </c>
      <c r="J1924" t="s">
        <v>410</v>
      </c>
      <c r="L1924" t="s">
        <v>100</v>
      </c>
      <c r="M1924" t="s">
        <v>2279</v>
      </c>
      <c r="N1924" t="s">
        <v>2280</v>
      </c>
      <c r="O1924">
        <v>5951984</v>
      </c>
      <c r="Q1924" t="s">
        <v>705</v>
      </c>
      <c r="R1924" t="s">
        <v>231</v>
      </c>
      <c r="S1924" t="s">
        <v>119</v>
      </c>
      <c r="T1924" t="s">
        <v>414</v>
      </c>
      <c r="U1924">
        <v>890490</v>
      </c>
      <c r="V1924" s="3">
        <v>46062.371527777781</v>
      </c>
      <c r="W1924" t="s">
        <v>2282</v>
      </c>
      <c r="X1924" t="s">
        <v>2283</v>
      </c>
      <c r="Y1924" t="str">
        <f>"0421440269"</f>
        <v>0421440269</v>
      </c>
      <c r="Z1924" t="s">
        <v>70</v>
      </c>
      <c r="AB1924" t="s">
        <v>417</v>
      </c>
      <c r="AD1924" t="s">
        <v>168</v>
      </c>
      <c r="AE1924" t="s">
        <v>384</v>
      </c>
      <c r="AF1924">
        <v>5000</v>
      </c>
      <c r="AI1924" t="s">
        <v>59</v>
      </c>
      <c r="AL1924" t="s">
        <v>4478</v>
      </c>
      <c r="AM1924" t="s">
        <v>4479</v>
      </c>
      <c r="AN1924" s="3">
        <v>46062.479166666664</v>
      </c>
      <c r="AO1924" t="s">
        <v>231</v>
      </c>
    </row>
    <row r="1925" spans="1:41" x14ac:dyDescent="0.3">
      <c r="A1925" t="s">
        <v>75</v>
      </c>
      <c r="B1925" t="s">
        <v>895</v>
      </c>
      <c r="C1925" t="s">
        <v>896</v>
      </c>
      <c r="D1925" t="s">
        <v>184</v>
      </c>
      <c r="E1925" s="1">
        <v>46062</v>
      </c>
      <c r="F1925" t="s">
        <v>569</v>
      </c>
      <c r="G1925" t="s">
        <v>128</v>
      </c>
      <c r="H1925" s="2">
        <v>0.5</v>
      </c>
      <c r="I1925" s="2">
        <v>0.85416666666666663</v>
      </c>
      <c r="J1925" t="s">
        <v>46</v>
      </c>
      <c r="K1925" t="s">
        <v>77</v>
      </c>
      <c r="L1925" t="s">
        <v>47</v>
      </c>
      <c r="M1925" t="s">
        <v>954</v>
      </c>
      <c r="N1925" t="s">
        <v>955</v>
      </c>
      <c r="O1925">
        <v>5952037</v>
      </c>
      <c r="Q1925" t="s">
        <v>4480</v>
      </c>
      <c r="R1925" t="s">
        <v>926</v>
      </c>
      <c r="S1925" t="s">
        <v>52</v>
      </c>
      <c r="U1925">
        <v>889925</v>
      </c>
      <c r="V1925" s="3">
        <v>46059.664583333331</v>
      </c>
      <c r="W1925" t="s">
        <v>957</v>
      </c>
      <c r="X1925" t="s">
        <v>958</v>
      </c>
      <c r="Y1925" t="str">
        <f>"0452457162"</f>
        <v>0452457162</v>
      </c>
      <c r="Z1925" t="s">
        <v>70</v>
      </c>
      <c r="AA1925" s="1">
        <v>46062</v>
      </c>
      <c r="AB1925" t="s">
        <v>902</v>
      </c>
      <c r="AD1925" t="s">
        <v>75</v>
      </c>
      <c r="AE1925" t="s">
        <v>903</v>
      </c>
      <c r="AF1925">
        <v>6009</v>
      </c>
      <c r="AG1925" t="s">
        <v>1830</v>
      </c>
      <c r="AI1925" t="s">
        <v>59</v>
      </c>
      <c r="AL1925" t="s">
        <v>87</v>
      </c>
      <c r="AN1925" s="3">
        <v>46062.975694444445</v>
      </c>
      <c r="AO1925" t="s">
        <v>957</v>
      </c>
    </row>
    <row r="1926" spans="1:41" x14ac:dyDescent="0.3">
      <c r="A1926" t="s">
        <v>168</v>
      </c>
      <c r="B1926" t="s">
        <v>376</v>
      </c>
      <c r="C1926" t="s">
        <v>100</v>
      </c>
      <c r="D1926" t="s">
        <v>127</v>
      </c>
      <c r="E1926" s="1">
        <v>46062</v>
      </c>
      <c r="F1926" t="s">
        <v>569</v>
      </c>
      <c r="G1926" t="s">
        <v>128</v>
      </c>
      <c r="H1926" s="2">
        <v>0.5</v>
      </c>
      <c r="I1926" s="2">
        <v>0.83333333333333337</v>
      </c>
      <c r="J1926" t="s">
        <v>100</v>
      </c>
      <c r="L1926" t="s">
        <v>100</v>
      </c>
      <c r="M1926" t="s">
        <v>2288</v>
      </c>
      <c r="N1926" t="s">
        <v>2289</v>
      </c>
      <c r="O1926">
        <v>5951792</v>
      </c>
      <c r="Q1926" t="s">
        <v>670</v>
      </c>
      <c r="R1926" t="s">
        <v>380</v>
      </c>
      <c r="S1926" t="s">
        <v>52</v>
      </c>
      <c r="U1926">
        <v>889901</v>
      </c>
      <c r="V1926" s="3">
        <v>46045.365972222222</v>
      </c>
      <c r="W1926" t="s">
        <v>2290</v>
      </c>
      <c r="X1926" t="s">
        <v>2291</v>
      </c>
      <c r="Y1926" t="str">
        <f>"0402715058"</f>
        <v>0402715058</v>
      </c>
      <c r="Z1926" t="s">
        <v>585</v>
      </c>
      <c r="AB1926" t="s">
        <v>383</v>
      </c>
      <c r="AD1926" t="s">
        <v>168</v>
      </c>
      <c r="AE1926" t="s">
        <v>384</v>
      </c>
      <c r="AF1926">
        <v>5000</v>
      </c>
      <c r="AI1926" t="s">
        <v>59</v>
      </c>
      <c r="AL1926" t="s">
        <v>385</v>
      </c>
      <c r="AN1926" s="3">
        <v>46062.852083333331</v>
      </c>
      <c r="AO1926" t="s">
        <v>2290</v>
      </c>
    </row>
    <row r="1927" spans="1:41" x14ac:dyDescent="0.3">
      <c r="A1927" t="s">
        <v>61</v>
      </c>
      <c r="B1927" t="s">
        <v>62</v>
      </c>
      <c r="C1927" t="s">
        <v>43</v>
      </c>
      <c r="D1927" t="s">
        <v>63</v>
      </c>
      <c r="E1927" s="1">
        <v>46062</v>
      </c>
      <c r="F1927" t="s">
        <v>569</v>
      </c>
      <c r="G1927" t="s">
        <v>128</v>
      </c>
      <c r="H1927" s="2">
        <v>0.5</v>
      </c>
      <c r="I1927" s="2">
        <v>0.98958333333333337</v>
      </c>
      <c r="J1927" t="s">
        <v>185</v>
      </c>
      <c r="L1927" t="s">
        <v>186</v>
      </c>
      <c r="M1927" t="s">
        <v>1474</v>
      </c>
      <c r="N1927" t="s">
        <v>1475</v>
      </c>
      <c r="O1927">
        <v>22552</v>
      </c>
      <c r="Q1927" t="s">
        <v>66</v>
      </c>
      <c r="R1927" t="s">
        <v>67</v>
      </c>
      <c r="S1927" t="s">
        <v>52</v>
      </c>
      <c r="U1927">
        <v>889904</v>
      </c>
      <c r="V1927" s="3">
        <v>46058.353472222225</v>
      </c>
      <c r="W1927" t="s">
        <v>1476</v>
      </c>
      <c r="X1927" t="s">
        <v>1477</v>
      </c>
      <c r="Y1927" t="str">
        <f>"0421669341"</f>
        <v>0421669341</v>
      </c>
      <c r="Z1927" t="s">
        <v>70</v>
      </c>
      <c r="AB1927" t="s">
        <v>71</v>
      </c>
      <c r="AD1927" t="s">
        <v>61</v>
      </c>
      <c r="AE1927" t="s">
        <v>72</v>
      </c>
      <c r="AF1927">
        <v>2747</v>
      </c>
      <c r="AG1927" t="s">
        <v>73</v>
      </c>
      <c r="AI1927" t="s">
        <v>59</v>
      </c>
      <c r="AL1927" t="s">
        <v>4481</v>
      </c>
      <c r="AN1927" s="3">
        <v>46062.867361111108</v>
      </c>
      <c r="AO1927" t="s">
        <v>1476</v>
      </c>
    </row>
    <row r="1928" spans="1:41" x14ac:dyDescent="0.3">
      <c r="A1928" t="s">
        <v>168</v>
      </c>
      <c r="B1928" t="s">
        <v>225</v>
      </c>
      <c r="C1928" t="s">
        <v>226</v>
      </c>
      <c r="D1928" t="s">
        <v>227</v>
      </c>
      <c r="E1928" s="1">
        <v>46062</v>
      </c>
      <c r="F1928" t="s">
        <v>569</v>
      </c>
      <c r="G1928" t="s">
        <v>128</v>
      </c>
      <c r="H1928" s="2">
        <v>0.5</v>
      </c>
      <c r="I1928" s="2">
        <v>0.75</v>
      </c>
      <c r="J1928" t="s">
        <v>101</v>
      </c>
      <c r="K1928" t="s">
        <v>2646</v>
      </c>
      <c r="L1928" t="s">
        <v>743</v>
      </c>
      <c r="M1928" t="s">
        <v>1886</v>
      </c>
      <c r="N1928" t="s">
        <v>1887</v>
      </c>
      <c r="O1928">
        <v>5952367</v>
      </c>
      <c r="Q1928" t="s">
        <v>230</v>
      </c>
      <c r="R1928" t="s">
        <v>231</v>
      </c>
      <c r="S1928" t="s">
        <v>52</v>
      </c>
      <c r="U1928">
        <v>889844</v>
      </c>
      <c r="V1928" s="3">
        <v>46042.363888888889</v>
      </c>
      <c r="W1928" t="s">
        <v>1888</v>
      </c>
      <c r="X1928" t="s">
        <v>1889</v>
      </c>
      <c r="Y1928" t="str">
        <f>"0468596772"</f>
        <v>0468596772</v>
      </c>
      <c r="Z1928" t="s">
        <v>1201</v>
      </c>
      <c r="AB1928" t="s">
        <v>235</v>
      </c>
      <c r="AD1928" t="s">
        <v>168</v>
      </c>
      <c r="AE1928" t="s">
        <v>236</v>
      </c>
      <c r="AF1928">
        <v>5087</v>
      </c>
      <c r="AG1928" t="s">
        <v>230</v>
      </c>
      <c r="AI1928" t="s">
        <v>59</v>
      </c>
      <c r="AL1928" t="s">
        <v>4482</v>
      </c>
      <c r="AN1928" s="3">
        <v>46062.746527777781</v>
      </c>
      <c r="AO1928" t="s">
        <v>1888</v>
      </c>
    </row>
    <row r="1929" spans="1:41" x14ac:dyDescent="0.3">
      <c r="A1929" t="s">
        <v>168</v>
      </c>
      <c r="B1929" t="s">
        <v>982</v>
      </c>
      <c r="C1929" t="s">
        <v>100</v>
      </c>
      <c r="D1929" t="s">
        <v>127</v>
      </c>
      <c r="E1929" s="1">
        <v>46062</v>
      </c>
      <c r="F1929" t="s">
        <v>569</v>
      </c>
      <c r="G1929" t="s">
        <v>128</v>
      </c>
      <c r="H1929" s="2">
        <v>0.5</v>
      </c>
      <c r="I1929" s="2">
        <v>0.83333333333333337</v>
      </c>
      <c r="J1929" t="s">
        <v>100</v>
      </c>
      <c r="L1929" t="s">
        <v>100</v>
      </c>
      <c r="M1929" t="s">
        <v>411</v>
      </c>
      <c r="N1929" t="s">
        <v>412</v>
      </c>
      <c r="O1929">
        <v>228</v>
      </c>
      <c r="Q1929" t="s">
        <v>983</v>
      </c>
      <c r="R1929" t="s">
        <v>231</v>
      </c>
      <c r="S1929" t="s">
        <v>52</v>
      </c>
      <c r="U1929">
        <v>889903</v>
      </c>
      <c r="V1929" s="3">
        <v>46030.459027777775</v>
      </c>
      <c r="W1929" t="s">
        <v>415</v>
      </c>
      <c r="X1929" t="s">
        <v>416</v>
      </c>
      <c r="Y1929" t="str">
        <f>"0414869673"</f>
        <v>0414869673</v>
      </c>
      <c r="Z1929" t="s">
        <v>483</v>
      </c>
      <c r="AB1929" t="s">
        <v>985</v>
      </c>
      <c r="AD1929" t="s">
        <v>168</v>
      </c>
      <c r="AE1929" t="s">
        <v>279</v>
      </c>
      <c r="AF1929">
        <v>5092</v>
      </c>
      <c r="AG1929" t="s">
        <v>986</v>
      </c>
      <c r="AI1929" t="s">
        <v>59</v>
      </c>
      <c r="AL1929" t="s">
        <v>987</v>
      </c>
      <c r="AN1929" s="3">
        <v>46062.859722222223</v>
      </c>
      <c r="AO1929" t="s">
        <v>415</v>
      </c>
    </row>
    <row r="1930" spans="1:41" x14ac:dyDescent="0.3">
      <c r="A1930" t="s">
        <v>168</v>
      </c>
      <c r="B1930" t="s">
        <v>215</v>
      </c>
      <c r="C1930" t="s">
        <v>43</v>
      </c>
      <c r="D1930" t="s">
        <v>127</v>
      </c>
      <c r="E1930" s="1">
        <v>46062</v>
      </c>
      <c r="F1930" t="s">
        <v>569</v>
      </c>
      <c r="G1930" t="s">
        <v>128</v>
      </c>
      <c r="H1930" s="2">
        <v>0.52083333333333337</v>
      </c>
      <c r="I1930" s="2">
        <v>0.85416666666666663</v>
      </c>
      <c r="J1930" t="s">
        <v>258</v>
      </c>
      <c r="K1930" t="s">
        <v>259</v>
      </c>
      <c r="L1930" t="s">
        <v>186</v>
      </c>
      <c r="M1930" t="s">
        <v>1918</v>
      </c>
      <c r="N1930" t="s">
        <v>1919</v>
      </c>
      <c r="O1930">
        <v>21455</v>
      </c>
      <c r="Q1930" t="s">
        <v>219</v>
      </c>
      <c r="R1930" t="s">
        <v>176</v>
      </c>
      <c r="S1930" t="s">
        <v>52</v>
      </c>
      <c r="U1930">
        <v>889881</v>
      </c>
      <c r="V1930" s="3">
        <v>46043.772222222222</v>
      </c>
      <c r="W1930" t="s">
        <v>1920</v>
      </c>
      <c r="X1930" t="s">
        <v>1921</v>
      </c>
      <c r="Y1930" t="str">
        <f>"0431412572"</f>
        <v>0431412572</v>
      </c>
      <c r="Z1930" t="s">
        <v>4483</v>
      </c>
      <c r="AB1930" t="s">
        <v>222</v>
      </c>
      <c r="AD1930" t="s">
        <v>168</v>
      </c>
      <c r="AE1930" t="s">
        <v>223</v>
      </c>
      <c r="AF1930">
        <v>5069</v>
      </c>
      <c r="AG1930" t="s">
        <v>219</v>
      </c>
      <c r="AI1930" t="s">
        <v>59</v>
      </c>
      <c r="AL1930" t="s">
        <v>2839</v>
      </c>
      <c r="AN1930" s="3">
        <v>46062.831250000003</v>
      </c>
      <c r="AO1930" t="s">
        <v>1920</v>
      </c>
    </row>
    <row r="1931" spans="1:41" x14ac:dyDescent="0.3">
      <c r="A1931" t="s">
        <v>168</v>
      </c>
      <c r="B1931" t="s">
        <v>441</v>
      </c>
      <c r="C1931" t="s">
        <v>101</v>
      </c>
      <c r="E1931" s="1">
        <v>46062</v>
      </c>
      <c r="F1931" t="s">
        <v>569</v>
      </c>
      <c r="G1931" t="s">
        <v>128</v>
      </c>
      <c r="H1931" s="2">
        <v>0.52083333333333337</v>
      </c>
      <c r="I1931" s="2">
        <v>0.85416666666666663</v>
      </c>
      <c r="J1931" t="s">
        <v>101</v>
      </c>
      <c r="L1931" t="s">
        <v>159</v>
      </c>
      <c r="M1931" t="s">
        <v>1430</v>
      </c>
      <c r="N1931" t="s">
        <v>1431</v>
      </c>
      <c r="O1931">
        <v>5951468</v>
      </c>
      <c r="Q1931" t="s">
        <v>944</v>
      </c>
      <c r="R1931" t="s">
        <v>556</v>
      </c>
      <c r="S1931" t="s">
        <v>52</v>
      </c>
      <c r="U1931">
        <v>889872</v>
      </c>
      <c r="V1931" s="3">
        <v>46050.9375</v>
      </c>
      <c r="W1931" t="s">
        <v>1432</v>
      </c>
      <c r="X1931" t="s">
        <v>1433</v>
      </c>
      <c r="Y1931" t="str">
        <f>"0476999212"</f>
        <v>0476999212</v>
      </c>
      <c r="Z1931" t="s">
        <v>70</v>
      </c>
      <c r="AB1931" t="s">
        <v>448</v>
      </c>
      <c r="AD1931" t="s">
        <v>168</v>
      </c>
      <c r="AE1931" t="s">
        <v>180</v>
      </c>
      <c r="AF1931">
        <v>5063</v>
      </c>
      <c r="AG1931" t="s">
        <v>944</v>
      </c>
      <c r="AI1931" t="s">
        <v>59</v>
      </c>
      <c r="AL1931" t="s">
        <v>4484</v>
      </c>
      <c r="AN1931" s="3">
        <v>46062.819444444445</v>
      </c>
      <c r="AO1931" t="s">
        <v>1432</v>
      </c>
    </row>
    <row r="1932" spans="1:41" x14ac:dyDescent="0.3">
      <c r="A1932" t="s">
        <v>61</v>
      </c>
      <c r="B1932" t="s">
        <v>158</v>
      </c>
      <c r="C1932" t="s">
        <v>43</v>
      </c>
      <c r="D1932" t="s">
        <v>127</v>
      </c>
      <c r="E1932" s="1">
        <v>46062</v>
      </c>
      <c r="F1932" t="s">
        <v>569</v>
      </c>
      <c r="G1932" t="s">
        <v>128</v>
      </c>
      <c r="H1932" s="2">
        <v>0.52083333333333337</v>
      </c>
      <c r="I1932" s="2">
        <v>0.99861111111111112</v>
      </c>
      <c r="J1932" t="s">
        <v>185</v>
      </c>
      <c r="K1932" t="s">
        <v>238</v>
      </c>
      <c r="L1932" t="s">
        <v>186</v>
      </c>
      <c r="M1932" t="s">
        <v>777</v>
      </c>
      <c r="N1932" t="s">
        <v>778</v>
      </c>
      <c r="O1932">
        <v>5952331</v>
      </c>
      <c r="Q1932" t="s">
        <v>162</v>
      </c>
      <c r="R1932" t="s">
        <v>67</v>
      </c>
      <c r="S1932" t="s">
        <v>52</v>
      </c>
      <c r="U1932">
        <v>889886</v>
      </c>
      <c r="V1932" s="3">
        <v>46057.443749999999</v>
      </c>
      <c r="W1932" t="s">
        <v>780</v>
      </c>
      <c r="X1932" t="s">
        <v>781</v>
      </c>
      <c r="Y1932" t="str">
        <f>"0478730906"</f>
        <v>0478730906</v>
      </c>
      <c r="Z1932" t="s">
        <v>3006</v>
      </c>
      <c r="AB1932" t="s">
        <v>166</v>
      </c>
      <c r="AD1932" t="s">
        <v>61</v>
      </c>
      <c r="AE1932" t="s">
        <v>167</v>
      </c>
      <c r="AF1932">
        <v>2011</v>
      </c>
      <c r="AG1932" t="s">
        <v>162</v>
      </c>
      <c r="AI1932" t="s">
        <v>59</v>
      </c>
      <c r="AL1932" t="s">
        <v>4485</v>
      </c>
      <c r="AN1932" s="3">
        <v>46062.84375</v>
      </c>
      <c r="AO1932" t="s">
        <v>780</v>
      </c>
    </row>
    <row r="1933" spans="1:41" x14ac:dyDescent="0.3">
      <c r="A1933" t="s">
        <v>168</v>
      </c>
      <c r="B1933" t="s">
        <v>215</v>
      </c>
      <c r="C1933" t="s">
        <v>43</v>
      </c>
      <c r="D1933" t="s">
        <v>127</v>
      </c>
      <c r="E1933" s="1">
        <v>46062</v>
      </c>
      <c r="F1933" t="s">
        <v>569</v>
      </c>
      <c r="G1933" t="s">
        <v>128</v>
      </c>
      <c r="H1933" s="2">
        <v>0.52083333333333337</v>
      </c>
      <c r="I1933" s="2">
        <v>0.85416666666666663</v>
      </c>
      <c r="J1933" t="s">
        <v>258</v>
      </c>
      <c r="K1933" t="s">
        <v>259</v>
      </c>
      <c r="L1933" t="s">
        <v>159</v>
      </c>
      <c r="M1933" t="s">
        <v>3755</v>
      </c>
      <c r="N1933" t="s">
        <v>3756</v>
      </c>
      <c r="O1933">
        <v>5950673</v>
      </c>
      <c r="Q1933" t="s">
        <v>1904</v>
      </c>
      <c r="R1933" t="s">
        <v>176</v>
      </c>
      <c r="S1933" t="s">
        <v>52</v>
      </c>
      <c r="U1933">
        <v>889883</v>
      </c>
      <c r="V1933" s="3">
        <v>46043.772222222222</v>
      </c>
      <c r="W1933" t="s">
        <v>3757</v>
      </c>
      <c r="X1933" t="s">
        <v>3758</v>
      </c>
      <c r="Y1933" t="str">
        <f>"0418827201"</f>
        <v>0418827201</v>
      </c>
      <c r="Z1933" t="s">
        <v>3821</v>
      </c>
      <c r="AB1933" t="s">
        <v>222</v>
      </c>
      <c r="AD1933" t="s">
        <v>168</v>
      </c>
      <c r="AE1933" t="s">
        <v>223</v>
      </c>
      <c r="AF1933">
        <v>5069</v>
      </c>
      <c r="AG1933" t="s">
        <v>219</v>
      </c>
      <c r="AI1933" t="s">
        <v>59</v>
      </c>
      <c r="AL1933" t="s">
        <v>2738</v>
      </c>
      <c r="AN1933" s="3">
        <v>46062.836111111108</v>
      </c>
      <c r="AO1933" t="s">
        <v>3757</v>
      </c>
    </row>
    <row r="1934" spans="1:41" x14ac:dyDescent="0.3">
      <c r="A1934" t="s">
        <v>168</v>
      </c>
      <c r="B1934" t="s">
        <v>376</v>
      </c>
      <c r="C1934" t="s">
        <v>216</v>
      </c>
      <c r="D1934" t="s">
        <v>1386</v>
      </c>
      <c r="E1934" s="1">
        <v>46062</v>
      </c>
      <c r="F1934" t="s">
        <v>569</v>
      </c>
      <c r="G1934" t="s">
        <v>128</v>
      </c>
      <c r="H1934" s="2">
        <v>0.52083333333333337</v>
      </c>
      <c r="I1934" s="2">
        <v>0.85416666666666663</v>
      </c>
      <c r="J1934" t="s">
        <v>101</v>
      </c>
      <c r="L1934" t="s">
        <v>159</v>
      </c>
      <c r="M1934" t="s">
        <v>1033</v>
      </c>
      <c r="N1934" t="s">
        <v>1034</v>
      </c>
      <c r="O1934">
        <v>5952456</v>
      </c>
      <c r="Q1934" t="s">
        <v>1605</v>
      </c>
      <c r="R1934" t="s">
        <v>1923</v>
      </c>
      <c r="S1934" t="s">
        <v>52</v>
      </c>
      <c r="U1934">
        <v>889911</v>
      </c>
      <c r="V1934" s="3">
        <v>46059.372916666667</v>
      </c>
      <c r="W1934" t="s">
        <v>1035</v>
      </c>
      <c r="X1934" t="s">
        <v>1036</v>
      </c>
      <c r="Y1934" t="str">
        <f>"0431375216"</f>
        <v>0431375216</v>
      </c>
      <c r="Z1934" t="s">
        <v>70</v>
      </c>
      <c r="AA1934" s="1">
        <v>46062</v>
      </c>
      <c r="AB1934" t="s">
        <v>383</v>
      </c>
      <c r="AD1934" t="s">
        <v>168</v>
      </c>
      <c r="AE1934" t="s">
        <v>384</v>
      </c>
      <c r="AF1934">
        <v>5000</v>
      </c>
      <c r="AI1934" t="s">
        <v>59</v>
      </c>
      <c r="AL1934" t="s">
        <v>4486</v>
      </c>
      <c r="AN1934" s="3">
        <v>46062.881249999999</v>
      </c>
      <c r="AO1934" t="s">
        <v>1035</v>
      </c>
    </row>
    <row r="1935" spans="1:41" x14ac:dyDescent="0.3">
      <c r="A1935" t="s">
        <v>61</v>
      </c>
      <c r="B1935" t="s">
        <v>182</v>
      </c>
      <c r="C1935" t="s">
        <v>183</v>
      </c>
      <c r="D1935" t="s">
        <v>184</v>
      </c>
      <c r="E1935" s="1">
        <v>46062</v>
      </c>
      <c r="F1935" t="s">
        <v>569</v>
      </c>
      <c r="G1935" t="s">
        <v>128</v>
      </c>
      <c r="H1935" s="2">
        <v>0.52083333333333337</v>
      </c>
      <c r="I1935" s="2">
        <v>0.99861111111111112</v>
      </c>
      <c r="J1935" t="s">
        <v>185</v>
      </c>
      <c r="L1935" t="s">
        <v>186</v>
      </c>
      <c r="M1935" t="s">
        <v>436</v>
      </c>
      <c r="N1935" t="s">
        <v>437</v>
      </c>
      <c r="O1935">
        <v>5951773</v>
      </c>
      <c r="Q1935" t="s">
        <v>189</v>
      </c>
      <c r="R1935" t="s">
        <v>132</v>
      </c>
      <c r="S1935" t="s">
        <v>52</v>
      </c>
      <c r="U1935">
        <v>889862</v>
      </c>
      <c r="V1935" s="3">
        <v>46057.534722222219</v>
      </c>
      <c r="W1935" t="s">
        <v>438</v>
      </c>
      <c r="X1935" t="s">
        <v>439</v>
      </c>
      <c r="Y1935" t="str">
        <f>"0405762113"</f>
        <v>0405762113</v>
      </c>
      <c r="Z1935" t="s">
        <v>1841</v>
      </c>
      <c r="AB1935" t="s">
        <v>193</v>
      </c>
      <c r="AD1935" t="s">
        <v>61</v>
      </c>
      <c r="AE1935" t="s">
        <v>194</v>
      </c>
      <c r="AF1935">
        <v>2229</v>
      </c>
      <c r="AG1935" t="s">
        <v>189</v>
      </c>
      <c r="AI1935" t="s">
        <v>59</v>
      </c>
      <c r="AL1935" t="s">
        <v>4193</v>
      </c>
      <c r="AN1935" s="3">
        <v>46062.786111111112</v>
      </c>
      <c r="AO1935" t="s">
        <v>438</v>
      </c>
    </row>
    <row r="1936" spans="1:41" x14ac:dyDescent="0.3">
      <c r="A1936" t="s">
        <v>61</v>
      </c>
      <c r="B1936" t="s">
        <v>3025</v>
      </c>
      <c r="C1936" t="s">
        <v>43</v>
      </c>
      <c r="D1936" t="s">
        <v>184</v>
      </c>
      <c r="E1936" s="1">
        <v>46062</v>
      </c>
      <c r="F1936" t="s">
        <v>569</v>
      </c>
      <c r="G1936" t="s">
        <v>128</v>
      </c>
      <c r="H1936" s="2">
        <v>0.52083333333333337</v>
      </c>
      <c r="I1936" s="2">
        <v>0.99861111111111112</v>
      </c>
      <c r="J1936" t="s">
        <v>46</v>
      </c>
      <c r="K1936" t="s">
        <v>2537</v>
      </c>
      <c r="L1936" t="s">
        <v>47</v>
      </c>
      <c r="M1936" t="s">
        <v>1080</v>
      </c>
      <c r="N1936" t="s">
        <v>1081</v>
      </c>
      <c r="O1936">
        <v>5951255</v>
      </c>
      <c r="Q1936" t="s">
        <v>3026</v>
      </c>
      <c r="R1936" t="s">
        <v>145</v>
      </c>
      <c r="S1936" t="s">
        <v>52</v>
      </c>
      <c r="U1936">
        <v>889884</v>
      </c>
      <c r="V1936" s="3">
        <v>46061.647916666669</v>
      </c>
      <c r="W1936" t="s">
        <v>1083</v>
      </c>
      <c r="X1936" t="s">
        <v>1084</v>
      </c>
      <c r="Y1936" t="str">
        <f>"0451307044"</f>
        <v>0451307044</v>
      </c>
      <c r="Z1936" t="s">
        <v>70</v>
      </c>
      <c r="AA1936" s="1">
        <v>46062</v>
      </c>
      <c r="AB1936" t="s">
        <v>3027</v>
      </c>
      <c r="AD1936" t="s">
        <v>61</v>
      </c>
      <c r="AE1936" t="s">
        <v>1848</v>
      </c>
      <c r="AF1936">
        <v>2217</v>
      </c>
      <c r="AG1936" t="s">
        <v>4348</v>
      </c>
      <c r="AI1936" t="s">
        <v>59</v>
      </c>
      <c r="AL1936" t="s">
        <v>4487</v>
      </c>
      <c r="AN1936" s="3">
        <v>46062.836805555555</v>
      </c>
      <c r="AO1936" t="s">
        <v>1083</v>
      </c>
    </row>
    <row r="1937" spans="1:41" x14ac:dyDescent="0.3">
      <c r="A1937" t="s">
        <v>61</v>
      </c>
      <c r="B1937" t="s">
        <v>158</v>
      </c>
      <c r="C1937" t="s">
        <v>43</v>
      </c>
      <c r="D1937" t="s">
        <v>127</v>
      </c>
      <c r="E1937" s="1">
        <v>46062</v>
      </c>
      <c r="F1937" t="s">
        <v>569</v>
      </c>
      <c r="G1937" t="s">
        <v>128</v>
      </c>
      <c r="H1937" s="2">
        <v>0.52083333333333337</v>
      </c>
      <c r="I1937" s="2">
        <v>0.98958333333333337</v>
      </c>
      <c r="J1937" t="s">
        <v>185</v>
      </c>
      <c r="K1937" t="s">
        <v>238</v>
      </c>
      <c r="L1937" t="s">
        <v>186</v>
      </c>
      <c r="M1937" t="s">
        <v>239</v>
      </c>
      <c r="N1937" t="s">
        <v>240</v>
      </c>
      <c r="O1937">
        <v>22527</v>
      </c>
      <c r="Q1937" t="s">
        <v>162</v>
      </c>
      <c r="R1937" t="s">
        <v>67</v>
      </c>
      <c r="S1937" t="s">
        <v>52</v>
      </c>
      <c r="U1937">
        <v>890003</v>
      </c>
      <c r="V1937" s="3">
        <v>46057.443749999999</v>
      </c>
      <c r="W1937" t="s">
        <v>241</v>
      </c>
      <c r="X1937" t="s">
        <v>242</v>
      </c>
      <c r="Y1937" t="str">
        <f>"0426409124"</f>
        <v>0426409124</v>
      </c>
      <c r="Z1937" t="s">
        <v>4488</v>
      </c>
      <c r="AB1937" t="s">
        <v>166</v>
      </c>
      <c r="AD1937" t="s">
        <v>61</v>
      </c>
      <c r="AE1937" t="s">
        <v>167</v>
      </c>
      <c r="AF1937">
        <v>2011</v>
      </c>
      <c r="AG1937" t="s">
        <v>162</v>
      </c>
      <c r="AI1937" t="s">
        <v>59</v>
      </c>
      <c r="AL1937" t="s">
        <v>4489</v>
      </c>
      <c r="AN1937" s="3">
        <v>46063.630555555559</v>
      </c>
      <c r="AO1937" t="s">
        <v>241</v>
      </c>
    </row>
    <row r="1938" spans="1:41" x14ac:dyDescent="0.3">
      <c r="A1938" t="s">
        <v>61</v>
      </c>
      <c r="B1938" t="s">
        <v>158</v>
      </c>
      <c r="C1938" t="s">
        <v>43</v>
      </c>
      <c r="D1938" t="s">
        <v>127</v>
      </c>
      <c r="E1938" s="1">
        <v>46062</v>
      </c>
      <c r="F1938" t="s">
        <v>569</v>
      </c>
      <c r="G1938" t="s">
        <v>128</v>
      </c>
      <c r="H1938" s="2">
        <v>0.52083333333333337</v>
      </c>
      <c r="I1938" s="2">
        <v>0.99861111111111112</v>
      </c>
      <c r="J1938" t="s">
        <v>101</v>
      </c>
      <c r="L1938" t="s">
        <v>159</v>
      </c>
      <c r="M1938" t="s">
        <v>1502</v>
      </c>
      <c r="N1938" t="s">
        <v>1503</v>
      </c>
      <c r="O1938">
        <v>21662</v>
      </c>
      <c r="Q1938" t="s">
        <v>162</v>
      </c>
      <c r="R1938" t="s">
        <v>67</v>
      </c>
      <c r="S1938" t="s">
        <v>52</v>
      </c>
      <c r="U1938">
        <v>889917</v>
      </c>
      <c r="V1938" s="3">
        <v>46057.443749999999</v>
      </c>
      <c r="W1938" t="s">
        <v>1504</v>
      </c>
      <c r="X1938" t="s">
        <v>1505</v>
      </c>
      <c r="Y1938" t="str">
        <f>"0424896869"</f>
        <v>0424896869</v>
      </c>
      <c r="Z1938" t="s">
        <v>4490</v>
      </c>
      <c r="AB1938" t="s">
        <v>166</v>
      </c>
      <c r="AD1938" t="s">
        <v>61</v>
      </c>
      <c r="AE1938" t="s">
        <v>167</v>
      </c>
      <c r="AF1938">
        <v>2011</v>
      </c>
      <c r="AG1938" t="s">
        <v>162</v>
      </c>
      <c r="AI1938" t="s">
        <v>59</v>
      </c>
      <c r="AL1938" t="s">
        <v>4193</v>
      </c>
      <c r="AN1938" s="3">
        <v>46062.893750000003</v>
      </c>
      <c r="AO1938" t="s">
        <v>1504</v>
      </c>
    </row>
    <row r="1939" spans="1:41" x14ac:dyDescent="0.3">
      <c r="A1939" t="s">
        <v>168</v>
      </c>
      <c r="B1939" t="s">
        <v>215</v>
      </c>
      <c r="C1939" t="s">
        <v>43</v>
      </c>
      <c r="D1939" t="s">
        <v>127</v>
      </c>
      <c r="E1939" s="1">
        <v>46062</v>
      </c>
      <c r="F1939" t="s">
        <v>569</v>
      </c>
      <c r="G1939" t="s">
        <v>128</v>
      </c>
      <c r="H1939" s="2">
        <v>0.52083333333333337</v>
      </c>
      <c r="I1939" s="2">
        <v>0.85416666666666663</v>
      </c>
      <c r="J1939" t="s">
        <v>1011</v>
      </c>
      <c r="K1939" t="s">
        <v>1012</v>
      </c>
      <c r="L1939" t="s">
        <v>186</v>
      </c>
      <c r="M1939" t="s">
        <v>2366</v>
      </c>
      <c r="N1939" t="s">
        <v>2367</v>
      </c>
      <c r="O1939">
        <v>5951060</v>
      </c>
      <c r="Q1939" t="s">
        <v>219</v>
      </c>
      <c r="R1939" t="s">
        <v>176</v>
      </c>
      <c r="S1939" t="s">
        <v>52</v>
      </c>
      <c r="U1939">
        <v>889867</v>
      </c>
      <c r="V1939" s="3">
        <v>46043.797222222223</v>
      </c>
      <c r="W1939" t="s">
        <v>2368</v>
      </c>
      <c r="X1939" t="s">
        <v>2369</v>
      </c>
      <c r="Y1939" t="str">
        <f>"0412358684"</f>
        <v>0412358684</v>
      </c>
      <c r="Z1939" t="s">
        <v>2548</v>
      </c>
      <c r="AB1939" t="s">
        <v>222</v>
      </c>
      <c r="AD1939" t="s">
        <v>168</v>
      </c>
      <c r="AE1939" t="s">
        <v>223</v>
      </c>
      <c r="AF1939">
        <v>5069</v>
      </c>
      <c r="AG1939" t="s">
        <v>219</v>
      </c>
      <c r="AI1939" t="s">
        <v>59</v>
      </c>
      <c r="AL1939" t="s">
        <v>2839</v>
      </c>
      <c r="AN1939" s="3">
        <v>46062.805555555555</v>
      </c>
      <c r="AO1939" t="s">
        <v>2368</v>
      </c>
    </row>
    <row r="1940" spans="1:41" x14ac:dyDescent="0.3">
      <c r="A1940" t="s">
        <v>168</v>
      </c>
      <c r="B1940" t="s">
        <v>441</v>
      </c>
      <c r="C1940" t="s">
        <v>43</v>
      </c>
      <c r="E1940" s="1">
        <v>46062</v>
      </c>
      <c r="F1940" t="s">
        <v>569</v>
      </c>
      <c r="G1940" t="s">
        <v>128</v>
      </c>
      <c r="H1940" s="2">
        <v>0.52083333333333337</v>
      </c>
      <c r="I1940" s="2">
        <v>0.85416666666666663</v>
      </c>
      <c r="J1940" t="s">
        <v>185</v>
      </c>
      <c r="K1940" t="s">
        <v>678</v>
      </c>
      <c r="L1940" t="s">
        <v>186</v>
      </c>
      <c r="M1940" t="s">
        <v>798</v>
      </c>
      <c r="N1940" t="s">
        <v>799</v>
      </c>
      <c r="O1940">
        <v>20875</v>
      </c>
      <c r="Q1940" t="s">
        <v>944</v>
      </c>
      <c r="R1940" t="s">
        <v>500</v>
      </c>
      <c r="S1940" t="s">
        <v>52</v>
      </c>
      <c r="U1940">
        <v>889882</v>
      </c>
      <c r="V1940" s="3">
        <v>46050.968055555553</v>
      </c>
      <c r="W1940" t="s">
        <v>800</v>
      </c>
      <c r="X1940" t="s">
        <v>801</v>
      </c>
      <c r="Y1940" t="str">
        <f>"0417001267"</f>
        <v>0417001267</v>
      </c>
      <c r="Z1940" t="s">
        <v>3971</v>
      </c>
      <c r="AB1940" t="s">
        <v>448</v>
      </c>
      <c r="AD1940" t="s">
        <v>168</v>
      </c>
      <c r="AE1940" t="s">
        <v>180</v>
      </c>
      <c r="AF1940">
        <v>5063</v>
      </c>
      <c r="AG1940" t="s">
        <v>944</v>
      </c>
      <c r="AI1940" t="s">
        <v>59</v>
      </c>
      <c r="AL1940" t="s">
        <v>4484</v>
      </c>
      <c r="AN1940" s="3">
        <v>46062.835416666669</v>
      </c>
      <c r="AO1940" t="s">
        <v>800</v>
      </c>
    </row>
    <row r="1941" spans="1:41" x14ac:dyDescent="0.3">
      <c r="A1941" t="s">
        <v>168</v>
      </c>
      <c r="B1941" t="s">
        <v>266</v>
      </c>
      <c r="D1941" t="s">
        <v>268</v>
      </c>
      <c r="E1941" s="1">
        <v>46062</v>
      </c>
      <c r="F1941" t="s">
        <v>569</v>
      </c>
      <c r="G1941" t="s">
        <v>128</v>
      </c>
      <c r="H1941" s="2">
        <v>0.54166666666666663</v>
      </c>
      <c r="I1941" s="2">
        <v>0.89583333333333337</v>
      </c>
      <c r="J1941" t="s">
        <v>296</v>
      </c>
      <c r="K1941" t="s">
        <v>297</v>
      </c>
      <c r="L1941" t="s">
        <v>271</v>
      </c>
      <c r="M1941" t="s">
        <v>272</v>
      </c>
      <c r="N1941" t="s">
        <v>273</v>
      </c>
      <c r="O1941">
        <v>5951312</v>
      </c>
      <c r="Q1941" t="s">
        <v>274</v>
      </c>
      <c r="R1941" t="s">
        <v>176</v>
      </c>
      <c r="S1941" t="s">
        <v>52</v>
      </c>
      <c r="U1941">
        <v>889920</v>
      </c>
      <c r="V1941" s="3">
        <v>45993.537499999999</v>
      </c>
      <c r="W1941" t="s">
        <v>275</v>
      </c>
      <c r="X1941" t="s">
        <v>276</v>
      </c>
      <c r="Y1941" t="str">
        <f>"0451788814"</f>
        <v>0451788814</v>
      </c>
      <c r="Z1941" t="s">
        <v>70</v>
      </c>
      <c r="AB1941" t="s">
        <v>277</v>
      </c>
      <c r="AC1941" t="s">
        <v>278</v>
      </c>
      <c r="AD1941" t="s">
        <v>168</v>
      </c>
      <c r="AE1941" t="s">
        <v>279</v>
      </c>
      <c r="AF1941">
        <v>5092</v>
      </c>
      <c r="AG1941" t="s">
        <v>274</v>
      </c>
      <c r="AI1941" t="s">
        <v>59</v>
      </c>
      <c r="AL1941" t="s">
        <v>4491</v>
      </c>
      <c r="AM1941" t="s">
        <v>281</v>
      </c>
      <c r="AN1941" s="3">
        <v>46062.917361111111</v>
      </c>
      <c r="AO1941" t="s">
        <v>275</v>
      </c>
    </row>
    <row r="1942" spans="1:41" x14ac:dyDescent="0.3">
      <c r="A1942" t="s">
        <v>61</v>
      </c>
      <c r="B1942" t="s">
        <v>62</v>
      </c>
      <c r="C1942" t="s">
        <v>100</v>
      </c>
      <c r="D1942" t="s">
        <v>63</v>
      </c>
      <c r="E1942" s="1">
        <v>46062</v>
      </c>
      <c r="F1942" t="s">
        <v>569</v>
      </c>
      <c r="G1942" t="s">
        <v>128</v>
      </c>
      <c r="H1942" s="2">
        <v>0.54166666666666663</v>
      </c>
      <c r="I1942" s="2">
        <v>0.89583333333333337</v>
      </c>
      <c r="J1942" t="s">
        <v>100</v>
      </c>
      <c r="L1942" t="s">
        <v>100</v>
      </c>
      <c r="M1942" t="s">
        <v>101</v>
      </c>
      <c r="N1942" t="s">
        <v>102</v>
      </c>
      <c r="O1942">
        <v>27</v>
      </c>
      <c r="Q1942" t="s">
        <v>103</v>
      </c>
      <c r="R1942" t="s">
        <v>67</v>
      </c>
      <c r="S1942" t="s">
        <v>52</v>
      </c>
      <c r="U1942">
        <v>889914</v>
      </c>
      <c r="V1942" s="3">
        <v>46034.648611111108</v>
      </c>
      <c r="W1942" t="s">
        <v>104</v>
      </c>
      <c r="X1942" t="s">
        <v>105</v>
      </c>
      <c r="Y1942" t="str">
        <f>"0403748369"</f>
        <v>0403748369</v>
      </c>
      <c r="Z1942" t="s">
        <v>4063</v>
      </c>
      <c r="AB1942" t="s">
        <v>71</v>
      </c>
      <c r="AD1942" t="s">
        <v>61</v>
      </c>
      <c r="AE1942" t="s">
        <v>72</v>
      </c>
      <c r="AF1942">
        <v>2747</v>
      </c>
      <c r="AG1942" t="s">
        <v>1051</v>
      </c>
      <c r="AI1942" t="s">
        <v>59</v>
      </c>
      <c r="AL1942" t="s">
        <v>4492</v>
      </c>
      <c r="AN1942" s="3">
        <v>46062.884027777778</v>
      </c>
      <c r="AO1942" t="s">
        <v>104</v>
      </c>
    </row>
    <row r="1943" spans="1:41" x14ac:dyDescent="0.3">
      <c r="A1943" t="s">
        <v>168</v>
      </c>
      <c r="B1943" t="s">
        <v>409</v>
      </c>
      <c r="C1943" t="s">
        <v>1727</v>
      </c>
      <c r="D1943" t="s">
        <v>309</v>
      </c>
      <c r="E1943" s="1">
        <v>46062</v>
      </c>
      <c r="F1943" t="s">
        <v>569</v>
      </c>
      <c r="G1943" t="s">
        <v>128</v>
      </c>
      <c r="H1943" s="2">
        <v>0.54166666666666663</v>
      </c>
      <c r="I1943" s="2">
        <v>0.875</v>
      </c>
      <c r="J1943" t="s">
        <v>1728</v>
      </c>
      <c r="K1943" t="s">
        <v>1022</v>
      </c>
      <c r="L1943" t="s">
        <v>159</v>
      </c>
      <c r="M1943" t="s">
        <v>1151</v>
      </c>
      <c r="N1943" t="s">
        <v>1152</v>
      </c>
      <c r="O1943">
        <v>13</v>
      </c>
      <c r="Q1943" t="s">
        <v>413</v>
      </c>
      <c r="R1943" t="s">
        <v>145</v>
      </c>
      <c r="S1943" t="s">
        <v>119</v>
      </c>
      <c r="T1943" t="s">
        <v>414</v>
      </c>
      <c r="U1943">
        <v>890684</v>
      </c>
      <c r="V1943" s="3">
        <v>46061.585416666669</v>
      </c>
      <c r="W1943" t="s">
        <v>1153</v>
      </c>
      <c r="X1943" t="s">
        <v>1154</v>
      </c>
      <c r="Y1943" t="str">
        <f>"0424485060"</f>
        <v>0424485060</v>
      </c>
      <c r="Z1943" t="s">
        <v>70</v>
      </c>
      <c r="AB1943" t="s">
        <v>417</v>
      </c>
      <c r="AD1943" t="s">
        <v>168</v>
      </c>
      <c r="AE1943" t="s">
        <v>384</v>
      </c>
      <c r="AF1943">
        <v>5000</v>
      </c>
      <c r="AI1943" t="s">
        <v>59</v>
      </c>
      <c r="AL1943" t="s">
        <v>4493</v>
      </c>
      <c r="AM1943" t="s">
        <v>4494</v>
      </c>
      <c r="AN1943" s="3">
        <v>46062.470833333333</v>
      </c>
      <c r="AO1943" t="s">
        <v>176</v>
      </c>
    </row>
    <row r="1944" spans="1:41" x14ac:dyDescent="0.3">
      <c r="A1944" t="s">
        <v>168</v>
      </c>
      <c r="B1944" t="s">
        <v>441</v>
      </c>
      <c r="C1944" t="s">
        <v>100</v>
      </c>
      <c r="E1944" s="1">
        <v>46062</v>
      </c>
      <c r="F1944" t="s">
        <v>569</v>
      </c>
      <c r="G1944" t="s">
        <v>128</v>
      </c>
      <c r="H1944" s="2">
        <v>0.54166666666666663</v>
      </c>
      <c r="I1944" s="2">
        <v>0.875</v>
      </c>
      <c r="J1944" t="s">
        <v>100</v>
      </c>
      <c r="L1944" t="s">
        <v>100</v>
      </c>
      <c r="M1944" t="s">
        <v>4495</v>
      </c>
      <c r="N1944" t="s">
        <v>1747</v>
      </c>
      <c r="O1944">
        <v>5952190</v>
      </c>
      <c r="Q1944" t="s">
        <v>977</v>
      </c>
      <c r="R1944" t="s">
        <v>231</v>
      </c>
      <c r="S1944" t="s">
        <v>52</v>
      </c>
      <c r="U1944">
        <v>889916</v>
      </c>
      <c r="V1944" s="3">
        <v>46029.513888888891</v>
      </c>
      <c r="W1944" t="s">
        <v>4496</v>
      </c>
      <c r="X1944" t="s">
        <v>4497</v>
      </c>
      <c r="Y1944" t="str">
        <f>"0435859458"</f>
        <v>0435859458</v>
      </c>
      <c r="Z1944" t="s">
        <v>2278</v>
      </c>
      <c r="AB1944" t="s">
        <v>448</v>
      </c>
      <c r="AD1944" t="s">
        <v>168</v>
      </c>
      <c r="AE1944" t="s">
        <v>180</v>
      </c>
      <c r="AF1944">
        <v>5063</v>
      </c>
      <c r="AG1944" t="s">
        <v>981</v>
      </c>
      <c r="AI1944" t="s">
        <v>59</v>
      </c>
      <c r="AL1944" t="s">
        <v>4484</v>
      </c>
      <c r="AN1944" s="3">
        <v>46062.890972222223</v>
      </c>
      <c r="AO1944" t="s">
        <v>4496</v>
      </c>
    </row>
    <row r="1945" spans="1:41" x14ac:dyDescent="0.3">
      <c r="A1945" t="s">
        <v>41</v>
      </c>
      <c r="B1945" t="s">
        <v>551</v>
      </c>
      <c r="C1945" t="s">
        <v>296</v>
      </c>
      <c r="D1945" t="s">
        <v>246</v>
      </c>
      <c r="E1945" s="1">
        <v>46062</v>
      </c>
      <c r="F1945" t="s">
        <v>569</v>
      </c>
      <c r="G1945" t="s">
        <v>128</v>
      </c>
      <c r="H1945" s="2">
        <v>0.54166666666666663</v>
      </c>
      <c r="I1945" s="2">
        <v>0.89583333333333337</v>
      </c>
      <c r="J1945" t="s">
        <v>296</v>
      </c>
      <c r="K1945" t="s">
        <v>553</v>
      </c>
      <c r="L1945" t="s">
        <v>428</v>
      </c>
      <c r="M1945" t="s">
        <v>429</v>
      </c>
      <c r="N1945" t="s">
        <v>430</v>
      </c>
      <c r="O1945">
        <v>5950727</v>
      </c>
      <c r="Q1945" t="s">
        <v>4498</v>
      </c>
      <c r="R1945" t="s">
        <v>1472</v>
      </c>
      <c r="S1945" t="s">
        <v>52</v>
      </c>
      <c r="U1945">
        <v>889918</v>
      </c>
      <c r="V1945" s="3">
        <v>46062.429166666669</v>
      </c>
      <c r="W1945" t="s">
        <v>432</v>
      </c>
      <c r="X1945" t="s">
        <v>433</v>
      </c>
      <c r="Y1945" t="str">
        <f>"0420946792"</f>
        <v>0420946792</v>
      </c>
      <c r="Z1945" t="s">
        <v>70</v>
      </c>
      <c r="AA1945" s="1">
        <v>46062</v>
      </c>
      <c r="AB1945" t="s">
        <v>559</v>
      </c>
      <c r="AD1945" t="s">
        <v>41</v>
      </c>
      <c r="AE1945" t="s">
        <v>560</v>
      </c>
      <c r="AF1945">
        <v>4131</v>
      </c>
      <c r="AG1945" t="s">
        <v>2033</v>
      </c>
      <c r="AI1945" t="s">
        <v>59</v>
      </c>
      <c r="AL1945" t="s">
        <v>4499</v>
      </c>
      <c r="AN1945" s="3">
        <v>46062.911111111112</v>
      </c>
      <c r="AO1945" t="s">
        <v>432</v>
      </c>
    </row>
    <row r="1946" spans="1:41" x14ac:dyDescent="0.3">
      <c r="A1946" t="s">
        <v>168</v>
      </c>
      <c r="B1946" t="s">
        <v>376</v>
      </c>
      <c r="C1946" t="s">
        <v>43</v>
      </c>
      <c r="D1946" t="s">
        <v>127</v>
      </c>
      <c r="E1946" s="1">
        <v>46062</v>
      </c>
      <c r="F1946" t="s">
        <v>569</v>
      </c>
      <c r="G1946" t="s">
        <v>128</v>
      </c>
      <c r="H1946" s="2">
        <v>0.54166666666666663</v>
      </c>
      <c r="I1946" s="2">
        <v>0.875</v>
      </c>
      <c r="J1946" t="s">
        <v>185</v>
      </c>
      <c r="L1946" t="s">
        <v>186</v>
      </c>
      <c r="M1946" t="s">
        <v>835</v>
      </c>
      <c r="N1946" t="s">
        <v>836</v>
      </c>
      <c r="O1946">
        <v>22947</v>
      </c>
      <c r="Q1946" t="s">
        <v>670</v>
      </c>
      <c r="R1946" t="s">
        <v>231</v>
      </c>
      <c r="S1946" t="s">
        <v>52</v>
      </c>
      <c r="U1946">
        <v>889915</v>
      </c>
      <c r="V1946" s="3">
        <v>46035.645833333336</v>
      </c>
      <c r="W1946" t="s">
        <v>837</v>
      </c>
      <c r="X1946" t="s">
        <v>838</v>
      </c>
      <c r="Y1946" t="str">
        <f>"0415626656"</f>
        <v>0415626656</v>
      </c>
      <c r="Z1946" t="s">
        <v>550</v>
      </c>
      <c r="AB1946" t="s">
        <v>383</v>
      </c>
      <c r="AD1946" t="s">
        <v>168</v>
      </c>
      <c r="AE1946" t="s">
        <v>384</v>
      </c>
      <c r="AF1946">
        <v>5000</v>
      </c>
      <c r="AG1946" t="s">
        <v>674</v>
      </c>
      <c r="AI1946" t="s">
        <v>59</v>
      </c>
      <c r="AL1946" t="s">
        <v>385</v>
      </c>
      <c r="AN1946" s="3">
        <v>46062.88958333333</v>
      </c>
      <c r="AO1946" t="s">
        <v>837</v>
      </c>
    </row>
    <row r="1947" spans="1:41" x14ac:dyDescent="0.3">
      <c r="A1947" t="s">
        <v>168</v>
      </c>
      <c r="B1947" t="s">
        <v>409</v>
      </c>
      <c r="C1947" t="s">
        <v>43</v>
      </c>
      <c r="D1947" t="s">
        <v>309</v>
      </c>
      <c r="E1947" s="1">
        <v>46062</v>
      </c>
      <c r="F1947" t="s">
        <v>569</v>
      </c>
      <c r="G1947" t="s">
        <v>128</v>
      </c>
      <c r="H1947" s="2">
        <v>0.54166666666666663</v>
      </c>
      <c r="I1947" s="2">
        <v>0.875</v>
      </c>
      <c r="J1947" t="s">
        <v>1728</v>
      </c>
      <c r="K1947" t="s">
        <v>1022</v>
      </c>
      <c r="L1947" t="s">
        <v>159</v>
      </c>
      <c r="M1947" t="s">
        <v>1023</v>
      </c>
      <c r="N1947" t="s">
        <v>1024</v>
      </c>
      <c r="O1947">
        <v>22730</v>
      </c>
      <c r="Q1947" t="s">
        <v>705</v>
      </c>
      <c r="R1947" t="s">
        <v>145</v>
      </c>
      <c r="S1947" t="s">
        <v>119</v>
      </c>
      <c r="T1947" t="s">
        <v>414</v>
      </c>
      <c r="U1947">
        <v>890478</v>
      </c>
      <c r="V1947" s="3">
        <v>46059.878472222219</v>
      </c>
      <c r="W1947" t="s">
        <v>1027</v>
      </c>
      <c r="X1947" t="s">
        <v>1028</v>
      </c>
      <c r="Y1947" t="str">
        <f>"0402354674"</f>
        <v>0402354674</v>
      </c>
      <c r="Z1947" t="s">
        <v>70</v>
      </c>
      <c r="AB1947" t="s">
        <v>417</v>
      </c>
      <c r="AD1947" t="s">
        <v>168</v>
      </c>
      <c r="AE1947" t="s">
        <v>384</v>
      </c>
      <c r="AF1947">
        <v>5000</v>
      </c>
      <c r="AI1947" t="s">
        <v>59</v>
      </c>
      <c r="AL1947" t="s">
        <v>4500</v>
      </c>
      <c r="AM1947" t="s">
        <v>4501</v>
      </c>
      <c r="AN1947" s="3">
        <v>46061.910416666666</v>
      </c>
      <c r="AO1947" t="s">
        <v>500</v>
      </c>
    </row>
    <row r="1948" spans="1:41" x14ac:dyDescent="0.3">
      <c r="A1948" t="s">
        <v>168</v>
      </c>
      <c r="B1948" t="s">
        <v>376</v>
      </c>
      <c r="C1948" t="s">
        <v>43</v>
      </c>
      <c r="D1948" t="s">
        <v>127</v>
      </c>
      <c r="E1948" s="1">
        <v>46062</v>
      </c>
      <c r="F1948" t="s">
        <v>569</v>
      </c>
      <c r="G1948" t="s">
        <v>128</v>
      </c>
      <c r="H1948" s="2">
        <v>0.54166666666666663</v>
      </c>
      <c r="I1948" s="2">
        <v>0.875</v>
      </c>
      <c r="J1948" t="s">
        <v>185</v>
      </c>
      <c r="L1948" t="s">
        <v>186</v>
      </c>
      <c r="M1948" t="s">
        <v>2691</v>
      </c>
      <c r="N1948" t="s">
        <v>2691</v>
      </c>
      <c r="O1948">
        <v>22687</v>
      </c>
      <c r="Q1948" t="s">
        <v>670</v>
      </c>
      <c r="R1948" t="s">
        <v>231</v>
      </c>
      <c r="S1948" t="s">
        <v>52</v>
      </c>
      <c r="U1948">
        <v>889913</v>
      </c>
      <c r="V1948" s="3">
        <v>46035.652083333334</v>
      </c>
      <c r="W1948" t="s">
        <v>2692</v>
      </c>
      <c r="X1948" t="s">
        <v>2693</v>
      </c>
      <c r="Y1948" t="str">
        <f>"0433922671"</f>
        <v>0433922671</v>
      </c>
      <c r="Z1948" t="s">
        <v>1324</v>
      </c>
      <c r="AB1948" t="s">
        <v>383</v>
      </c>
      <c r="AD1948" t="s">
        <v>168</v>
      </c>
      <c r="AE1948" t="s">
        <v>384</v>
      </c>
      <c r="AF1948">
        <v>5000</v>
      </c>
      <c r="AG1948" t="s">
        <v>674</v>
      </c>
      <c r="AI1948" t="s">
        <v>59</v>
      </c>
      <c r="AL1948" t="s">
        <v>385</v>
      </c>
      <c r="AM1948" t="s">
        <v>4502</v>
      </c>
      <c r="AN1948" s="3">
        <v>46062.882638888892</v>
      </c>
      <c r="AO1948" t="s">
        <v>2692</v>
      </c>
    </row>
    <row r="1949" spans="1:41" x14ac:dyDescent="0.3">
      <c r="A1949" t="s">
        <v>168</v>
      </c>
      <c r="B1949" t="s">
        <v>225</v>
      </c>
      <c r="C1949" t="s">
        <v>226</v>
      </c>
      <c r="D1949" t="s">
        <v>227</v>
      </c>
      <c r="E1949" s="1">
        <v>46062</v>
      </c>
      <c r="F1949" t="s">
        <v>569</v>
      </c>
      <c r="G1949" t="s">
        <v>128</v>
      </c>
      <c r="H1949" s="2">
        <v>0.54166666666666663</v>
      </c>
      <c r="I1949" s="2">
        <v>0.79166666666666663</v>
      </c>
      <c r="J1949" t="s">
        <v>101</v>
      </c>
      <c r="L1949" t="s">
        <v>159</v>
      </c>
      <c r="M1949" t="s">
        <v>217</v>
      </c>
      <c r="N1949" t="s">
        <v>218</v>
      </c>
      <c r="O1949">
        <v>32</v>
      </c>
      <c r="Q1949" t="s">
        <v>230</v>
      </c>
      <c r="R1949" t="s">
        <v>231</v>
      </c>
      <c r="S1949" t="s">
        <v>52</v>
      </c>
      <c r="U1949">
        <v>889865</v>
      </c>
      <c r="V1949" s="3">
        <v>46042.363888888889</v>
      </c>
      <c r="W1949" t="s">
        <v>220</v>
      </c>
      <c r="X1949" t="s">
        <v>221</v>
      </c>
      <c r="Y1949" t="str">
        <f>"0426797353"</f>
        <v>0426797353</v>
      </c>
      <c r="Z1949" t="s">
        <v>1862</v>
      </c>
      <c r="AB1949" t="s">
        <v>235</v>
      </c>
      <c r="AD1949" t="s">
        <v>168</v>
      </c>
      <c r="AE1949" t="s">
        <v>236</v>
      </c>
      <c r="AF1949">
        <v>5087</v>
      </c>
      <c r="AG1949" t="s">
        <v>230</v>
      </c>
      <c r="AI1949" t="s">
        <v>59</v>
      </c>
      <c r="AL1949" t="s">
        <v>803</v>
      </c>
      <c r="AM1949" t="s">
        <v>4503</v>
      </c>
      <c r="AN1949" s="3">
        <v>46062.79791666667</v>
      </c>
      <c r="AO1949" t="s">
        <v>220</v>
      </c>
    </row>
    <row r="1950" spans="1:41" x14ac:dyDescent="0.3">
      <c r="A1950" t="s">
        <v>168</v>
      </c>
      <c r="B1950" t="s">
        <v>1205</v>
      </c>
      <c r="C1950" t="s">
        <v>43</v>
      </c>
      <c r="D1950" t="s">
        <v>127</v>
      </c>
      <c r="E1950" s="1">
        <v>46062</v>
      </c>
      <c r="F1950" t="s">
        <v>569</v>
      </c>
      <c r="G1950" t="s">
        <v>128</v>
      </c>
      <c r="H1950" s="2">
        <v>0.54166666666666663</v>
      </c>
      <c r="I1950" s="2">
        <v>0.79166666666666663</v>
      </c>
      <c r="J1950" t="s">
        <v>2349</v>
      </c>
      <c r="L1950" t="s">
        <v>47</v>
      </c>
      <c r="M1950" t="s">
        <v>217</v>
      </c>
      <c r="N1950" t="s">
        <v>2138</v>
      </c>
      <c r="O1950">
        <v>21354</v>
      </c>
      <c r="Q1950" t="s">
        <v>1208</v>
      </c>
      <c r="R1950" t="s">
        <v>231</v>
      </c>
      <c r="S1950" t="s">
        <v>52</v>
      </c>
      <c r="U1950">
        <v>889863</v>
      </c>
      <c r="V1950" s="3">
        <v>46062.367361111108</v>
      </c>
      <c r="W1950" t="s">
        <v>3306</v>
      </c>
      <c r="X1950" t="s">
        <v>3307</v>
      </c>
      <c r="Y1950" t="str">
        <f>"0408831194"</f>
        <v>0408831194</v>
      </c>
      <c r="Z1950" t="s">
        <v>70</v>
      </c>
      <c r="AA1950" s="1">
        <v>46062</v>
      </c>
      <c r="AB1950" t="s">
        <v>1211</v>
      </c>
      <c r="AD1950" t="s">
        <v>168</v>
      </c>
      <c r="AE1950" t="s">
        <v>1212</v>
      </c>
      <c r="AF1950">
        <v>5045</v>
      </c>
      <c r="AG1950" t="s">
        <v>1208</v>
      </c>
      <c r="AI1950" t="s">
        <v>59</v>
      </c>
      <c r="AL1950" t="s">
        <v>4504</v>
      </c>
      <c r="AN1950" s="3">
        <v>46062.789583333331</v>
      </c>
      <c r="AO1950" t="s">
        <v>3306</v>
      </c>
    </row>
    <row r="1951" spans="1:41" x14ac:dyDescent="0.3">
      <c r="A1951" t="s">
        <v>61</v>
      </c>
      <c r="B1951" t="s">
        <v>182</v>
      </c>
      <c r="C1951" t="s">
        <v>100</v>
      </c>
      <c r="D1951" t="s">
        <v>184</v>
      </c>
      <c r="E1951" s="1">
        <v>46062</v>
      </c>
      <c r="F1951" t="s">
        <v>569</v>
      </c>
      <c r="G1951" t="s">
        <v>128</v>
      </c>
      <c r="H1951" s="2">
        <v>0.54166666666666663</v>
      </c>
      <c r="I1951" s="2">
        <v>0.89583333333333337</v>
      </c>
      <c r="J1951" t="s">
        <v>100</v>
      </c>
      <c r="L1951" t="s">
        <v>100</v>
      </c>
      <c r="M1951" t="s">
        <v>1188</v>
      </c>
      <c r="N1951" t="s">
        <v>1189</v>
      </c>
      <c r="O1951">
        <v>21235</v>
      </c>
      <c r="Q1951" t="s">
        <v>1045</v>
      </c>
      <c r="R1951" t="s">
        <v>67</v>
      </c>
      <c r="S1951" t="s">
        <v>52</v>
      </c>
      <c r="U1951">
        <v>889905</v>
      </c>
      <c r="V1951" s="3">
        <v>46044.34097222222</v>
      </c>
      <c r="W1951" t="s">
        <v>1191</v>
      </c>
      <c r="X1951" t="s">
        <v>1192</v>
      </c>
      <c r="Y1951" t="str">
        <f>"0479157796"</f>
        <v>0479157796</v>
      </c>
      <c r="Z1951" t="s">
        <v>1052</v>
      </c>
      <c r="AB1951" t="s">
        <v>193</v>
      </c>
      <c r="AD1951" t="s">
        <v>61</v>
      </c>
      <c r="AE1951" t="s">
        <v>194</v>
      </c>
      <c r="AF1951">
        <v>2229</v>
      </c>
      <c r="AG1951" t="s">
        <v>1045</v>
      </c>
      <c r="AI1951" t="s">
        <v>59</v>
      </c>
      <c r="AL1951" t="s">
        <v>4193</v>
      </c>
      <c r="AN1951" s="3">
        <v>46062.867361111108</v>
      </c>
      <c r="AO1951" t="s">
        <v>1191</v>
      </c>
    </row>
    <row r="1952" spans="1:41" x14ac:dyDescent="0.3">
      <c r="A1952" t="s">
        <v>61</v>
      </c>
      <c r="B1952" t="s">
        <v>1937</v>
      </c>
      <c r="C1952" t="s">
        <v>100</v>
      </c>
      <c r="D1952" t="s">
        <v>184</v>
      </c>
      <c r="E1952" s="1">
        <v>46062</v>
      </c>
      <c r="F1952" t="s">
        <v>569</v>
      </c>
      <c r="G1952" t="s">
        <v>128</v>
      </c>
      <c r="H1952" s="2">
        <v>0.5625</v>
      </c>
      <c r="I1952" s="2">
        <v>0.91666666666666663</v>
      </c>
      <c r="J1952" t="s">
        <v>100</v>
      </c>
      <c r="L1952" t="s">
        <v>100</v>
      </c>
      <c r="M1952" t="s">
        <v>1938</v>
      </c>
      <c r="N1952" t="s">
        <v>1939</v>
      </c>
      <c r="O1952">
        <v>5951653</v>
      </c>
      <c r="Q1952" t="s">
        <v>1087</v>
      </c>
      <c r="R1952" t="s">
        <v>67</v>
      </c>
      <c r="S1952" t="s">
        <v>52</v>
      </c>
      <c r="U1952">
        <v>889923</v>
      </c>
      <c r="V1952" s="3">
        <v>46051.433333333334</v>
      </c>
      <c r="W1952" t="s">
        <v>1940</v>
      </c>
      <c r="X1952" t="s">
        <v>1941</v>
      </c>
      <c r="Y1952" t="str">
        <f>"0422928911"</f>
        <v>0422928911</v>
      </c>
      <c r="Z1952" t="s">
        <v>2442</v>
      </c>
      <c r="AB1952" t="s">
        <v>1942</v>
      </c>
      <c r="AD1952" t="s">
        <v>61</v>
      </c>
      <c r="AE1952" t="s">
        <v>1943</v>
      </c>
      <c r="AF1952">
        <v>2065</v>
      </c>
      <c r="AG1952" t="s">
        <v>1087</v>
      </c>
      <c r="AI1952" t="s">
        <v>59</v>
      </c>
      <c r="AL1952" t="s">
        <v>4193</v>
      </c>
      <c r="AN1952" s="3">
        <v>46062.936805555553</v>
      </c>
      <c r="AO1952" t="s">
        <v>1940</v>
      </c>
    </row>
    <row r="1953" spans="1:41" x14ac:dyDescent="0.3">
      <c r="A1953" t="s">
        <v>168</v>
      </c>
      <c r="B1953" t="s">
        <v>282</v>
      </c>
      <c r="C1953" t="s">
        <v>43</v>
      </c>
      <c r="D1953" t="s">
        <v>283</v>
      </c>
      <c r="E1953" s="1">
        <v>46062</v>
      </c>
      <c r="F1953" t="s">
        <v>569</v>
      </c>
      <c r="G1953" t="s">
        <v>128</v>
      </c>
      <c r="H1953" s="2">
        <v>0.5625</v>
      </c>
      <c r="I1953" s="2">
        <v>0.75</v>
      </c>
      <c r="J1953" t="s">
        <v>185</v>
      </c>
      <c r="K1953" t="s">
        <v>284</v>
      </c>
      <c r="L1953" t="s">
        <v>186</v>
      </c>
      <c r="M1953" t="s">
        <v>1214</v>
      </c>
      <c r="N1953" t="s">
        <v>1215</v>
      </c>
      <c r="O1953">
        <v>21599</v>
      </c>
      <c r="Q1953" t="s">
        <v>287</v>
      </c>
      <c r="R1953" t="s">
        <v>1248</v>
      </c>
      <c r="S1953" t="s">
        <v>52</v>
      </c>
      <c r="U1953">
        <v>889845</v>
      </c>
      <c r="V1953" s="3">
        <v>46060.438888888886</v>
      </c>
      <c r="W1953" t="s">
        <v>1216</v>
      </c>
      <c r="X1953" t="s">
        <v>1217</v>
      </c>
      <c r="Y1953" t="str">
        <f>"0408807092"</f>
        <v>0408807092</v>
      </c>
      <c r="Z1953" t="s">
        <v>70</v>
      </c>
      <c r="AB1953" t="s">
        <v>291</v>
      </c>
      <c r="AC1953" t="s">
        <v>292</v>
      </c>
      <c r="AD1953" t="s">
        <v>168</v>
      </c>
      <c r="AE1953" t="s">
        <v>293</v>
      </c>
      <c r="AF1953">
        <v>5037</v>
      </c>
      <c r="AG1953" t="s">
        <v>294</v>
      </c>
      <c r="AI1953" t="s">
        <v>59</v>
      </c>
      <c r="AL1953" t="s">
        <v>4283</v>
      </c>
      <c r="AN1953" s="3">
        <v>46062.759027777778</v>
      </c>
      <c r="AO1953" t="s">
        <v>1216</v>
      </c>
    </row>
    <row r="1954" spans="1:41" x14ac:dyDescent="0.3">
      <c r="A1954" t="s">
        <v>75</v>
      </c>
      <c r="B1954" t="s">
        <v>895</v>
      </c>
      <c r="C1954" t="s">
        <v>1621</v>
      </c>
      <c r="D1954" t="s">
        <v>184</v>
      </c>
      <c r="E1954" s="1">
        <v>46062</v>
      </c>
      <c r="F1954" t="s">
        <v>569</v>
      </c>
      <c r="G1954" t="s">
        <v>128</v>
      </c>
      <c r="H1954" s="2">
        <v>0.58333333333333337</v>
      </c>
      <c r="I1954" s="2">
        <v>0.91666666666666663</v>
      </c>
      <c r="J1954" t="s">
        <v>296</v>
      </c>
      <c r="L1954" t="s">
        <v>1453</v>
      </c>
      <c r="M1954" t="s">
        <v>1622</v>
      </c>
      <c r="N1954" t="s">
        <v>1623</v>
      </c>
      <c r="O1954">
        <v>5952211</v>
      </c>
      <c r="Q1954" t="s">
        <v>2159</v>
      </c>
      <c r="R1954" t="s">
        <v>81</v>
      </c>
      <c r="S1954" t="s">
        <v>52</v>
      </c>
      <c r="U1954">
        <v>889927</v>
      </c>
      <c r="V1954" s="3">
        <v>46055.581944444442</v>
      </c>
      <c r="W1954" t="s">
        <v>1624</v>
      </c>
      <c r="X1954" t="s">
        <v>1625</v>
      </c>
      <c r="Y1954" t="str">
        <f>"0494406921"</f>
        <v>0494406921</v>
      </c>
      <c r="Z1954" t="s">
        <v>550</v>
      </c>
      <c r="AB1954" t="s">
        <v>902</v>
      </c>
      <c r="AD1954" t="s">
        <v>75</v>
      </c>
      <c r="AE1954" t="s">
        <v>903</v>
      </c>
      <c r="AF1954">
        <v>6009</v>
      </c>
      <c r="AG1954" t="s">
        <v>2159</v>
      </c>
      <c r="AI1954" t="s">
        <v>59</v>
      </c>
      <c r="AL1954" t="s">
        <v>87</v>
      </c>
      <c r="AN1954" s="3">
        <v>46063.087500000001</v>
      </c>
      <c r="AO1954" t="s">
        <v>1624</v>
      </c>
    </row>
    <row r="1955" spans="1:41" x14ac:dyDescent="0.3">
      <c r="A1955" t="s">
        <v>75</v>
      </c>
      <c r="B1955" t="s">
        <v>895</v>
      </c>
      <c r="C1955" t="s">
        <v>896</v>
      </c>
      <c r="D1955" t="s">
        <v>184</v>
      </c>
      <c r="E1955" s="1">
        <v>46062</v>
      </c>
      <c r="F1955" t="s">
        <v>569</v>
      </c>
      <c r="G1955" t="s">
        <v>128</v>
      </c>
      <c r="H1955" s="2">
        <v>0.58333333333333337</v>
      </c>
      <c r="I1955" s="2">
        <v>0.83333333333333337</v>
      </c>
      <c r="J1955" t="s">
        <v>46</v>
      </c>
      <c r="K1955" t="s">
        <v>77</v>
      </c>
      <c r="L1955" t="s">
        <v>47</v>
      </c>
      <c r="M1955" t="s">
        <v>4505</v>
      </c>
      <c r="N1955" t="s">
        <v>4506</v>
      </c>
      <c r="O1955">
        <v>22661</v>
      </c>
      <c r="Q1955" t="s">
        <v>3292</v>
      </c>
      <c r="R1955" t="s">
        <v>926</v>
      </c>
      <c r="S1955" t="s">
        <v>52</v>
      </c>
      <c r="U1955">
        <v>889924</v>
      </c>
      <c r="V1955" s="3">
        <v>46059.665277777778</v>
      </c>
      <c r="W1955" t="s">
        <v>4507</v>
      </c>
      <c r="X1955" t="s">
        <v>4508</v>
      </c>
      <c r="Y1955" t="str">
        <f>"0416532415"</f>
        <v>0416532415</v>
      </c>
      <c r="Z1955" t="s">
        <v>70</v>
      </c>
      <c r="AA1955" s="1">
        <v>46062</v>
      </c>
      <c r="AB1955" t="s">
        <v>902</v>
      </c>
      <c r="AD1955" t="s">
        <v>75</v>
      </c>
      <c r="AE1955" t="s">
        <v>903</v>
      </c>
      <c r="AF1955">
        <v>6009</v>
      </c>
      <c r="AG1955" t="s">
        <v>1830</v>
      </c>
      <c r="AI1955" t="s">
        <v>59</v>
      </c>
      <c r="AL1955" t="s">
        <v>4509</v>
      </c>
      <c r="AN1955" s="3">
        <v>46062.952777777777</v>
      </c>
      <c r="AO1955" t="s">
        <v>4507</v>
      </c>
    </row>
    <row r="1956" spans="1:41" x14ac:dyDescent="0.3">
      <c r="A1956" t="s">
        <v>41</v>
      </c>
      <c r="B1956" t="s">
        <v>589</v>
      </c>
      <c r="C1956" t="s">
        <v>590</v>
      </c>
      <c r="D1956" t="s">
        <v>246</v>
      </c>
      <c r="E1956" s="1">
        <v>46062</v>
      </c>
      <c r="F1956" t="s">
        <v>569</v>
      </c>
      <c r="G1956" t="s">
        <v>128</v>
      </c>
      <c r="H1956" s="2">
        <v>0.60416666666666663</v>
      </c>
      <c r="I1956" s="2">
        <v>0.95833333333333337</v>
      </c>
      <c r="J1956" t="s">
        <v>591</v>
      </c>
      <c r="L1956" t="s">
        <v>592</v>
      </c>
      <c r="M1956" t="s">
        <v>593</v>
      </c>
      <c r="N1956" t="s">
        <v>594</v>
      </c>
      <c r="O1956">
        <v>5952427</v>
      </c>
      <c r="P1956" t="s">
        <v>249</v>
      </c>
      <c r="Q1956" t="s">
        <v>596</v>
      </c>
      <c r="R1956" t="s">
        <v>392</v>
      </c>
      <c r="S1956" t="s">
        <v>52</v>
      </c>
      <c r="T1956" t="s">
        <v>252</v>
      </c>
      <c r="U1956">
        <v>890772</v>
      </c>
      <c r="V1956" s="3">
        <v>46070.618055555555</v>
      </c>
      <c r="W1956" t="s">
        <v>597</v>
      </c>
      <c r="X1956" t="s">
        <v>598</v>
      </c>
      <c r="Y1956" t="str">
        <f>"0432677728"</f>
        <v>0432677728</v>
      </c>
      <c r="Z1956" t="s">
        <v>585</v>
      </c>
      <c r="AA1956" s="1">
        <v>46082</v>
      </c>
      <c r="AB1956" t="s">
        <v>599</v>
      </c>
      <c r="AC1956" t="s">
        <v>600</v>
      </c>
      <c r="AD1956" t="s">
        <v>41</v>
      </c>
      <c r="AE1956" t="s">
        <v>600</v>
      </c>
      <c r="AF1956">
        <v>4610</v>
      </c>
      <c r="AG1956" t="s">
        <v>601</v>
      </c>
      <c r="AI1956" t="s">
        <v>59</v>
      </c>
      <c r="AJ1956" t="str">
        <f>"0050075752"</f>
        <v>0050075752</v>
      </c>
      <c r="AN1956" s="3">
        <v>46070.618055555555</v>
      </c>
      <c r="AO1956" t="s">
        <v>392</v>
      </c>
    </row>
    <row r="1957" spans="1:41" x14ac:dyDescent="0.3">
      <c r="A1957" t="s">
        <v>168</v>
      </c>
      <c r="B1957" t="s">
        <v>607</v>
      </c>
      <c r="C1957" t="s">
        <v>267</v>
      </c>
      <c r="D1957" t="s">
        <v>268</v>
      </c>
      <c r="E1957" s="1">
        <v>46062</v>
      </c>
      <c r="F1957" t="s">
        <v>569</v>
      </c>
      <c r="G1957" t="s">
        <v>45</v>
      </c>
      <c r="H1957" s="2">
        <v>0.60416666666666663</v>
      </c>
      <c r="I1957" s="2">
        <v>0.95833333333333337</v>
      </c>
      <c r="J1957" t="s">
        <v>269</v>
      </c>
      <c r="K1957" t="s">
        <v>608</v>
      </c>
      <c r="L1957" t="s">
        <v>609</v>
      </c>
      <c r="M1957" t="s">
        <v>610</v>
      </c>
      <c r="N1957" t="s">
        <v>611</v>
      </c>
      <c r="O1957">
        <v>5952121</v>
      </c>
      <c r="P1957" t="s">
        <v>249</v>
      </c>
      <c r="Q1957" t="s">
        <v>612</v>
      </c>
      <c r="R1957" t="s">
        <v>613</v>
      </c>
      <c r="S1957" t="s">
        <v>52</v>
      </c>
      <c r="T1957" t="s">
        <v>252</v>
      </c>
      <c r="U1957">
        <v>890617</v>
      </c>
      <c r="V1957" s="3">
        <v>46069.460416666669</v>
      </c>
      <c r="W1957" t="s">
        <v>613</v>
      </c>
      <c r="X1957" t="s">
        <v>614</v>
      </c>
      <c r="Y1957" t="str">
        <f>"0412297150"</f>
        <v>0412297150</v>
      </c>
      <c r="Z1957" t="s">
        <v>84</v>
      </c>
      <c r="AA1957" s="1">
        <v>46077</v>
      </c>
      <c r="AB1957" t="s">
        <v>615</v>
      </c>
      <c r="AC1957" t="s">
        <v>616</v>
      </c>
      <c r="AD1957" t="s">
        <v>168</v>
      </c>
      <c r="AE1957" t="s">
        <v>617</v>
      </c>
      <c r="AF1957">
        <v>5290</v>
      </c>
      <c r="AG1957" t="s">
        <v>618</v>
      </c>
      <c r="AI1957" t="s">
        <v>59</v>
      </c>
      <c r="AJ1957" t="str">
        <f>"0020171780"</f>
        <v>0020171780</v>
      </c>
      <c r="AN1957" s="3">
        <v>46069.460416666669</v>
      </c>
      <c r="AO1957" t="s">
        <v>613</v>
      </c>
    </row>
    <row r="1958" spans="1:41" x14ac:dyDescent="0.3">
      <c r="A1958" t="s">
        <v>168</v>
      </c>
      <c r="B1958" t="s">
        <v>2606</v>
      </c>
      <c r="C1958" t="s">
        <v>602</v>
      </c>
      <c r="D1958" t="s">
        <v>268</v>
      </c>
      <c r="E1958" s="1">
        <v>46062</v>
      </c>
      <c r="F1958" t="s">
        <v>569</v>
      </c>
      <c r="G1958" t="s">
        <v>128</v>
      </c>
      <c r="H1958" s="2">
        <v>0.625</v>
      </c>
      <c r="I1958" s="2">
        <v>0.89583333333333337</v>
      </c>
      <c r="J1958" t="s">
        <v>269</v>
      </c>
      <c r="K1958" t="s">
        <v>849</v>
      </c>
      <c r="L1958" t="s">
        <v>609</v>
      </c>
      <c r="M1958" t="s">
        <v>3468</v>
      </c>
      <c r="N1958" t="s">
        <v>3469</v>
      </c>
      <c r="O1958">
        <v>5950897</v>
      </c>
      <c r="Q1958" t="s">
        <v>705</v>
      </c>
      <c r="R1958" t="s">
        <v>231</v>
      </c>
      <c r="S1958" t="s">
        <v>52</v>
      </c>
      <c r="U1958">
        <v>889921</v>
      </c>
      <c r="V1958" s="3">
        <v>46062.443055555559</v>
      </c>
      <c r="W1958" t="s">
        <v>3470</v>
      </c>
      <c r="X1958" t="s">
        <v>3471</v>
      </c>
      <c r="Y1958" t="str">
        <f>"0424135472"</f>
        <v>0424135472</v>
      </c>
      <c r="Z1958" t="s">
        <v>70</v>
      </c>
      <c r="AA1958" s="1">
        <v>46062</v>
      </c>
      <c r="AB1958" t="s">
        <v>2608</v>
      </c>
      <c r="AC1958" t="s">
        <v>2609</v>
      </c>
      <c r="AD1958" t="s">
        <v>168</v>
      </c>
      <c r="AE1958" t="s">
        <v>2610</v>
      </c>
      <c r="AF1958">
        <v>5211</v>
      </c>
      <c r="AI1958" t="s">
        <v>59</v>
      </c>
      <c r="AL1958" t="s">
        <v>4510</v>
      </c>
      <c r="AM1958" t="s">
        <v>4510</v>
      </c>
      <c r="AN1958" s="3">
        <v>46062.920138888891</v>
      </c>
      <c r="AO1958" t="s">
        <v>3470</v>
      </c>
    </row>
    <row r="1959" spans="1:41" x14ac:dyDescent="0.3">
      <c r="A1959" t="s">
        <v>306</v>
      </c>
      <c r="B1959" t="s">
        <v>450</v>
      </c>
      <c r="C1959" t="s">
        <v>100</v>
      </c>
      <c r="D1959" t="s">
        <v>63</v>
      </c>
      <c r="E1959" s="1">
        <v>46062</v>
      </c>
      <c r="F1959" t="s">
        <v>569</v>
      </c>
      <c r="G1959" t="s">
        <v>128</v>
      </c>
      <c r="H1959" s="2">
        <v>0.625</v>
      </c>
      <c r="I1959" s="2">
        <v>0.91666666666666663</v>
      </c>
      <c r="J1959" t="s">
        <v>451</v>
      </c>
      <c r="L1959" t="s">
        <v>473</v>
      </c>
      <c r="M1959" t="s">
        <v>78</v>
      </c>
      <c r="N1959" t="s">
        <v>1062</v>
      </c>
      <c r="O1959">
        <v>5950737</v>
      </c>
      <c r="Q1959" t="s">
        <v>455</v>
      </c>
      <c r="R1959" t="s">
        <v>314</v>
      </c>
      <c r="S1959" t="s">
        <v>52</v>
      </c>
      <c r="U1959">
        <v>889919</v>
      </c>
      <c r="V1959" s="3">
        <v>46057.522222222222</v>
      </c>
      <c r="W1959" t="s">
        <v>1064</v>
      </c>
      <c r="X1959" t="s">
        <v>1065</v>
      </c>
      <c r="Y1959" t="str">
        <f>"0423540683"</f>
        <v>0423540683</v>
      </c>
      <c r="Z1959" t="s">
        <v>1155</v>
      </c>
      <c r="AB1959" t="s">
        <v>459</v>
      </c>
      <c r="AD1959" t="s">
        <v>306</v>
      </c>
      <c r="AE1959" t="s">
        <v>460</v>
      </c>
      <c r="AF1959">
        <v>3058</v>
      </c>
      <c r="AG1959" t="s">
        <v>461</v>
      </c>
      <c r="AI1959" t="s">
        <v>59</v>
      </c>
      <c r="AL1959" t="s">
        <v>4511</v>
      </c>
      <c r="AN1959" s="3">
        <v>46062.913194444445</v>
      </c>
      <c r="AO1959" t="s">
        <v>1064</v>
      </c>
    </row>
    <row r="1960" spans="1:41" x14ac:dyDescent="0.3">
      <c r="A1960" t="s">
        <v>41</v>
      </c>
      <c r="B1960" t="s">
        <v>1452</v>
      </c>
      <c r="D1960" t="s">
        <v>246</v>
      </c>
      <c r="E1960" s="1">
        <v>46062</v>
      </c>
      <c r="F1960" t="s">
        <v>569</v>
      </c>
      <c r="G1960" t="s">
        <v>128</v>
      </c>
      <c r="H1960" s="2">
        <v>0.625</v>
      </c>
      <c r="I1960" s="2">
        <v>0.97916666666666663</v>
      </c>
      <c r="J1960" t="s">
        <v>296</v>
      </c>
      <c r="L1960" t="s">
        <v>1453</v>
      </c>
      <c r="M1960" t="s">
        <v>1454</v>
      </c>
      <c r="N1960" t="s">
        <v>1455</v>
      </c>
      <c r="O1960">
        <v>5951941</v>
      </c>
      <c r="Q1960" t="s">
        <v>1456</v>
      </c>
      <c r="R1960" t="s">
        <v>573</v>
      </c>
      <c r="S1960" t="s">
        <v>52</v>
      </c>
      <c r="T1960" t="s">
        <v>252</v>
      </c>
      <c r="U1960">
        <v>890650</v>
      </c>
      <c r="V1960" s="3">
        <v>46069.638888888891</v>
      </c>
      <c r="W1960" t="s">
        <v>1457</v>
      </c>
      <c r="X1960" t="s">
        <v>1458</v>
      </c>
      <c r="Y1960" t="str">
        <f>"0413847722"</f>
        <v>0413847722</v>
      </c>
      <c r="Z1960" t="s">
        <v>585</v>
      </c>
      <c r="AA1960" s="1">
        <v>46097</v>
      </c>
      <c r="AB1960" t="s">
        <v>1459</v>
      </c>
      <c r="AD1960" t="s">
        <v>41</v>
      </c>
      <c r="AE1960" t="s">
        <v>1460</v>
      </c>
      <c r="AF1960">
        <v>4740</v>
      </c>
      <c r="AG1960" t="s">
        <v>1456</v>
      </c>
      <c r="AI1960" t="s">
        <v>59</v>
      </c>
      <c r="AJ1960" t="str">
        <f>"0050076628"</f>
        <v>0050076628</v>
      </c>
      <c r="AN1960" s="3">
        <v>46069.638888888891</v>
      </c>
      <c r="AO1960" t="s">
        <v>573</v>
      </c>
    </row>
    <row r="1961" spans="1:41" x14ac:dyDescent="0.3">
      <c r="A1961" t="s">
        <v>168</v>
      </c>
      <c r="B1961" t="s">
        <v>1178</v>
      </c>
      <c r="C1961" t="s">
        <v>100</v>
      </c>
      <c r="D1961" t="s">
        <v>127</v>
      </c>
      <c r="E1961" s="1">
        <v>46062</v>
      </c>
      <c r="F1961" t="s">
        <v>569</v>
      </c>
      <c r="G1961" t="s">
        <v>128</v>
      </c>
      <c r="H1961" s="2">
        <v>0.66666666666666663</v>
      </c>
      <c r="I1961" s="2">
        <v>0.83333333333333337</v>
      </c>
      <c r="J1961" t="s">
        <v>100</v>
      </c>
      <c r="L1961" t="s">
        <v>100</v>
      </c>
      <c r="M1961" t="s">
        <v>2768</v>
      </c>
      <c r="N1961" t="s">
        <v>2769</v>
      </c>
      <c r="O1961">
        <v>20874</v>
      </c>
      <c r="Q1961" t="s">
        <v>2602</v>
      </c>
      <c r="R1961" t="s">
        <v>176</v>
      </c>
      <c r="S1961" t="s">
        <v>52</v>
      </c>
      <c r="U1961">
        <v>889902</v>
      </c>
      <c r="V1961" s="3">
        <v>46062.509027777778</v>
      </c>
      <c r="W1961" t="s">
        <v>2770</v>
      </c>
      <c r="X1961" t="s">
        <v>2771</v>
      </c>
      <c r="Y1961" t="str">
        <f>"0403681516"</f>
        <v>0403681516</v>
      </c>
      <c r="Z1961" t="s">
        <v>70</v>
      </c>
      <c r="AA1961" s="1">
        <v>46062</v>
      </c>
      <c r="AB1961" t="s">
        <v>1184</v>
      </c>
      <c r="AD1961" t="s">
        <v>168</v>
      </c>
      <c r="AE1961" t="s">
        <v>1185</v>
      </c>
      <c r="AF1961">
        <v>5066</v>
      </c>
      <c r="AG1961" t="s">
        <v>2602</v>
      </c>
      <c r="AI1961" t="s">
        <v>59</v>
      </c>
      <c r="AL1961" t="s">
        <v>4512</v>
      </c>
      <c r="AN1961" s="3">
        <v>46062.852777777778</v>
      </c>
      <c r="AO1961" t="s">
        <v>2770</v>
      </c>
    </row>
    <row r="1962" spans="1:41" x14ac:dyDescent="0.3">
      <c r="A1962" t="s">
        <v>168</v>
      </c>
      <c r="B1962" t="s">
        <v>400</v>
      </c>
      <c r="C1962" t="s">
        <v>100</v>
      </c>
      <c r="D1962" t="s">
        <v>401</v>
      </c>
      <c r="E1962" s="1">
        <v>46062</v>
      </c>
      <c r="F1962" t="s">
        <v>569</v>
      </c>
      <c r="G1962" t="s">
        <v>128</v>
      </c>
      <c r="H1962" s="2">
        <v>0.66666666666666663</v>
      </c>
      <c r="I1962" s="2">
        <v>0</v>
      </c>
      <c r="J1962" t="s">
        <v>100</v>
      </c>
      <c r="L1962" t="s">
        <v>100</v>
      </c>
      <c r="M1962" t="s">
        <v>402</v>
      </c>
      <c r="N1962" t="s">
        <v>403</v>
      </c>
      <c r="O1962">
        <v>21398</v>
      </c>
      <c r="Q1962" t="s">
        <v>404</v>
      </c>
      <c r="R1962" t="s">
        <v>176</v>
      </c>
      <c r="S1962" t="s">
        <v>52</v>
      </c>
      <c r="U1962">
        <v>889926</v>
      </c>
      <c r="V1962" s="3">
        <v>46062.555555555555</v>
      </c>
      <c r="W1962" t="s">
        <v>405</v>
      </c>
      <c r="X1962" t="s">
        <v>406</v>
      </c>
      <c r="Y1962" t="str">
        <f>"0423877972"</f>
        <v>0423877972</v>
      </c>
      <c r="Z1962" t="s">
        <v>70</v>
      </c>
      <c r="AA1962" s="1">
        <v>46062</v>
      </c>
      <c r="AB1962" t="s">
        <v>407</v>
      </c>
      <c r="AD1962" t="s">
        <v>168</v>
      </c>
      <c r="AE1962" t="s">
        <v>347</v>
      </c>
      <c r="AF1962">
        <v>5042</v>
      </c>
      <c r="AG1962" t="s">
        <v>3069</v>
      </c>
      <c r="AI1962" t="s">
        <v>59</v>
      </c>
      <c r="AL1962" t="s">
        <v>3231</v>
      </c>
      <c r="AN1962" s="3">
        <v>46063.015972222223</v>
      </c>
      <c r="AO1962" t="s">
        <v>405</v>
      </c>
    </row>
    <row r="1963" spans="1:41" x14ac:dyDescent="0.3">
      <c r="A1963" t="s">
        <v>61</v>
      </c>
      <c r="B1963" t="s">
        <v>158</v>
      </c>
      <c r="C1963" t="s">
        <v>43</v>
      </c>
      <c r="D1963" t="s">
        <v>127</v>
      </c>
      <c r="E1963" s="1">
        <v>46062</v>
      </c>
      <c r="F1963" t="s">
        <v>569</v>
      </c>
      <c r="G1963" t="s">
        <v>128</v>
      </c>
      <c r="H1963" s="2">
        <v>0.66666666666666663</v>
      </c>
      <c r="I1963" s="2">
        <v>0.99861111111111112</v>
      </c>
      <c r="J1963" t="s">
        <v>185</v>
      </c>
      <c r="L1963" t="s">
        <v>186</v>
      </c>
      <c r="M1963" t="s">
        <v>1291</v>
      </c>
      <c r="N1963" t="s">
        <v>1292</v>
      </c>
      <c r="O1963">
        <v>5952161</v>
      </c>
      <c r="Q1963" t="s">
        <v>162</v>
      </c>
      <c r="R1963" t="s">
        <v>67</v>
      </c>
      <c r="S1963" t="s">
        <v>52</v>
      </c>
      <c r="U1963">
        <v>889912</v>
      </c>
      <c r="V1963" s="3">
        <v>46062.565972222219</v>
      </c>
      <c r="W1963" t="s">
        <v>1293</v>
      </c>
      <c r="X1963" t="s">
        <v>1294</v>
      </c>
      <c r="Y1963" t="str">
        <f>"0403798895"</f>
        <v>0403798895</v>
      </c>
      <c r="Z1963" t="s">
        <v>70</v>
      </c>
      <c r="AA1963" s="1">
        <v>46062</v>
      </c>
      <c r="AB1963" t="s">
        <v>166</v>
      </c>
      <c r="AD1963" t="s">
        <v>61</v>
      </c>
      <c r="AE1963" t="s">
        <v>167</v>
      </c>
      <c r="AF1963">
        <v>2011</v>
      </c>
      <c r="AG1963" t="s">
        <v>162</v>
      </c>
      <c r="AI1963" t="s">
        <v>59</v>
      </c>
      <c r="AL1963" t="s">
        <v>4513</v>
      </c>
      <c r="AN1963" s="3">
        <v>46062.881944444445</v>
      </c>
      <c r="AO1963" t="s">
        <v>1293</v>
      </c>
    </row>
    <row r="1964" spans="1:41" x14ac:dyDescent="0.3">
      <c r="A1964" t="s">
        <v>168</v>
      </c>
      <c r="B1964" t="s">
        <v>1312</v>
      </c>
      <c r="C1964" t="s">
        <v>1313</v>
      </c>
      <c r="D1964" t="s">
        <v>268</v>
      </c>
      <c r="E1964" s="1">
        <v>46062</v>
      </c>
      <c r="F1964" t="s">
        <v>569</v>
      </c>
      <c r="G1964" t="s">
        <v>485</v>
      </c>
      <c r="H1964" s="2">
        <v>0.79166666666666663</v>
      </c>
      <c r="I1964" s="2">
        <v>0.3125</v>
      </c>
      <c r="J1964" t="s">
        <v>296</v>
      </c>
      <c r="K1964" t="s">
        <v>849</v>
      </c>
      <c r="L1964" t="s">
        <v>47</v>
      </c>
      <c r="M1964" t="s">
        <v>1315</v>
      </c>
      <c r="N1964" t="s">
        <v>1316</v>
      </c>
      <c r="O1964">
        <v>22278</v>
      </c>
      <c r="Q1964" t="s">
        <v>413</v>
      </c>
      <c r="R1964" t="s">
        <v>176</v>
      </c>
      <c r="S1964" t="s">
        <v>52</v>
      </c>
      <c r="U1964">
        <v>889931</v>
      </c>
      <c r="V1964" s="3">
        <v>46059.415972222225</v>
      </c>
      <c r="W1964" t="s">
        <v>1317</v>
      </c>
      <c r="X1964" t="s">
        <v>1318</v>
      </c>
      <c r="Y1964" t="str">
        <f>"0413259096"</f>
        <v>0413259096</v>
      </c>
      <c r="Z1964" t="s">
        <v>70</v>
      </c>
      <c r="AA1964" s="1">
        <v>46062</v>
      </c>
      <c r="AB1964" t="s">
        <v>1312</v>
      </c>
      <c r="AC1964" t="s">
        <v>1319</v>
      </c>
      <c r="AD1964" t="s">
        <v>168</v>
      </c>
      <c r="AE1964" t="s">
        <v>1320</v>
      </c>
      <c r="AF1964">
        <v>5417</v>
      </c>
      <c r="AI1964" t="s">
        <v>59</v>
      </c>
      <c r="AL1964" t="s">
        <v>4514</v>
      </c>
      <c r="AM1964" t="s">
        <v>4515</v>
      </c>
      <c r="AN1964" s="3">
        <v>46063.324305555558</v>
      </c>
      <c r="AO1964" t="s">
        <v>1317</v>
      </c>
    </row>
    <row r="1965" spans="1:41" x14ac:dyDescent="0.3">
      <c r="A1965" t="s">
        <v>61</v>
      </c>
      <c r="B1965" t="s">
        <v>507</v>
      </c>
      <c r="C1965" t="s">
        <v>2182</v>
      </c>
      <c r="D1965" t="s">
        <v>63</v>
      </c>
      <c r="E1965" s="1">
        <v>46062</v>
      </c>
      <c r="F1965" t="s">
        <v>569</v>
      </c>
      <c r="G1965" t="s">
        <v>485</v>
      </c>
      <c r="H1965" s="2">
        <v>0.79166666666666663</v>
      </c>
      <c r="I1965" s="2">
        <v>0.3125</v>
      </c>
      <c r="J1965" t="s">
        <v>590</v>
      </c>
      <c r="L1965" t="s">
        <v>487</v>
      </c>
      <c r="M1965" t="s">
        <v>1463</v>
      </c>
      <c r="N1965" t="s">
        <v>1464</v>
      </c>
      <c r="O1965">
        <v>22756</v>
      </c>
      <c r="Q1965" t="s">
        <v>1310</v>
      </c>
      <c r="R1965" t="s">
        <v>132</v>
      </c>
      <c r="S1965" t="s">
        <v>52</v>
      </c>
      <c r="U1965">
        <v>889932</v>
      </c>
      <c r="V1965" s="3">
        <v>46029.584027777775</v>
      </c>
      <c r="W1965" t="s">
        <v>1466</v>
      </c>
      <c r="X1965" t="s">
        <v>1467</v>
      </c>
      <c r="Y1965" t="str">
        <f>"0416856891"</f>
        <v>0416856891</v>
      </c>
      <c r="Z1965" t="s">
        <v>4516</v>
      </c>
      <c r="AB1965" t="s">
        <v>514</v>
      </c>
      <c r="AD1965" t="s">
        <v>61</v>
      </c>
      <c r="AE1965" t="s">
        <v>515</v>
      </c>
      <c r="AF1965">
        <v>2086</v>
      </c>
      <c r="AG1965" t="s">
        <v>516</v>
      </c>
      <c r="AI1965" t="s">
        <v>59</v>
      </c>
      <c r="AL1965" t="s">
        <v>4193</v>
      </c>
      <c r="AN1965" s="3">
        <v>46063.324999999997</v>
      </c>
      <c r="AO1965" t="s">
        <v>1466</v>
      </c>
    </row>
    <row r="1966" spans="1:41" x14ac:dyDescent="0.3">
      <c r="A1966" t="s">
        <v>306</v>
      </c>
      <c r="B1966" t="s">
        <v>528</v>
      </c>
      <c r="C1966" t="s">
        <v>529</v>
      </c>
      <c r="D1966" t="s">
        <v>63</v>
      </c>
      <c r="E1966" s="1">
        <v>46062</v>
      </c>
      <c r="F1966" t="s">
        <v>569</v>
      </c>
      <c r="G1966" t="s">
        <v>485</v>
      </c>
      <c r="H1966" s="2">
        <v>0.79166666666666663</v>
      </c>
      <c r="I1966" s="2">
        <v>0.3125</v>
      </c>
      <c r="J1966" t="s">
        <v>529</v>
      </c>
      <c r="L1966" t="s">
        <v>531</v>
      </c>
      <c r="M1966" t="s">
        <v>532</v>
      </c>
      <c r="N1966" t="s">
        <v>533</v>
      </c>
      <c r="O1966">
        <v>20495</v>
      </c>
      <c r="Q1966" t="s">
        <v>539</v>
      </c>
      <c r="R1966" t="s">
        <v>1248</v>
      </c>
      <c r="S1966" t="s">
        <v>52</v>
      </c>
      <c r="U1966">
        <v>889929</v>
      </c>
      <c r="V1966" s="3">
        <v>46058.761805555558</v>
      </c>
      <c r="W1966" t="s">
        <v>535</v>
      </c>
      <c r="X1966" t="s">
        <v>536</v>
      </c>
      <c r="Y1966" t="str">
        <f>"0447625522"</f>
        <v>0447625522</v>
      </c>
      <c r="Z1966" t="s">
        <v>70</v>
      </c>
      <c r="AA1966" s="1">
        <v>46062</v>
      </c>
      <c r="AB1966" t="s">
        <v>537</v>
      </c>
      <c r="AD1966" t="s">
        <v>306</v>
      </c>
      <c r="AE1966" t="s">
        <v>538</v>
      </c>
      <c r="AF1966">
        <v>3152</v>
      </c>
      <c r="AG1966" t="s">
        <v>2415</v>
      </c>
      <c r="AI1966" t="s">
        <v>59</v>
      </c>
      <c r="AL1966" t="s">
        <v>4517</v>
      </c>
      <c r="AN1966" s="3">
        <v>46063.28402777778</v>
      </c>
      <c r="AO1966" t="s">
        <v>535</v>
      </c>
    </row>
    <row r="1967" spans="1:41" x14ac:dyDescent="0.3">
      <c r="A1967" t="s">
        <v>168</v>
      </c>
      <c r="B1967" t="s">
        <v>266</v>
      </c>
      <c r="D1967" t="s">
        <v>268</v>
      </c>
      <c r="E1967" s="1">
        <v>46062</v>
      </c>
      <c r="F1967" t="s">
        <v>569</v>
      </c>
      <c r="G1967" t="s">
        <v>485</v>
      </c>
      <c r="H1967" s="2">
        <v>0.875</v>
      </c>
      <c r="I1967" s="2">
        <v>0.3125</v>
      </c>
      <c r="J1967" t="s">
        <v>296</v>
      </c>
      <c r="K1967" t="s">
        <v>297</v>
      </c>
      <c r="L1967" t="s">
        <v>2603</v>
      </c>
      <c r="M1967" t="s">
        <v>1365</v>
      </c>
      <c r="N1967" t="s">
        <v>1365</v>
      </c>
      <c r="O1967">
        <v>22974</v>
      </c>
      <c r="Q1967" t="s">
        <v>274</v>
      </c>
      <c r="R1967" t="s">
        <v>176</v>
      </c>
      <c r="S1967" t="s">
        <v>52</v>
      </c>
      <c r="U1967">
        <v>889940</v>
      </c>
      <c r="V1967" s="3">
        <v>45993.594444444447</v>
      </c>
      <c r="W1967" t="s">
        <v>2604</v>
      </c>
      <c r="X1967" t="s">
        <v>2605</v>
      </c>
      <c r="Y1967" t="str">
        <f>"0426662717"</f>
        <v>0426662717</v>
      </c>
      <c r="Z1967" t="s">
        <v>70</v>
      </c>
      <c r="AB1967" t="s">
        <v>277</v>
      </c>
      <c r="AC1967" t="s">
        <v>278</v>
      </c>
      <c r="AD1967" t="s">
        <v>168</v>
      </c>
      <c r="AE1967" t="s">
        <v>279</v>
      </c>
      <c r="AF1967">
        <v>5092</v>
      </c>
      <c r="AG1967" t="s">
        <v>274</v>
      </c>
      <c r="AI1967" t="s">
        <v>59</v>
      </c>
      <c r="AL1967" t="s">
        <v>4518</v>
      </c>
      <c r="AM1967" t="s">
        <v>281</v>
      </c>
      <c r="AN1967" s="3">
        <v>46063.333333333336</v>
      </c>
      <c r="AO1967" t="s">
        <v>2604</v>
      </c>
    </row>
    <row r="1968" spans="1:41" x14ac:dyDescent="0.3">
      <c r="A1968" t="s">
        <v>168</v>
      </c>
      <c r="B1968" t="s">
        <v>4519</v>
      </c>
      <c r="C1968" t="s">
        <v>296</v>
      </c>
      <c r="D1968" t="s">
        <v>268</v>
      </c>
      <c r="E1968" s="1">
        <v>46062</v>
      </c>
      <c r="F1968" t="s">
        <v>569</v>
      </c>
      <c r="G1968" t="s">
        <v>485</v>
      </c>
      <c r="H1968" s="2">
        <v>0.875</v>
      </c>
      <c r="I1968" s="2">
        <v>0.3125</v>
      </c>
      <c r="J1968" t="s">
        <v>296</v>
      </c>
      <c r="K1968" t="s">
        <v>4264</v>
      </c>
      <c r="L1968" t="s">
        <v>47</v>
      </c>
      <c r="M1968" t="s">
        <v>3681</v>
      </c>
      <c r="N1968" t="s">
        <v>3682</v>
      </c>
      <c r="O1968">
        <v>20565</v>
      </c>
      <c r="Q1968" t="s">
        <v>413</v>
      </c>
      <c r="R1968" t="s">
        <v>231</v>
      </c>
      <c r="S1968" t="s">
        <v>52</v>
      </c>
      <c r="U1968">
        <v>889985</v>
      </c>
      <c r="V1968" s="3">
        <v>46062.411805555559</v>
      </c>
      <c r="W1968" t="s">
        <v>3683</v>
      </c>
      <c r="X1968" t="s">
        <v>3684</v>
      </c>
      <c r="Y1968" t="str">
        <f>"0422285624"</f>
        <v>0422285624</v>
      </c>
      <c r="Z1968" t="s">
        <v>70</v>
      </c>
      <c r="AA1968" s="1">
        <v>46062</v>
      </c>
      <c r="AB1968" t="s">
        <v>4520</v>
      </c>
      <c r="AC1968" t="s">
        <v>4521</v>
      </c>
      <c r="AD1968" t="s">
        <v>168</v>
      </c>
      <c r="AE1968" t="s">
        <v>4522</v>
      </c>
      <c r="AF1968">
        <v>5374</v>
      </c>
      <c r="AI1968" t="s">
        <v>59</v>
      </c>
      <c r="AL1968" t="s">
        <v>4523</v>
      </c>
      <c r="AM1968" t="s">
        <v>4524</v>
      </c>
      <c r="AN1968" s="3">
        <v>46063.559027777781</v>
      </c>
      <c r="AO1968" t="s">
        <v>3683</v>
      </c>
    </row>
    <row r="1969" spans="1:41" x14ac:dyDescent="0.3">
      <c r="A1969" t="s">
        <v>168</v>
      </c>
      <c r="B1969" t="s">
        <v>336</v>
      </c>
      <c r="D1969" t="s">
        <v>268</v>
      </c>
      <c r="E1969" s="1">
        <v>46062</v>
      </c>
      <c r="F1969" t="s">
        <v>569</v>
      </c>
      <c r="G1969" t="s">
        <v>485</v>
      </c>
      <c r="H1969" s="2">
        <v>0.875</v>
      </c>
      <c r="I1969" s="2">
        <v>0.3125</v>
      </c>
      <c r="J1969" t="s">
        <v>296</v>
      </c>
      <c r="K1969" t="s">
        <v>338</v>
      </c>
      <c r="L1969" t="s">
        <v>522</v>
      </c>
      <c r="M1969" t="s">
        <v>523</v>
      </c>
      <c r="N1969" t="s">
        <v>524</v>
      </c>
      <c r="O1969">
        <v>5951086</v>
      </c>
      <c r="P1969" t="s">
        <v>338</v>
      </c>
      <c r="Q1969" t="s">
        <v>342</v>
      </c>
      <c r="R1969" t="s">
        <v>176</v>
      </c>
      <c r="S1969" t="s">
        <v>52</v>
      </c>
      <c r="U1969">
        <v>889922</v>
      </c>
      <c r="V1969" s="3">
        <v>46050.395138888889</v>
      </c>
      <c r="W1969" t="s">
        <v>525</v>
      </c>
      <c r="X1969" t="s">
        <v>526</v>
      </c>
      <c r="Y1969" t="str">
        <f>"0415251474"</f>
        <v>0415251474</v>
      </c>
      <c r="Z1969" t="s">
        <v>2821</v>
      </c>
      <c r="AB1969" t="s">
        <v>346</v>
      </c>
      <c r="AD1969" t="s">
        <v>168</v>
      </c>
      <c r="AE1969" t="s">
        <v>347</v>
      </c>
      <c r="AF1969">
        <v>5042</v>
      </c>
      <c r="AG1969" t="s">
        <v>342</v>
      </c>
      <c r="AI1969" t="s">
        <v>59</v>
      </c>
      <c r="AL1969" t="s">
        <v>4525</v>
      </c>
      <c r="AM1969" t="s">
        <v>349</v>
      </c>
      <c r="AN1969" s="3">
        <v>46062.927083333336</v>
      </c>
      <c r="AO1969" t="s">
        <v>525</v>
      </c>
    </row>
    <row r="1970" spans="1:41" x14ac:dyDescent="0.3">
      <c r="A1970" t="s">
        <v>306</v>
      </c>
      <c r="B1970" t="s">
        <v>1238</v>
      </c>
      <c r="C1970" t="s">
        <v>529</v>
      </c>
      <c r="D1970" t="s">
        <v>90</v>
      </c>
      <c r="E1970" s="1">
        <v>46062</v>
      </c>
      <c r="F1970" t="s">
        <v>569</v>
      </c>
      <c r="G1970" t="s">
        <v>485</v>
      </c>
      <c r="H1970" s="2">
        <v>0.89583333333333337</v>
      </c>
      <c r="I1970" s="2">
        <v>0.3125</v>
      </c>
      <c r="J1970" t="s">
        <v>529</v>
      </c>
      <c r="L1970" t="s">
        <v>2161</v>
      </c>
      <c r="M1970" t="s">
        <v>129</v>
      </c>
      <c r="N1970" t="s">
        <v>2162</v>
      </c>
      <c r="O1970">
        <v>5951884</v>
      </c>
      <c r="Q1970" t="s">
        <v>1245</v>
      </c>
      <c r="R1970" t="s">
        <v>1248</v>
      </c>
      <c r="S1970" t="s">
        <v>52</v>
      </c>
      <c r="U1970">
        <v>889928</v>
      </c>
      <c r="V1970" s="3">
        <v>46062.81527777778</v>
      </c>
      <c r="W1970" t="s">
        <v>2163</v>
      </c>
      <c r="X1970" t="s">
        <v>2164</v>
      </c>
      <c r="Y1970" t="str">
        <f>"0451956964"</f>
        <v>0451956964</v>
      </c>
      <c r="Z1970" t="s">
        <v>70</v>
      </c>
      <c r="AA1970" s="1">
        <v>46062</v>
      </c>
      <c r="AB1970" t="s">
        <v>1243</v>
      </c>
      <c r="AD1970" t="s">
        <v>306</v>
      </c>
      <c r="AE1970" t="s">
        <v>1244</v>
      </c>
      <c r="AF1970">
        <v>3065</v>
      </c>
      <c r="AG1970" t="s">
        <v>1245</v>
      </c>
      <c r="AI1970" t="s">
        <v>59</v>
      </c>
      <c r="AL1970" t="s">
        <v>87</v>
      </c>
      <c r="AN1970" s="3">
        <v>46063.272222222222</v>
      </c>
      <c r="AO1970" t="s">
        <v>2163</v>
      </c>
    </row>
    <row r="1971" spans="1:41" x14ac:dyDescent="0.3">
      <c r="A1971" t="s">
        <v>41</v>
      </c>
      <c r="B1971" t="s">
        <v>632</v>
      </c>
      <c r="C1971" t="s">
        <v>296</v>
      </c>
      <c r="D1971" t="s">
        <v>246</v>
      </c>
      <c r="E1971" s="1">
        <v>46062</v>
      </c>
      <c r="F1971" t="s">
        <v>569</v>
      </c>
      <c r="G1971" t="s">
        <v>485</v>
      </c>
      <c r="H1971" s="2">
        <v>0.9375</v>
      </c>
      <c r="I1971" s="2">
        <v>0.29166666666666669</v>
      </c>
      <c r="J1971" t="s">
        <v>296</v>
      </c>
      <c r="K1971" t="s">
        <v>2096</v>
      </c>
      <c r="L1971" t="s">
        <v>428</v>
      </c>
      <c r="M1971" t="s">
        <v>554</v>
      </c>
      <c r="N1971" t="s">
        <v>555</v>
      </c>
      <c r="O1971">
        <v>5950685</v>
      </c>
      <c r="Q1971" t="s">
        <v>2097</v>
      </c>
      <c r="R1971" t="s">
        <v>51</v>
      </c>
      <c r="S1971" t="s">
        <v>52</v>
      </c>
      <c r="U1971">
        <v>889939</v>
      </c>
      <c r="V1971" s="3">
        <v>46056.49722222222</v>
      </c>
      <c r="W1971" t="s">
        <v>557</v>
      </c>
      <c r="X1971" t="s">
        <v>558</v>
      </c>
      <c r="Y1971" t="str">
        <f>"0431966228"</f>
        <v>0431966228</v>
      </c>
      <c r="Z1971" t="s">
        <v>1201</v>
      </c>
      <c r="AB1971" t="s">
        <v>640</v>
      </c>
      <c r="AD1971" t="s">
        <v>41</v>
      </c>
      <c r="AE1971" t="s">
        <v>641</v>
      </c>
      <c r="AF1971">
        <v>4305</v>
      </c>
      <c r="AG1971" t="s">
        <v>2098</v>
      </c>
      <c r="AI1971" t="s">
        <v>59</v>
      </c>
      <c r="AL1971" t="s">
        <v>1407</v>
      </c>
      <c r="AN1971" s="3">
        <v>46063.332638888889</v>
      </c>
      <c r="AO1971" t="s">
        <v>557</v>
      </c>
    </row>
    <row r="1972" spans="1:41" x14ac:dyDescent="0.3">
      <c r="A1972" t="s">
        <v>41</v>
      </c>
      <c r="B1972" t="s">
        <v>1557</v>
      </c>
      <c r="C1972" t="s">
        <v>3390</v>
      </c>
      <c r="D1972" t="s">
        <v>63</v>
      </c>
      <c r="E1972" s="1">
        <v>46062</v>
      </c>
      <c r="F1972" t="s">
        <v>569</v>
      </c>
      <c r="G1972" t="s">
        <v>485</v>
      </c>
      <c r="H1972" s="2">
        <v>0.9375</v>
      </c>
      <c r="I1972" s="2">
        <v>0.3125</v>
      </c>
      <c r="J1972" t="s">
        <v>464</v>
      </c>
      <c r="L1972" t="s">
        <v>540</v>
      </c>
      <c r="M1972" t="s">
        <v>1365</v>
      </c>
      <c r="N1972" t="s">
        <v>1366</v>
      </c>
      <c r="O1972">
        <v>5952403</v>
      </c>
      <c r="Q1972" t="s">
        <v>3873</v>
      </c>
      <c r="R1972" t="s">
        <v>500</v>
      </c>
      <c r="S1972" t="s">
        <v>52</v>
      </c>
      <c r="U1972">
        <v>889956</v>
      </c>
      <c r="V1972" s="3">
        <v>46062.888194444444</v>
      </c>
      <c r="W1972" t="s">
        <v>1368</v>
      </c>
      <c r="X1972" t="s">
        <v>1369</v>
      </c>
      <c r="Y1972" t="str">
        <f>"0426350044"</f>
        <v>0426350044</v>
      </c>
      <c r="Z1972" t="s">
        <v>70</v>
      </c>
      <c r="AA1972" s="1">
        <v>46062</v>
      </c>
      <c r="AB1972" t="s">
        <v>1562</v>
      </c>
      <c r="AD1972" t="s">
        <v>41</v>
      </c>
      <c r="AE1972" t="s">
        <v>1563</v>
      </c>
      <c r="AF1972">
        <v>4109</v>
      </c>
      <c r="AG1972" t="s">
        <v>3873</v>
      </c>
      <c r="AI1972" t="s">
        <v>59</v>
      </c>
      <c r="AL1972" t="s">
        <v>4526</v>
      </c>
      <c r="AM1972" t="s">
        <v>4527</v>
      </c>
      <c r="AN1972" s="3">
        <v>46063.354861111111</v>
      </c>
      <c r="AO1972" t="s">
        <v>1368</v>
      </c>
    </row>
    <row r="1973" spans="1:41" x14ac:dyDescent="0.3">
      <c r="A1973" t="s">
        <v>41</v>
      </c>
      <c r="B1973" t="s">
        <v>426</v>
      </c>
      <c r="C1973" t="s">
        <v>296</v>
      </c>
      <c r="D1973" t="s">
        <v>246</v>
      </c>
      <c r="E1973" s="1">
        <v>46062</v>
      </c>
      <c r="F1973" t="s">
        <v>569</v>
      </c>
      <c r="G1973" t="s">
        <v>485</v>
      </c>
      <c r="H1973" s="2">
        <v>0.94791666666666663</v>
      </c>
      <c r="I1973" s="2">
        <v>0.30208333333333331</v>
      </c>
      <c r="J1973" t="s">
        <v>464</v>
      </c>
      <c r="L1973" t="s">
        <v>540</v>
      </c>
      <c r="M1973" t="s">
        <v>541</v>
      </c>
      <c r="N1973" t="s">
        <v>542</v>
      </c>
      <c r="O1973">
        <v>402297</v>
      </c>
      <c r="Q1973" t="s">
        <v>431</v>
      </c>
      <c r="R1973" t="s">
        <v>1472</v>
      </c>
      <c r="S1973" t="s">
        <v>52</v>
      </c>
      <c r="U1973">
        <v>889954</v>
      </c>
      <c r="V1973" s="3">
        <v>46062.512499999997</v>
      </c>
      <c r="W1973" t="s">
        <v>543</v>
      </c>
      <c r="X1973" t="s">
        <v>544</v>
      </c>
      <c r="Y1973" t="str">
        <f>"0434044099"</f>
        <v>0434044099</v>
      </c>
      <c r="Z1973" t="s">
        <v>70</v>
      </c>
      <c r="AA1973" s="1">
        <v>46062</v>
      </c>
      <c r="AB1973" t="s">
        <v>434</v>
      </c>
      <c r="AD1973" t="s">
        <v>41</v>
      </c>
      <c r="AE1973" t="s">
        <v>435</v>
      </c>
      <c r="AF1973">
        <v>4163</v>
      </c>
      <c r="AG1973" t="s">
        <v>431</v>
      </c>
      <c r="AI1973" t="s">
        <v>59</v>
      </c>
      <c r="AL1973" t="s">
        <v>87</v>
      </c>
      <c r="AN1973" s="3">
        <v>46063.350694444445</v>
      </c>
      <c r="AO1973" t="s">
        <v>543</v>
      </c>
    </row>
    <row r="1974" spans="1:41" x14ac:dyDescent="0.3">
      <c r="A1974" t="s">
        <v>41</v>
      </c>
      <c r="B1974" t="s">
        <v>426</v>
      </c>
      <c r="C1974" t="s">
        <v>296</v>
      </c>
      <c r="D1974" t="s">
        <v>246</v>
      </c>
      <c r="E1974" s="1">
        <v>46062</v>
      </c>
      <c r="F1974" t="s">
        <v>569</v>
      </c>
      <c r="G1974" t="s">
        <v>485</v>
      </c>
      <c r="H1974" s="2">
        <v>0.94791666666666663</v>
      </c>
      <c r="I1974" s="2">
        <v>0.30208333333333331</v>
      </c>
      <c r="J1974" t="s">
        <v>464</v>
      </c>
      <c r="L1974" t="s">
        <v>464</v>
      </c>
      <c r="M1974" t="s">
        <v>546</v>
      </c>
      <c r="N1974" t="s">
        <v>547</v>
      </c>
      <c r="O1974">
        <v>5952134</v>
      </c>
      <c r="Q1974" t="s">
        <v>431</v>
      </c>
      <c r="R1974" t="s">
        <v>1472</v>
      </c>
      <c r="S1974" t="s">
        <v>52</v>
      </c>
      <c r="U1974">
        <v>889944</v>
      </c>
      <c r="V1974" s="3">
        <v>46062.512499999997</v>
      </c>
      <c r="W1974" t="s">
        <v>548</v>
      </c>
      <c r="X1974" t="s">
        <v>549</v>
      </c>
      <c r="Y1974" t="str">
        <f>"0481487167"</f>
        <v>0481487167</v>
      </c>
      <c r="Z1974" t="s">
        <v>70</v>
      </c>
      <c r="AA1974" s="1">
        <v>46062</v>
      </c>
      <c r="AB1974" t="s">
        <v>434</v>
      </c>
      <c r="AD1974" t="s">
        <v>41</v>
      </c>
      <c r="AE1974" t="s">
        <v>435</v>
      </c>
      <c r="AF1974">
        <v>4163</v>
      </c>
      <c r="AG1974" t="s">
        <v>431</v>
      </c>
      <c r="AI1974" t="s">
        <v>59</v>
      </c>
      <c r="AL1974" t="s">
        <v>4528</v>
      </c>
      <c r="AN1974" s="3">
        <v>46063.342361111114</v>
      </c>
      <c r="AO1974" t="s">
        <v>548</v>
      </c>
    </row>
    <row r="1975" spans="1:41" x14ac:dyDescent="0.3">
      <c r="A1975" t="s">
        <v>41</v>
      </c>
      <c r="B1975" t="s">
        <v>426</v>
      </c>
      <c r="C1975" t="s">
        <v>296</v>
      </c>
      <c r="D1975" t="s">
        <v>246</v>
      </c>
      <c r="E1975" s="1">
        <v>46062</v>
      </c>
      <c r="F1975" t="s">
        <v>569</v>
      </c>
      <c r="G1975" t="s">
        <v>485</v>
      </c>
      <c r="H1975" s="2">
        <v>0.94791666666666663</v>
      </c>
      <c r="I1975" s="2">
        <v>0.30208333333333331</v>
      </c>
      <c r="J1975" t="s">
        <v>464</v>
      </c>
      <c r="L1975" t="s">
        <v>540</v>
      </c>
      <c r="M1975" t="s">
        <v>3599</v>
      </c>
      <c r="N1975" t="s">
        <v>3600</v>
      </c>
      <c r="O1975">
        <v>5952151</v>
      </c>
      <c r="Q1975" t="s">
        <v>431</v>
      </c>
      <c r="R1975" t="s">
        <v>1472</v>
      </c>
      <c r="S1975" t="s">
        <v>52</v>
      </c>
      <c r="U1975">
        <v>889955</v>
      </c>
      <c r="V1975" s="3">
        <v>46062.512499999997</v>
      </c>
      <c r="W1975" t="s">
        <v>3601</v>
      </c>
      <c r="X1975" t="s">
        <v>3602</v>
      </c>
      <c r="Y1975" t="str">
        <f>"0499779020"</f>
        <v>0499779020</v>
      </c>
      <c r="Z1975" t="s">
        <v>70</v>
      </c>
      <c r="AA1975" s="1">
        <v>46062</v>
      </c>
      <c r="AB1975" t="s">
        <v>434</v>
      </c>
      <c r="AD1975" t="s">
        <v>41</v>
      </c>
      <c r="AE1975" t="s">
        <v>435</v>
      </c>
      <c r="AF1975">
        <v>4163</v>
      </c>
      <c r="AG1975" t="s">
        <v>431</v>
      </c>
      <c r="AI1975" t="s">
        <v>59</v>
      </c>
      <c r="AL1975" t="s">
        <v>4529</v>
      </c>
      <c r="AN1975" s="3">
        <v>46063.350694444445</v>
      </c>
      <c r="AO1975" t="s">
        <v>3601</v>
      </c>
    </row>
    <row r="1976" spans="1:41" x14ac:dyDescent="0.3">
      <c r="A1976" t="s">
        <v>41</v>
      </c>
      <c r="B1976" t="s">
        <v>589</v>
      </c>
      <c r="C1976" t="s">
        <v>590</v>
      </c>
      <c r="D1976" t="s">
        <v>246</v>
      </c>
      <c r="E1976" s="1">
        <v>46032</v>
      </c>
      <c r="F1976" t="s">
        <v>1374</v>
      </c>
      <c r="G1976" t="s">
        <v>45</v>
      </c>
      <c r="H1976" s="2">
        <v>0.29166666666666669</v>
      </c>
      <c r="I1976" s="2">
        <v>0.64583333333333337</v>
      </c>
      <c r="J1976" t="s">
        <v>591</v>
      </c>
      <c r="L1976" t="s">
        <v>592</v>
      </c>
      <c r="M1976" t="s">
        <v>593</v>
      </c>
      <c r="N1976" t="s">
        <v>594</v>
      </c>
      <c r="O1976">
        <v>5952427</v>
      </c>
      <c r="P1976" t="s">
        <v>595</v>
      </c>
      <c r="Q1976" t="s">
        <v>596</v>
      </c>
      <c r="R1976" t="s">
        <v>392</v>
      </c>
      <c r="S1976" t="s">
        <v>52</v>
      </c>
      <c r="T1976" t="s">
        <v>252</v>
      </c>
      <c r="U1976">
        <v>886902</v>
      </c>
      <c r="V1976" s="3">
        <v>46035.52847222222</v>
      </c>
      <c r="W1976" t="s">
        <v>597</v>
      </c>
      <c r="X1976" t="s">
        <v>598</v>
      </c>
      <c r="Y1976" t="str">
        <f>"0432677728"</f>
        <v>0432677728</v>
      </c>
      <c r="Z1976" t="s">
        <v>290</v>
      </c>
      <c r="AA1976" s="1">
        <v>46054</v>
      </c>
      <c r="AB1976" t="s">
        <v>599</v>
      </c>
      <c r="AC1976" t="s">
        <v>600</v>
      </c>
      <c r="AD1976" t="s">
        <v>41</v>
      </c>
      <c r="AE1976" t="s">
        <v>600</v>
      </c>
      <c r="AF1976">
        <v>4610</v>
      </c>
      <c r="AG1976" t="s">
        <v>601</v>
      </c>
      <c r="AI1976" t="s">
        <v>59</v>
      </c>
      <c r="AJ1976" t="str">
        <f>"0050075752"</f>
        <v>0050075752</v>
      </c>
      <c r="AN1976" s="3">
        <v>46035.52847222222</v>
      </c>
      <c r="AO1976" t="s">
        <v>392</v>
      </c>
    </row>
    <row r="1977" spans="1:41" x14ac:dyDescent="0.3">
      <c r="A1977" t="s">
        <v>41</v>
      </c>
      <c r="B1977" t="s">
        <v>568</v>
      </c>
      <c r="C1977" t="s">
        <v>602</v>
      </c>
      <c r="D1977" t="s">
        <v>246</v>
      </c>
      <c r="E1977" s="1">
        <v>46032</v>
      </c>
      <c r="F1977" t="s">
        <v>1374</v>
      </c>
      <c r="G1977" t="s">
        <v>128</v>
      </c>
      <c r="H1977" s="2">
        <v>0.60416666666666663</v>
      </c>
      <c r="I1977" s="2">
        <v>0.95833333333333337</v>
      </c>
      <c r="J1977" t="s">
        <v>269</v>
      </c>
      <c r="L1977" t="s">
        <v>47</v>
      </c>
      <c r="M1977" t="s">
        <v>603</v>
      </c>
      <c r="N1977" t="s">
        <v>604</v>
      </c>
      <c r="O1977">
        <v>80</v>
      </c>
      <c r="P1977" t="s">
        <v>571</v>
      </c>
      <c r="Q1977" t="s">
        <v>572</v>
      </c>
      <c r="R1977" t="s">
        <v>573</v>
      </c>
      <c r="S1977" t="s">
        <v>52</v>
      </c>
      <c r="T1977" t="s">
        <v>252</v>
      </c>
      <c r="U1977">
        <v>886832</v>
      </c>
      <c r="V1977" s="3">
        <v>46034.605555555558</v>
      </c>
      <c r="W1977" t="s">
        <v>605</v>
      </c>
      <c r="X1977" t="s">
        <v>606</v>
      </c>
      <c r="Y1977" t="str">
        <f>"0414330986"</f>
        <v>0414330986</v>
      </c>
      <c r="Z1977" t="s">
        <v>290</v>
      </c>
      <c r="AA1977" s="1">
        <v>46068</v>
      </c>
      <c r="AB1977" t="s">
        <v>576</v>
      </c>
      <c r="AD1977" t="s">
        <v>41</v>
      </c>
      <c r="AE1977" t="s">
        <v>577</v>
      </c>
      <c r="AF1977">
        <v>4700</v>
      </c>
      <c r="AG1977" t="s">
        <v>572</v>
      </c>
      <c r="AI1977" t="s">
        <v>59</v>
      </c>
      <c r="AJ1977" t="str">
        <f>"0050075176"</f>
        <v>0050075176</v>
      </c>
      <c r="AN1977" s="3">
        <v>46034.605555555558</v>
      </c>
      <c r="AO1977" t="s">
        <v>573</v>
      </c>
    </row>
    <row r="1978" spans="1:41" x14ac:dyDescent="0.3">
      <c r="A1978" t="s">
        <v>61</v>
      </c>
      <c r="B1978" t="s">
        <v>62</v>
      </c>
      <c r="C1978" t="s">
        <v>43</v>
      </c>
      <c r="D1978" t="s">
        <v>63</v>
      </c>
      <c r="E1978" s="1">
        <v>46063</v>
      </c>
      <c r="F1978" t="s">
        <v>1376</v>
      </c>
      <c r="G1978" t="s">
        <v>45</v>
      </c>
      <c r="H1978" s="2">
        <v>0.25</v>
      </c>
      <c r="I1978" s="2">
        <v>0.99861111111111112</v>
      </c>
      <c r="J1978" t="s">
        <v>101</v>
      </c>
      <c r="L1978" t="s">
        <v>159</v>
      </c>
      <c r="M1978" t="s">
        <v>645</v>
      </c>
      <c r="N1978" t="s">
        <v>646</v>
      </c>
      <c r="O1978">
        <v>5950942</v>
      </c>
      <c r="Q1978" t="s">
        <v>66</v>
      </c>
      <c r="R1978" t="s">
        <v>67</v>
      </c>
      <c r="S1978" t="s">
        <v>52</v>
      </c>
      <c r="U1978">
        <v>890021</v>
      </c>
      <c r="V1978" s="3">
        <v>46056.431944444441</v>
      </c>
      <c r="W1978" t="s">
        <v>647</v>
      </c>
      <c r="X1978" t="s">
        <v>648</v>
      </c>
      <c r="Y1978" t="str">
        <f>"0411463760"</f>
        <v>0411463760</v>
      </c>
      <c r="Z1978" t="s">
        <v>1609</v>
      </c>
      <c r="AB1978" t="s">
        <v>71</v>
      </c>
      <c r="AD1978" t="s">
        <v>61</v>
      </c>
      <c r="AE1978" t="s">
        <v>72</v>
      </c>
      <c r="AF1978">
        <v>2747</v>
      </c>
      <c r="AG1978" t="s">
        <v>73</v>
      </c>
      <c r="AI1978" t="s">
        <v>59</v>
      </c>
      <c r="AL1978" t="s">
        <v>4530</v>
      </c>
      <c r="AN1978" s="3">
        <v>46063.747916666667</v>
      </c>
      <c r="AO1978" t="s">
        <v>647</v>
      </c>
    </row>
    <row r="1979" spans="1:41" x14ac:dyDescent="0.3">
      <c r="A1979" t="s">
        <v>41</v>
      </c>
      <c r="B1979" t="s">
        <v>1168</v>
      </c>
      <c r="D1979" t="s">
        <v>246</v>
      </c>
      <c r="E1979" s="1">
        <v>46063</v>
      </c>
      <c r="F1979" t="s">
        <v>1376</v>
      </c>
      <c r="G1979" t="s">
        <v>45</v>
      </c>
      <c r="H1979" s="2">
        <v>0.27083333333333331</v>
      </c>
      <c r="I1979" s="2">
        <v>0.625</v>
      </c>
      <c r="J1979" t="s">
        <v>296</v>
      </c>
      <c r="L1979" t="s">
        <v>1169</v>
      </c>
      <c r="M1979" t="s">
        <v>1170</v>
      </c>
      <c r="N1979" t="s">
        <v>1171</v>
      </c>
      <c r="O1979">
        <v>5952274</v>
      </c>
      <c r="Q1979" t="s">
        <v>1172</v>
      </c>
      <c r="R1979" t="s">
        <v>573</v>
      </c>
      <c r="S1979" t="s">
        <v>52</v>
      </c>
      <c r="T1979" t="s">
        <v>252</v>
      </c>
      <c r="U1979">
        <v>890645</v>
      </c>
      <c r="V1979" s="3">
        <v>46069.606944444444</v>
      </c>
      <c r="W1979" t="s">
        <v>1173</v>
      </c>
      <c r="X1979" t="s">
        <v>1174</v>
      </c>
      <c r="Y1979" t="str">
        <f>"0432261353"</f>
        <v>0432261353</v>
      </c>
      <c r="Z1979" t="s">
        <v>395</v>
      </c>
      <c r="AA1979" s="1">
        <v>46083</v>
      </c>
      <c r="AB1979" t="s">
        <v>1175</v>
      </c>
      <c r="AD1979" t="s">
        <v>41</v>
      </c>
      <c r="AE1979" t="s">
        <v>1176</v>
      </c>
      <c r="AF1979">
        <v>4680</v>
      </c>
      <c r="AG1979" t="s">
        <v>1172</v>
      </c>
      <c r="AI1979" t="s">
        <v>59</v>
      </c>
      <c r="AJ1979" t="str">
        <f>"0050076336"</f>
        <v>0050076336</v>
      </c>
      <c r="AN1979" s="3">
        <v>46069.606944444444</v>
      </c>
      <c r="AO1979" t="s">
        <v>573</v>
      </c>
    </row>
    <row r="1980" spans="1:41" x14ac:dyDescent="0.3">
      <c r="A1980" t="s">
        <v>61</v>
      </c>
      <c r="B1980" t="s">
        <v>62</v>
      </c>
      <c r="C1980" t="s">
        <v>43</v>
      </c>
      <c r="D1980" t="s">
        <v>63</v>
      </c>
      <c r="E1980" s="1">
        <v>46063</v>
      </c>
      <c r="F1980" t="s">
        <v>1376</v>
      </c>
      <c r="G1980" t="s">
        <v>45</v>
      </c>
      <c r="H1980" s="2">
        <v>0.27083333333333331</v>
      </c>
      <c r="I1980" s="2">
        <v>0.99861111111111112</v>
      </c>
      <c r="J1980" t="s">
        <v>101</v>
      </c>
      <c r="L1980" t="s">
        <v>159</v>
      </c>
      <c r="M1980" t="s">
        <v>1746</v>
      </c>
      <c r="N1980" t="s">
        <v>1747</v>
      </c>
      <c r="O1980">
        <v>20760</v>
      </c>
      <c r="Q1980" t="s">
        <v>66</v>
      </c>
      <c r="R1980" t="s">
        <v>67</v>
      </c>
      <c r="S1980" t="s">
        <v>52</v>
      </c>
      <c r="U1980">
        <v>889994</v>
      </c>
      <c r="V1980" s="3">
        <v>46058.354861111111</v>
      </c>
      <c r="W1980" t="s">
        <v>1748</v>
      </c>
      <c r="X1980" t="s">
        <v>1749</v>
      </c>
      <c r="Y1980" t="str">
        <f>"0433858379"</f>
        <v>0433858379</v>
      </c>
      <c r="Z1980" t="s">
        <v>70</v>
      </c>
      <c r="AB1980" t="s">
        <v>71</v>
      </c>
      <c r="AD1980" t="s">
        <v>61</v>
      </c>
      <c r="AE1980" t="s">
        <v>72</v>
      </c>
      <c r="AF1980">
        <v>2747</v>
      </c>
      <c r="AG1980" t="s">
        <v>73</v>
      </c>
      <c r="AI1980" t="s">
        <v>59</v>
      </c>
      <c r="AL1980" t="s">
        <v>4531</v>
      </c>
      <c r="AN1980" s="3">
        <v>46063.602777777778</v>
      </c>
      <c r="AO1980" t="s">
        <v>1748</v>
      </c>
    </row>
    <row r="1981" spans="1:41" x14ac:dyDescent="0.3">
      <c r="A1981" t="s">
        <v>41</v>
      </c>
      <c r="B1981" t="s">
        <v>4532</v>
      </c>
      <c r="C1981" t="s">
        <v>43</v>
      </c>
      <c r="D1981" t="s">
        <v>227</v>
      </c>
      <c r="E1981" s="1">
        <v>46063</v>
      </c>
      <c r="F1981" t="s">
        <v>1376</v>
      </c>
      <c r="G1981" t="s">
        <v>45</v>
      </c>
      <c r="H1981" s="2">
        <v>0.27083333333333331</v>
      </c>
      <c r="I1981" s="2">
        <v>0.5</v>
      </c>
      <c r="J1981" t="s">
        <v>101</v>
      </c>
      <c r="L1981" t="s">
        <v>159</v>
      </c>
      <c r="M1981" t="s">
        <v>2670</v>
      </c>
      <c r="N1981" t="s">
        <v>2671</v>
      </c>
      <c r="O1981">
        <v>5951768</v>
      </c>
      <c r="Q1981" t="s">
        <v>4533</v>
      </c>
      <c r="R1981" t="s">
        <v>556</v>
      </c>
      <c r="S1981" t="s">
        <v>52</v>
      </c>
      <c r="U1981">
        <v>889984</v>
      </c>
      <c r="V1981" s="3">
        <v>46057.765972222223</v>
      </c>
      <c r="W1981" t="s">
        <v>2672</v>
      </c>
      <c r="X1981" t="s">
        <v>2673</v>
      </c>
      <c r="Y1981" t="str">
        <f>"0455957608"</f>
        <v>0455957608</v>
      </c>
      <c r="Z1981" t="s">
        <v>70</v>
      </c>
      <c r="AA1981" s="1">
        <v>46063</v>
      </c>
      <c r="AB1981" t="s">
        <v>4534</v>
      </c>
      <c r="AC1981" t="s">
        <v>4535</v>
      </c>
      <c r="AD1981" t="s">
        <v>41</v>
      </c>
      <c r="AE1981" t="s">
        <v>2108</v>
      </c>
      <c r="AF1981">
        <v>4066</v>
      </c>
      <c r="AG1981" t="s">
        <v>4536</v>
      </c>
      <c r="AI1981" t="s">
        <v>59</v>
      </c>
      <c r="AL1981" t="s">
        <v>4537</v>
      </c>
      <c r="AN1981" s="3">
        <v>46063.54791666667</v>
      </c>
      <c r="AO1981" t="s">
        <v>2672</v>
      </c>
    </row>
    <row r="1982" spans="1:41" x14ac:dyDescent="0.3">
      <c r="A1982" t="s">
        <v>61</v>
      </c>
      <c r="B1982" t="s">
        <v>912</v>
      </c>
      <c r="C1982" t="s">
        <v>913</v>
      </c>
      <c r="D1982" t="s">
        <v>184</v>
      </c>
      <c r="E1982" s="1">
        <v>46063</v>
      </c>
      <c r="F1982" t="s">
        <v>1376</v>
      </c>
      <c r="G1982" t="s">
        <v>45</v>
      </c>
      <c r="H1982" s="2">
        <v>0.27083333333333331</v>
      </c>
      <c r="I1982" s="2">
        <v>0.99861111111111112</v>
      </c>
      <c r="J1982" t="s">
        <v>185</v>
      </c>
      <c r="L1982" t="s">
        <v>186</v>
      </c>
      <c r="M1982" t="s">
        <v>1395</v>
      </c>
      <c r="N1982" t="s">
        <v>1396</v>
      </c>
      <c r="O1982">
        <v>758</v>
      </c>
      <c r="Q1982" t="s">
        <v>923</v>
      </c>
      <c r="R1982" t="s">
        <v>1248</v>
      </c>
      <c r="S1982" t="s">
        <v>52</v>
      </c>
      <c r="U1982">
        <v>890030</v>
      </c>
      <c r="V1982" s="3">
        <v>46062.853472222225</v>
      </c>
      <c r="W1982" t="s">
        <v>1397</v>
      </c>
      <c r="X1982" t="s">
        <v>1398</v>
      </c>
      <c r="Y1982" t="str">
        <f>"0402403886"</f>
        <v>0402403886</v>
      </c>
      <c r="Z1982" t="s">
        <v>70</v>
      </c>
      <c r="AA1982" s="1">
        <v>46063</v>
      </c>
      <c r="AB1982" t="s">
        <v>920</v>
      </c>
      <c r="AC1982" t="s">
        <v>921</v>
      </c>
      <c r="AD1982" t="s">
        <v>61</v>
      </c>
      <c r="AE1982" t="s">
        <v>922</v>
      </c>
      <c r="AF1982">
        <v>2228</v>
      </c>
      <c r="AG1982" t="s">
        <v>923</v>
      </c>
      <c r="AI1982" t="s">
        <v>59</v>
      </c>
      <c r="AL1982" t="s">
        <v>4538</v>
      </c>
      <c r="AN1982" s="3">
        <v>46063.784722222219</v>
      </c>
      <c r="AO1982" t="s">
        <v>1397</v>
      </c>
    </row>
    <row r="1983" spans="1:41" x14ac:dyDescent="0.3">
      <c r="A1983" t="s">
        <v>61</v>
      </c>
      <c r="B1983" t="s">
        <v>912</v>
      </c>
      <c r="C1983" t="s">
        <v>913</v>
      </c>
      <c r="D1983" t="s">
        <v>184</v>
      </c>
      <c r="E1983" s="1">
        <v>46063</v>
      </c>
      <c r="F1983" t="s">
        <v>1376</v>
      </c>
      <c r="G1983" t="s">
        <v>45</v>
      </c>
      <c r="H1983" s="2">
        <v>0.27083333333333331</v>
      </c>
      <c r="I1983" s="2">
        <v>0.79166666666666663</v>
      </c>
      <c r="J1983" t="s">
        <v>185</v>
      </c>
      <c r="L1983" t="s">
        <v>186</v>
      </c>
      <c r="M1983" t="s">
        <v>1395</v>
      </c>
      <c r="N1983" t="s">
        <v>1396</v>
      </c>
      <c r="O1983">
        <v>758</v>
      </c>
      <c r="R1983" t="s">
        <v>759</v>
      </c>
      <c r="S1983" t="s">
        <v>119</v>
      </c>
      <c r="T1983" t="s">
        <v>760</v>
      </c>
      <c r="U1983" t="s">
        <v>4539</v>
      </c>
      <c r="V1983" s="3">
        <v>46077.634027777778</v>
      </c>
      <c r="W1983" t="s">
        <v>1397</v>
      </c>
      <c r="X1983" t="s">
        <v>1398</v>
      </c>
      <c r="Y1983" t="str">
        <f>"0402403886"</f>
        <v>0402403886</v>
      </c>
      <c r="Z1983" t="s">
        <v>70</v>
      </c>
      <c r="AB1983" t="s">
        <v>920</v>
      </c>
      <c r="AC1983" t="s">
        <v>921</v>
      </c>
      <c r="AD1983" t="s">
        <v>61</v>
      </c>
      <c r="AE1983" t="s">
        <v>922</v>
      </c>
      <c r="AF1983">
        <v>2228</v>
      </c>
      <c r="AI1983" t="s">
        <v>59</v>
      </c>
      <c r="AM1983" t="s">
        <v>4540</v>
      </c>
      <c r="AN1983" s="3">
        <v>46077.634027777778</v>
      </c>
      <c r="AO1983" t="s">
        <v>759</v>
      </c>
    </row>
    <row r="1984" spans="1:41" x14ac:dyDescent="0.3">
      <c r="A1984" t="s">
        <v>61</v>
      </c>
      <c r="B1984" t="s">
        <v>912</v>
      </c>
      <c r="C1984" t="s">
        <v>913</v>
      </c>
      <c r="D1984" t="s">
        <v>184</v>
      </c>
      <c r="E1984" s="1">
        <v>46063</v>
      </c>
      <c r="F1984" t="s">
        <v>1376</v>
      </c>
      <c r="G1984" t="s">
        <v>45</v>
      </c>
      <c r="H1984" s="2">
        <v>0.27083333333333331</v>
      </c>
      <c r="I1984" s="2">
        <v>0.79166666666666663</v>
      </c>
      <c r="J1984" t="s">
        <v>185</v>
      </c>
      <c r="L1984" t="s">
        <v>186</v>
      </c>
      <c r="M1984" t="s">
        <v>1395</v>
      </c>
      <c r="N1984" t="s">
        <v>1396</v>
      </c>
      <c r="O1984">
        <v>758</v>
      </c>
      <c r="R1984" t="s">
        <v>759</v>
      </c>
      <c r="S1984" t="s">
        <v>119</v>
      </c>
      <c r="T1984" t="s">
        <v>760</v>
      </c>
      <c r="U1984" t="s">
        <v>4541</v>
      </c>
      <c r="V1984" s="3">
        <v>46077.64166666667</v>
      </c>
      <c r="W1984" t="s">
        <v>1397</v>
      </c>
      <c r="X1984" t="s">
        <v>1398</v>
      </c>
      <c r="Y1984" t="str">
        <f>"0402403886"</f>
        <v>0402403886</v>
      </c>
      <c r="Z1984" t="s">
        <v>70</v>
      </c>
      <c r="AB1984" t="s">
        <v>920</v>
      </c>
      <c r="AC1984" t="s">
        <v>921</v>
      </c>
      <c r="AD1984" t="s">
        <v>61</v>
      </c>
      <c r="AE1984" t="s">
        <v>922</v>
      </c>
      <c r="AF1984">
        <v>2228</v>
      </c>
      <c r="AI1984" t="s">
        <v>59</v>
      </c>
      <c r="AM1984" t="s">
        <v>4540</v>
      </c>
      <c r="AN1984" s="3">
        <v>46077.64166666667</v>
      </c>
      <c r="AO1984" t="s">
        <v>759</v>
      </c>
    </row>
    <row r="1985" spans="1:41" x14ac:dyDescent="0.3">
      <c r="A1985" t="s">
        <v>168</v>
      </c>
      <c r="B1985" t="s">
        <v>441</v>
      </c>
      <c r="C1985" t="s">
        <v>101</v>
      </c>
      <c r="E1985" s="1">
        <v>46063</v>
      </c>
      <c r="F1985" t="s">
        <v>1376</v>
      </c>
      <c r="G1985" t="s">
        <v>45</v>
      </c>
      <c r="H1985" s="2">
        <v>0.27083333333333331</v>
      </c>
      <c r="I1985" s="2">
        <v>0.60416666666666663</v>
      </c>
      <c r="J1985" t="s">
        <v>101</v>
      </c>
      <c r="L1985" t="s">
        <v>743</v>
      </c>
      <c r="M1985" t="s">
        <v>744</v>
      </c>
      <c r="N1985" t="s">
        <v>745</v>
      </c>
      <c r="O1985">
        <v>5951894</v>
      </c>
      <c r="P1985" t="s">
        <v>3522</v>
      </c>
      <c r="Q1985" t="s">
        <v>944</v>
      </c>
      <c r="R1985" t="s">
        <v>556</v>
      </c>
      <c r="S1985" t="s">
        <v>52</v>
      </c>
      <c r="U1985">
        <v>889992</v>
      </c>
      <c r="V1985" s="3">
        <v>46050.939583333333</v>
      </c>
      <c r="W1985" t="s">
        <v>746</v>
      </c>
      <c r="X1985" t="s">
        <v>747</v>
      </c>
      <c r="Y1985" t="str">
        <f>"0420536678"</f>
        <v>0420536678</v>
      </c>
      <c r="Z1985" t="s">
        <v>70</v>
      </c>
      <c r="AA1985" s="1">
        <v>46063</v>
      </c>
      <c r="AB1985" t="s">
        <v>448</v>
      </c>
      <c r="AD1985" t="s">
        <v>168</v>
      </c>
      <c r="AE1985" t="s">
        <v>180</v>
      </c>
      <c r="AF1985">
        <v>5063</v>
      </c>
      <c r="AG1985" t="s">
        <v>944</v>
      </c>
      <c r="AI1985" t="s">
        <v>59</v>
      </c>
      <c r="AL1985" t="s">
        <v>4484</v>
      </c>
      <c r="AN1985" s="3">
        <v>46063.597916666666</v>
      </c>
      <c r="AO1985" t="s">
        <v>746</v>
      </c>
    </row>
    <row r="1986" spans="1:41" x14ac:dyDescent="0.3">
      <c r="A1986" t="s">
        <v>168</v>
      </c>
      <c r="B1986" t="s">
        <v>376</v>
      </c>
      <c r="C1986" t="s">
        <v>43</v>
      </c>
      <c r="D1986" t="s">
        <v>127</v>
      </c>
      <c r="E1986" s="1">
        <v>46063</v>
      </c>
      <c r="F1986" t="s">
        <v>1376</v>
      </c>
      <c r="G1986" t="s">
        <v>45</v>
      </c>
      <c r="H1986" s="2">
        <v>0.27083333333333331</v>
      </c>
      <c r="I1986" s="2">
        <v>0.5</v>
      </c>
      <c r="J1986" t="s">
        <v>185</v>
      </c>
      <c r="K1986" t="s">
        <v>678</v>
      </c>
      <c r="L1986" t="s">
        <v>186</v>
      </c>
      <c r="M1986" t="s">
        <v>867</v>
      </c>
      <c r="N1986" t="s">
        <v>868</v>
      </c>
      <c r="O1986">
        <v>5951869</v>
      </c>
      <c r="Q1986" t="s">
        <v>670</v>
      </c>
      <c r="R1986" t="s">
        <v>231</v>
      </c>
      <c r="S1986" t="s">
        <v>52</v>
      </c>
      <c r="U1986">
        <v>889970</v>
      </c>
      <c r="V1986" s="3">
        <v>46035.644444444442</v>
      </c>
      <c r="W1986" t="s">
        <v>870</v>
      </c>
      <c r="X1986" t="s">
        <v>871</v>
      </c>
      <c r="Y1986" t="str">
        <f>"0435211342"</f>
        <v>0435211342</v>
      </c>
      <c r="Z1986" t="s">
        <v>2000</v>
      </c>
      <c r="AB1986" t="s">
        <v>383</v>
      </c>
      <c r="AD1986" t="s">
        <v>168</v>
      </c>
      <c r="AE1986" t="s">
        <v>384</v>
      </c>
      <c r="AF1986">
        <v>5000</v>
      </c>
      <c r="AG1986" t="s">
        <v>674</v>
      </c>
      <c r="AI1986" t="s">
        <v>59</v>
      </c>
      <c r="AL1986" t="s">
        <v>4542</v>
      </c>
      <c r="AM1986" t="s">
        <v>685</v>
      </c>
      <c r="AN1986" s="3">
        <v>46063.518055555556</v>
      </c>
      <c r="AO1986" t="s">
        <v>870</v>
      </c>
    </row>
    <row r="1987" spans="1:41" x14ac:dyDescent="0.3">
      <c r="A1987" t="s">
        <v>168</v>
      </c>
      <c r="B1987" t="s">
        <v>215</v>
      </c>
      <c r="C1987" t="s">
        <v>43</v>
      </c>
      <c r="D1987" t="s">
        <v>127</v>
      </c>
      <c r="E1987" s="1">
        <v>46063</v>
      </c>
      <c r="F1987" t="s">
        <v>1376</v>
      </c>
      <c r="G1987" t="s">
        <v>45</v>
      </c>
      <c r="H1987" s="2">
        <v>0.27083333333333331</v>
      </c>
      <c r="I1987" s="2">
        <v>0.58333333333333337</v>
      </c>
      <c r="J1987" t="s">
        <v>258</v>
      </c>
      <c r="K1987" t="s">
        <v>259</v>
      </c>
      <c r="L1987" t="s">
        <v>186</v>
      </c>
      <c r="M1987" t="s">
        <v>798</v>
      </c>
      <c r="N1987" t="s">
        <v>799</v>
      </c>
      <c r="O1987">
        <v>20875</v>
      </c>
      <c r="Q1987" t="s">
        <v>219</v>
      </c>
      <c r="R1987" t="s">
        <v>176</v>
      </c>
      <c r="S1987" t="s">
        <v>52</v>
      </c>
      <c r="U1987">
        <v>889990</v>
      </c>
      <c r="V1987" s="3">
        <v>46043.775694444441</v>
      </c>
      <c r="W1987" t="s">
        <v>800</v>
      </c>
      <c r="X1987" t="s">
        <v>801</v>
      </c>
      <c r="Y1987" t="str">
        <f>"0417001267"</f>
        <v>0417001267</v>
      </c>
      <c r="Z1987" t="s">
        <v>1885</v>
      </c>
      <c r="AB1987" t="s">
        <v>222</v>
      </c>
      <c r="AD1987" t="s">
        <v>168</v>
      </c>
      <c r="AE1987" t="s">
        <v>223</v>
      </c>
      <c r="AF1987">
        <v>5069</v>
      </c>
      <c r="AG1987" t="s">
        <v>219</v>
      </c>
      <c r="AI1987" t="s">
        <v>59</v>
      </c>
      <c r="AL1987" t="s">
        <v>224</v>
      </c>
      <c r="AN1987" s="3">
        <v>46063.584722222222</v>
      </c>
      <c r="AO1987" t="s">
        <v>800</v>
      </c>
    </row>
    <row r="1988" spans="1:41" x14ac:dyDescent="0.3">
      <c r="A1988" t="s">
        <v>168</v>
      </c>
      <c r="B1988" t="s">
        <v>215</v>
      </c>
      <c r="C1988" t="s">
        <v>43</v>
      </c>
      <c r="D1988" t="s">
        <v>127</v>
      </c>
      <c r="E1988" s="1">
        <v>46063</v>
      </c>
      <c r="F1988" t="s">
        <v>1376</v>
      </c>
      <c r="G1988" t="s">
        <v>45</v>
      </c>
      <c r="H1988" s="2">
        <v>0.27083333333333331</v>
      </c>
      <c r="I1988" s="2">
        <v>0.58333333333333337</v>
      </c>
      <c r="J1988" t="s">
        <v>258</v>
      </c>
      <c r="K1988" t="s">
        <v>259</v>
      </c>
      <c r="L1988" t="s">
        <v>186</v>
      </c>
      <c r="M1988" t="s">
        <v>651</v>
      </c>
      <c r="N1988" t="s">
        <v>412</v>
      </c>
      <c r="O1988">
        <v>21855</v>
      </c>
      <c r="Q1988" t="s">
        <v>219</v>
      </c>
      <c r="R1988" t="s">
        <v>176</v>
      </c>
      <c r="S1988" t="s">
        <v>52</v>
      </c>
      <c r="U1988">
        <v>889968</v>
      </c>
      <c r="V1988" s="3">
        <v>46043.775694444441</v>
      </c>
      <c r="W1988" t="s">
        <v>652</v>
      </c>
      <c r="X1988" t="s">
        <v>653</v>
      </c>
      <c r="Y1988" t="str">
        <f>"0407317111"</f>
        <v>0407317111</v>
      </c>
      <c r="Z1988" t="s">
        <v>2653</v>
      </c>
      <c r="AB1988" t="s">
        <v>222</v>
      </c>
      <c r="AD1988" t="s">
        <v>168</v>
      </c>
      <c r="AE1988" t="s">
        <v>223</v>
      </c>
      <c r="AF1988">
        <v>5069</v>
      </c>
      <c r="AG1988" t="s">
        <v>219</v>
      </c>
      <c r="AI1988" t="s">
        <v>59</v>
      </c>
      <c r="AL1988" t="s">
        <v>2839</v>
      </c>
      <c r="AN1988" s="3">
        <v>46063.497916666667</v>
      </c>
      <c r="AO1988" t="s">
        <v>652</v>
      </c>
    </row>
    <row r="1989" spans="1:41" x14ac:dyDescent="0.3">
      <c r="A1989" t="s">
        <v>61</v>
      </c>
      <c r="B1989" t="s">
        <v>126</v>
      </c>
      <c r="C1989" t="s">
        <v>43</v>
      </c>
      <c r="D1989" t="s">
        <v>127</v>
      </c>
      <c r="E1989" s="1">
        <v>46063</v>
      </c>
      <c r="F1989" t="s">
        <v>1376</v>
      </c>
      <c r="G1989" t="s">
        <v>45</v>
      </c>
      <c r="H1989" s="2">
        <v>0.29166666666666669</v>
      </c>
      <c r="I1989" s="2">
        <v>0.99861111111111112</v>
      </c>
      <c r="J1989" t="s">
        <v>46</v>
      </c>
      <c r="L1989" t="s">
        <v>47</v>
      </c>
      <c r="M1989" t="s">
        <v>129</v>
      </c>
      <c r="N1989" t="s">
        <v>130</v>
      </c>
      <c r="O1989">
        <v>21231</v>
      </c>
      <c r="Q1989" t="s">
        <v>131</v>
      </c>
      <c r="R1989" t="s">
        <v>132</v>
      </c>
      <c r="S1989" t="s">
        <v>52</v>
      </c>
      <c r="U1989">
        <v>890000</v>
      </c>
      <c r="V1989" s="3">
        <v>46042.632638888892</v>
      </c>
      <c r="W1989" t="s">
        <v>133</v>
      </c>
      <c r="X1989" t="s">
        <v>134</v>
      </c>
      <c r="Y1989" t="str">
        <f>"0425328222"</f>
        <v>0425328222</v>
      </c>
      <c r="Z1989" t="s">
        <v>4543</v>
      </c>
      <c r="AB1989" t="s">
        <v>136</v>
      </c>
      <c r="AD1989" t="s">
        <v>61</v>
      </c>
      <c r="AE1989" t="s">
        <v>137</v>
      </c>
      <c r="AF1989">
        <v>2032</v>
      </c>
      <c r="AG1989" t="s">
        <v>131</v>
      </c>
      <c r="AI1989" t="s">
        <v>59</v>
      </c>
      <c r="AL1989" t="s">
        <v>4544</v>
      </c>
      <c r="AN1989" s="3">
        <v>46063.618750000001</v>
      </c>
      <c r="AO1989" t="s">
        <v>133</v>
      </c>
    </row>
    <row r="1990" spans="1:41" x14ac:dyDescent="0.3">
      <c r="A1990" t="s">
        <v>61</v>
      </c>
      <c r="B1990" t="s">
        <v>62</v>
      </c>
      <c r="C1990" t="s">
        <v>43</v>
      </c>
      <c r="D1990" t="s">
        <v>63</v>
      </c>
      <c r="E1990" s="1">
        <v>46063</v>
      </c>
      <c r="F1990" t="s">
        <v>1376</v>
      </c>
      <c r="G1990" t="s">
        <v>45</v>
      </c>
      <c r="H1990" s="2">
        <v>0.29166666666666669</v>
      </c>
      <c r="I1990" s="2">
        <v>0.99861111111111112</v>
      </c>
      <c r="J1990" t="s">
        <v>101</v>
      </c>
      <c r="L1990" t="s">
        <v>159</v>
      </c>
      <c r="M1990" t="s">
        <v>949</v>
      </c>
      <c r="N1990" t="s">
        <v>950</v>
      </c>
      <c r="O1990">
        <v>21975</v>
      </c>
      <c r="Q1990" t="s">
        <v>3243</v>
      </c>
      <c r="R1990" t="s">
        <v>67</v>
      </c>
      <c r="S1990" t="s">
        <v>52</v>
      </c>
      <c r="U1990">
        <v>890007</v>
      </c>
      <c r="V1990" s="3">
        <v>46063.206250000003</v>
      </c>
      <c r="W1990" t="s">
        <v>951</v>
      </c>
      <c r="X1990" t="s">
        <v>952</v>
      </c>
      <c r="Y1990" t="str">
        <f>"0412930014"</f>
        <v>0412930014</v>
      </c>
      <c r="Z1990" t="s">
        <v>70</v>
      </c>
      <c r="AB1990" t="s">
        <v>71</v>
      </c>
      <c r="AD1990" t="s">
        <v>61</v>
      </c>
      <c r="AE1990" t="s">
        <v>72</v>
      </c>
      <c r="AF1990">
        <v>2747</v>
      </c>
      <c r="AG1990" t="s">
        <v>73</v>
      </c>
      <c r="AI1990" t="s">
        <v>59</v>
      </c>
      <c r="AL1990" t="s">
        <v>3441</v>
      </c>
      <c r="AN1990" s="3">
        <v>46063.698611111111</v>
      </c>
      <c r="AO1990" t="s">
        <v>951</v>
      </c>
    </row>
    <row r="1991" spans="1:41" x14ac:dyDescent="0.3">
      <c r="A1991" t="s">
        <v>61</v>
      </c>
      <c r="B1991" t="s">
        <v>1441</v>
      </c>
      <c r="C1991" t="s">
        <v>43</v>
      </c>
      <c r="D1991" t="s">
        <v>127</v>
      </c>
      <c r="E1991" s="1">
        <v>46063</v>
      </c>
      <c r="F1991" t="s">
        <v>1376</v>
      </c>
      <c r="G1991" t="s">
        <v>45</v>
      </c>
      <c r="H1991" s="2">
        <v>0.29166666666666669</v>
      </c>
      <c r="I1991" s="2">
        <v>0.58333333333333337</v>
      </c>
      <c r="J1991" t="s">
        <v>185</v>
      </c>
      <c r="K1991" t="s">
        <v>1442</v>
      </c>
      <c r="L1991" t="s">
        <v>186</v>
      </c>
      <c r="M1991" t="s">
        <v>777</v>
      </c>
      <c r="N1991" t="s">
        <v>778</v>
      </c>
      <c r="O1991">
        <v>5952331</v>
      </c>
      <c r="Q1991" t="s">
        <v>1443</v>
      </c>
      <c r="R1991" t="s">
        <v>132</v>
      </c>
      <c r="S1991" t="s">
        <v>52</v>
      </c>
      <c r="U1991">
        <v>889991</v>
      </c>
      <c r="V1991" s="3">
        <v>46062.405555555553</v>
      </c>
      <c r="W1991" t="s">
        <v>780</v>
      </c>
      <c r="X1991" t="s">
        <v>781</v>
      </c>
      <c r="Y1991" t="str">
        <f>"0478730906"</f>
        <v>0478730906</v>
      </c>
      <c r="Z1991" t="s">
        <v>70</v>
      </c>
      <c r="AA1991" s="1">
        <v>46063</v>
      </c>
      <c r="AB1991" t="s">
        <v>1444</v>
      </c>
      <c r="AD1991" t="s">
        <v>61</v>
      </c>
      <c r="AE1991" t="s">
        <v>1445</v>
      </c>
      <c r="AF1991">
        <v>2100</v>
      </c>
      <c r="AG1991" t="s">
        <v>1443</v>
      </c>
      <c r="AI1991" t="s">
        <v>59</v>
      </c>
      <c r="AL1991" t="s">
        <v>4545</v>
      </c>
      <c r="AN1991" s="3">
        <v>46063.588194444441</v>
      </c>
      <c r="AO1991" t="s">
        <v>780</v>
      </c>
    </row>
    <row r="1992" spans="1:41" x14ac:dyDescent="0.3">
      <c r="A1992" t="s">
        <v>168</v>
      </c>
      <c r="B1992" t="s">
        <v>336</v>
      </c>
      <c r="D1992" t="s">
        <v>268</v>
      </c>
      <c r="E1992" s="1">
        <v>46063</v>
      </c>
      <c r="F1992" t="s">
        <v>1376</v>
      </c>
      <c r="G1992" t="s">
        <v>45</v>
      </c>
      <c r="H1992" s="2">
        <v>0.29166666666666669</v>
      </c>
      <c r="I1992" s="2">
        <v>0.64583333333333337</v>
      </c>
      <c r="J1992" t="s">
        <v>296</v>
      </c>
      <c r="K1992" t="s">
        <v>270</v>
      </c>
      <c r="L1992" t="s">
        <v>172</v>
      </c>
      <c r="M1992" t="s">
        <v>1206</v>
      </c>
      <c r="N1992" t="s">
        <v>1448</v>
      </c>
      <c r="O1992">
        <v>22926</v>
      </c>
      <c r="Q1992" t="s">
        <v>342</v>
      </c>
      <c r="R1992" t="s">
        <v>176</v>
      </c>
      <c r="S1992" t="s">
        <v>52</v>
      </c>
      <c r="U1992">
        <v>889930</v>
      </c>
      <c r="V1992" s="3">
        <v>46050.420138888891</v>
      </c>
      <c r="W1992" t="s">
        <v>1449</v>
      </c>
      <c r="X1992" t="s">
        <v>1450</v>
      </c>
      <c r="Y1992" t="str">
        <f>"0424371761"</f>
        <v>0424371761</v>
      </c>
      <c r="Z1992" t="s">
        <v>2000</v>
      </c>
      <c r="AB1992" t="s">
        <v>346</v>
      </c>
      <c r="AD1992" t="s">
        <v>168</v>
      </c>
      <c r="AE1992" t="s">
        <v>347</v>
      </c>
      <c r="AF1992">
        <v>5042</v>
      </c>
      <c r="AG1992" t="s">
        <v>342</v>
      </c>
      <c r="AI1992" t="s">
        <v>59</v>
      </c>
      <c r="AL1992" t="s">
        <v>4546</v>
      </c>
      <c r="AM1992" t="s">
        <v>349</v>
      </c>
      <c r="AN1992" s="3">
        <v>46063.343055555553</v>
      </c>
      <c r="AO1992" t="s">
        <v>231</v>
      </c>
    </row>
    <row r="1993" spans="1:41" x14ac:dyDescent="0.3">
      <c r="A1993" t="s">
        <v>41</v>
      </c>
      <c r="B1993" t="s">
        <v>965</v>
      </c>
      <c r="C1993" t="s">
        <v>43</v>
      </c>
      <c r="D1993" t="s">
        <v>966</v>
      </c>
      <c r="E1993" s="1">
        <v>46063</v>
      </c>
      <c r="F1993" t="s">
        <v>1376</v>
      </c>
      <c r="G1993" t="s">
        <v>45</v>
      </c>
      <c r="H1993" s="2">
        <v>0.29166666666666669</v>
      </c>
      <c r="I1993" s="2">
        <v>0.72916666666666663</v>
      </c>
      <c r="J1993" t="s">
        <v>101</v>
      </c>
      <c r="L1993" t="s">
        <v>967</v>
      </c>
      <c r="M1993" t="s">
        <v>968</v>
      </c>
      <c r="N1993" t="s">
        <v>969</v>
      </c>
      <c r="O1993">
        <v>5952467</v>
      </c>
      <c r="Q1993" t="s">
        <v>823</v>
      </c>
      <c r="R1993" t="s">
        <v>723</v>
      </c>
      <c r="S1993" t="s">
        <v>52</v>
      </c>
      <c r="U1993">
        <v>890028</v>
      </c>
      <c r="V1993" s="3">
        <v>46058.50277777778</v>
      </c>
      <c r="W1993" t="s">
        <v>970</v>
      </c>
      <c r="X1993" t="s">
        <v>971</v>
      </c>
      <c r="Y1993" t="str">
        <f>"0433979184"</f>
        <v>0433979184</v>
      </c>
      <c r="Z1993" t="s">
        <v>70</v>
      </c>
      <c r="AA1993" s="1">
        <v>46063</v>
      </c>
      <c r="AB1993" t="s">
        <v>972</v>
      </c>
      <c r="AD1993" t="s">
        <v>41</v>
      </c>
      <c r="AE1993" t="s">
        <v>973</v>
      </c>
      <c r="AF1993">
        <v>4068</v>
      </c>
      <c r="AG1993" t="s">
        <v>823</v>
      </c>
      <c r="AI1993" t="s">
        <v>59</v>
      </c>
      <c r="AL1993" t="s">
        <v>4285</v>
      </c>
      <c r="AN1993" s="3">
        <v>46063.775000000001</v>
      </c>
      <c r="AO1993" t="s">
        <v>970</v>
      </c>
    </row>
    <row r="1994" spans="1:41" x14ac:dyDescent="0.3">
      <c r="A1994" t="s">
        <v>41</v>
      </c>
      <c r="B1994" t="s">
        <v>568</v>
      </c>
      <c r="C1994" t="s">
        <v>602</v>
      </c>
      <c r="D1994" t="s">
        <v>246</v>
      </c>
      <c r="E1994" s="1">
        <v>46063</v>
      </c>
      <c r="F1994" t="s">
        <v>1376</v>
      </c>
      <c r="G1994" t="s">
        <v>45</v>
      </c>
      <c r="H1994" s="2">
        <v>0.29166666666666669</v>
      </c>
      <c r="I1994" s="2">
        <v>0.64583333333333337</v>
      </c>
      <c r="J1994" t="s">
        <v>269</v>
      </c>
      <c r="L1994" t="s">
        <v>47</v>
      </c>
      <c r="M1994" t="s">
        <v>603</v>
      </c>
      <c r="N1994" t="s">
        <v>604</v>
      </c>
      <c r="O1994">
        <v>80</v>
      </c>
      <c r="P1994" t="s">
        <v>571</v>
      </c>
      <c r="Q1994" t="s">
        <v>572</v>
      </c>
      <c r="R1994" t="s">
        <v>573</v>
      </c>
      <c r="S1994" t="s">
        <v>52</v>
      </c>
      <c r="T1994" t="s">
        <v>252</v>
      </c>
      <c r="U1994">
        <v>890750</v>
      </c>
      <c r="V1994" s="3">
        <v>46070.46597222222</v>
      </c>
      <c r="W1994" t="s">
        <v>605</v>
      </c>
      <c r="X1994" t="s">
        <v>606</v>
      </c>
      <c r="Y1994" t="str">
        <f>"0414330986"</f>
        <v>0414330986</v>
      </c>
      <c r="Z1994" t="s">
        <v>254</v>
      </c>
      <c r="AA1994" s="1">
        <v>46068</v>
      </c>
      <c r="AB1994" t="s">
        <v>576</v>
      </c>
      <c r="AD1994" t="s">
        <v>41</v>
      </c>
      <c r="AE1994" t="s">
        <v>577</v>
      </c>
      <c r="AF1994">
        <v>4700</v>
      </c>
      <c r="AG1994" t="s">
        <v>572</v>
      </c>
      <c r="AI1994" t="s">
        <v>59</v>
      </c>
      <c r="AJ1994" t="str">
        <f>"0050075176"</f>
        <v>0050075176</v>
      </c>
      <c r="AN1994" s="3">
        <v>46070.46597222222</v>
      </c>
      <c r="AO1994" t="s">
        <v>573</v>
      </c>
    </row>
    <row r="1995" spans="1:41" x14ac:dyDescent="0.3">
      <c r="A1995" t="s">
        <v>168</v>
      </c>
      <c r="B1995" t="s">
        <v>1963</v>
      </c>
      <c r="C1995" t="s">
        <v>2026</v>
      </c>
      <c r="D1995" t="s">
        <v>401</v>
      </c>
      <c r="E1995" s="1">
        <v>46063</v>
      </c>
      <c r="F1995" t="s">
        <v>1376</v>
      </c>
      <c r="G1995" t="s">
        <v>45</v>
      </c>
      <c r="H1995" s="2">
        <v>0.29166666666666669</v>
      </c>
      <c r="I1995" s="2">
        <v>0.625</v>
      </c>
      <c r="J1995" t="s">
        <v>529</v>
      </c>
      <c r="L1995" t="s">
        <v>298</v>
      </c>
      <c r="M1995" t="s">
        <v>4415</v>
      </c>
      <c r="N1995" t="s">
        <v>4416</v>
      </c>
      <c r="O1995">
        <v>22642</v>
      </c>
      <c r="Q1995" t="s">
        <v>4417</v>
      </c>
      <c r="R1995" t="s">
        <v>1248</v>
      </c>
      <c r="S1995" t="s">
        <v>52</v>
      </c>
      <c r="U1995">
        <v>890005</v>
      </c>
      <c r="V1995" s="3">
        <v>46061.359722222223</v>
      </c>
      <c r="W1995" t="s">
        <v>4418</v>
      </c>
      <c r="X1995" t="s">
        <v>4419</v>
      </c>
      <c r="Y1995" t="str">
        <f>"0416488885"</f>
        <v>0416488885</v>
      </c>
      <c r="Z1995" t="s">
        <v>70</v>
      </c>
      <c r="AA1995" s="1">
        <v>46063</v>
      </c>
      <c r="AB1995" t="s">
        <v>1967</v>
      </c>
      <c r="AD1995" t="s">
        <v>168</v>
      </c>
      <c r="AE1995" t="s">
        <v>1968</v>
      </c>
      <c r="AF1995">
        <v>5000</v>
      </c>
      <c r="AG1995" t="s">
        <v>4420</v>
      </c>
      <c r="AI1995" t="s">
        <v>59</v>
      </c>
      <c r="AL1995" t="s">
        <v>4421</v>
      </c>
      <c r="AN1995" s="3">
        <v>46063.659722222219</v>
      </c>
      <c r="AO1995" t="s">
        <v>4418</v>
      </c>
    </row>
    <row r="1996" spans="1:41" x14ac:dyDescent="0.3">
      <c r="A1996" t="s">
        <v>41</v>
      </c>
      <c r="B1996" t="s">
        <v>244</v>
      </c>
      <c r="C1996" t="s">
        <v>245</v>
      </c>
      <c r="D1996" t="s">
        <v>246</v>
      </c>
      <c r="E1996" s="1">
        <v>46063</v>
      </c>
      <c r="F1996" t="s">
        <v>1376</v>
      </c>
      <c r="G1996" t="s">
        <v>45</v>
      </c>
      <c r="H1996" s="2">
        <v>0.29166666666666669</v>
      </c>
      <c r="I1996" s="2">
        <v>0.64583333333333337</v>
      </c>
      <c r="J1996" t="s">
        <v>100</v>
      </c>
      <c r="L1996" t="s">
        <v>100</v>
      </c>
      <c r="M1996" t="s">
        <v>247</v>
      </c>
      <c r="N1996" t="s">
        <v>248</v>
      </c>
      <c r="O1996">
        <v>20770</v>
      </c>
      <c r="P1996" t="s">
        <v>249</v>
      </c>
      <c r="Q1996" t="s">
        <v>250</v>
      </c>
      <c r="R1996" t="s">
        <v>251</v>
      </c>
      <c r="S1996" t="s">
        <v>52</v>
      </c>
      <c r="T1996" t="s">
        <v>252</v>
      </c>
      <c r="U1996">
        <v>890622</v>
      </c>
      <c r="V1996" s="3">
        <v>46069.495138888888</v>
      </c>
      <c r="W1996" t="s">
        <v>251</v>
      </c>
      <c r="X1996" t="s">
        <v>253</v>
      </c>
      <c r="Y1996" t="str">
        <f>"0429586658"</f>
        <v>0429586658</v>
      </c>
      <c r="Z1996" t="s">
        <v>585</v>
      </c>
      <c r="AA1996" s="1">
        <v>46068</v>
      </c>
      <c r="AB1996" t="s">
        <v>255</v>
      </c>
      <c r="AD1996" t="s">
        <v>41</v>
      </c>
      <c r="AE1996" t="s">
        <v>256</v>
      </c>
      <c r="AF1996">
        <v>4655</v>
      </c>
      <c r="AG1996" t="s">
        <v>257</v>
      </c>
      <c r="AI1996" t="s">
        <v>59</v>
      </c>
      <c r="AJ1996" t="str">
        <f>"0050076900"</f>
        <v>0050076900</v>
      </c>
      <c r="AN1996" s="3">
        <v>46069.495138888888</v>
      </c>
      <c r="AO1996" t="s">
        <v>251</v>
      </c>
    </row>
    <row r="1997" spans="1:41" x14ac:dyDescent="0.3">
      <c r="A1997" t="s">
        <v>61</v>
      </c>
      <c r="B1997" t="s">
        <v>768</v>
      </c>
      <c r="C1997" t="s">
        <v>296</v>
      </c>
      <c r="D1997" t="s">
        <v>769</v>
      </c>
      <c r="E1997" s="1">
        <v>46063</v>
      </c>
      <c r="F1997" t="s">
        <v>1376</v>
      </c>
      <c r="G1997" t="s">
        <v>45</v>
      </c>
      <c r="H1997" s="2">
        <v>0.3125</v>
      </c>
      <c r="I1997" s="2">
        <v>0.625</v>
      </c>
      <c r="J1997" t="s">
        <v>296</v>
      </c>
      <c r="L1997" t="s">
        <v>298</v>
      </c>
      <c r="M1997" t="s">
        <v>770</v>
      </c>
      <c r="N1997" t="s">
        <v>771</v>
      </c>
      <c r="O1997">
        <v>5952291</v>
      </c>
      <c r="Q1997" t="s">
        <v>772</v>
      </c>
      <c r="R1997" t="s">
        <v>132</v>
      </c>
      <c r="S1997" t="s">
        <v>52</v>
      </c>
      <c r="T1997" t="s">
        <v>3339</v>
      </c>
      <c r="U1997">
        <v>890004</v>
      </c>
      <c r="V1997" s="3">
        <v>46056.670138888891</v>
      </c>
      <c r="W1997" t="s">
        <v>773</v>
      </c>
      <c r="X1997" t="s">
        <v>774</v>
      </c>
      <c r="Y1997" t="str">
        <f>"0432174467"</f>
        <v>0432174467</v>
      </c>
      <c r="Z1997" t="s">
        <v>1862</v>
      </c>
      <c r="AB1997" t="s">
        <v>775</v>
      </c>
      <c r="AD1997" t="s">
        <v>61</v>
      </c>
      <c r="AE1997" t="s">
        <v>776</v>
      </c>
      <c r="AF1997">
        <v>2076</v>
      </c>
      <c r="AG1997" t="s">
        <v>772</v>
      </c>
      <c r="AI1997" t="s">
        <v>59</v>
      </c>
      <c r="AL1997" t="s">
        <v>4544</v>
      </c>
      <c r="AN1997" s="3">
        <v>46063.987500000003</v>
      </c>
      <c r="AO1997" t="s">
        <v>208</v>
      </c>
    </row>
    <row r="1998" spans="1:41" x14ac:dyDescent="0.3">
      <c r="A1998" t="s">
        <v>61</v>
      </c>
      <c r="B1998" t="s">
        <v>655</v>
      </c>
      <c r="C1998" t="s">
        <v>43</v>
      </c>
      <c r="D1998" t="s">
        <v>656</v>
      </c>
      <c r="E1998" s="1">
        <v>46063</v>
      </c>
      <c r="F1998" t="s">
        <v>1376</v>
      </c>
      <c r="G1998" t="s">
        <v>45</v>
      </c>
      <c r="H1998" s="2">
        <v>0.3125</v>
      </c>
      <c r="I1998" s="2">
        <v>0.99861111111111112</v>
      </c>
      <c r="J1998" t="s">
        <v>185</v>
      </c>
      <c r="K1998" t="s">
        <v>327</v>
      </c>
      <c r="L1998" t="s">
        <v>47</v>
      </c>
      <c r="M1998" t="s">
        <v>657</v>
      </c>
      <c r="N1998" t="s">
        <v>658</v>
      </c>
      <c r="O1998">
        <v>22959</v>
      </c>
      <c r="Q1998" t="s">
        <v>665</v>
      </c>
      <c r="R1998" t="s">
        <v>145</v>
      </c>
      <c r="S1998" t="s">
        <v>52</v>
      </c>
      <c r="U1998">
        <v>889972</v>
      </c>
      <c r="V1998" s="3">
        <v>46052.693055555559</v>
      </c>
      <c r="W1998" t="s">
        <v>660</v>
      </c>
      <c r="X1998" t="s">
        <v>661</v>
      </c>
      <c r="Y1998" t="str">
        <f>"0451533427"</f>
        <v>0451533427</v>
      </c>
      <c r="Z1998" t="s">
        <v>70</v>
      </c>
      <c r="AA1998" s="1">
        <v>46063</v>
      </c>
      <c r="AB1998" t="s">
        <v>662</v>
      </c>
      <c r="AC1998" t="s">
        <v>663</v>
      </c>
      <c r="AD1998" t="s">
        <v>61</v>
      </c>
      <c r="AE1998" t="s">
        <v>664</v>
      </c>
      <c r="AF1998">
        <v>2067</v>
      </c>
      <c r="AG1998" t="s">
        <v>665</v>
      </c>
      <c r="AI1998" t="s">
        <v>59</v>
      </c>
      <c r="AL1998" t="s">
        <v>4544</v>
      </c>
      <c r="AN1998" s="3">
        <v>46063.521527777775</v>
      </c>
      <c r="AO1998" t="s">
        <v>660</v>
      </c>
    </row>
    <row r="1999" spans="1:41" x14ac:dyDescent="0.3">
      <c r="A1999" t="s">
        <v>168</v>
      </c>
      <c r="B1999" t="s">
        <v>282</v>
      </c>
      <c r="C1999" t="s">
        <v>43</v>
      </c>
      <c r="D1999" t="s">
        <v>283</v>
      </c>
      <c r="E1999" s="1">
        <v>46063</v>
      </c>
      <c r="F1999" t="s">
        <v>1376</v>
      </c>
      <c r="G1999" t="s">
        <v>45</v>
      </c>
      <c r="H1999" s="2">
        <v>0.3125</v>
      </c>
      <c r="I1999" s="2">
        <v>0.52083333333333337</v>
      </c>
      <c r="J1999" t="s">
        <v>258</v>
      </c>
      <c r="K1999" t="s">
        <v>4547</v>
      </c>
      <c r="L1999" t="s">
        <v>186</v>
      </c>
      <c r="M1999" t="s">
        <v>285</v>
      </c>
      <c r="N1999" t="s">
        <v>286</v>
      </c>
      <c r="O1999">
        <v>5951416</v>
      </c>
      <c r="Q1999" t="s">
        <v>294</v>
      </c>
      <c r="R1999" t="s">
        <v>231</v>
      </c>
      <c r="S1999" t="s">
        <v>52</v>
      </c>
      <c r="U1999">
        <v>889973</v>
      </c>
      <c r="V1999" s="3">
        <v>46062.604861111111</v>
      </c>
      <c r="W1999" t="s">
        <v>288</v>
      </c>
      <c r="X1999" t="s">
        <v>289</v>
      </c>
      <c r="Y1999" t="str">
        <f>"0423562542"</f>
        <v>0423562542</v>
      </c>
      <c r="Z1999" t="s">
        <v>395</v>
      </c>
      <c r="AB1999" t="s">
        <v>291</v>
      </c>
      <c r="AC1999" t="s">
        <v>292</v>
      </c>
      <c r="AD1999" t="s">
        <v>168</v>
      </c>
      <c r="AE1999" t="s">
        <v>293</v>
      </c>
      <c r="AF1999">
        <v>5037</v>
      </c>
      <c r="AG1999" t="s">
        <v>294</v>
      </c>
      <c r="AI1999" t="s">
        <v>59</v>
      </c>
      <c r="AL1999" t="s">
        <v>4548</v>
      </c>
      <c r="AN1999" s="3">
        <v>46063.535416666666</v>
      </c>
      <c r="AO1999" t="s">
        <v>288</v>
      </c>
    </row>
    <row r="2000" spans="1:41" x14ac:dyDescent="0.3">
      <c r="A2000" t="s">
        <v>306</v>
      </c>
      <c r="B2000" t="s">
        <v>1060</v>
      </c>
      <c r="C2000" t="s">
        <v>913</v>
      </c>
      <c r="D2000" t="s">
        <v>184</v>
      </c>
      <c r="E2000" s="1">
        <v>46063</v>
      </c>
      <c r="F2000" t="s">
        <v>1376</v>
      </c>
      <c r="G2000" t="s">
        <v>45</v>
      </c>
      <c r="H2000" s="2">
        <v>0.3125</v>
      </c>
      <c r="I2000" s="2">
        <v>0.5625</v>
      </c>
      <c r="J2000" t="s">
        <v>2484</v>
      </c>
      <c r="L2000" t="s">
        <v>702</v>
      </c>
      <c r="M2000" t="s">
        <v>4549</v>
      </c>
      <c r="N2000" t="s">
        <v>4550</v>
      </c>
      <c r="O2000">
        <v>22536</v>
      </c>
      <c r="Q2000" t="s">
        <v>413</v>
      </c>
      <c r="R2000" t="s">
        <v>314</v>
      </c>
      <c r="S2000" t="s">
        <v>119</v>
      </c>
      <c r="T2000" t="s">
        <v>414</v>
      </c>
      <c r="U2000">
        <v>890489</v>
      </c>
      <c r="V2000" s="3">
        <v>46057.338888888888</v>
      </c>
      <c r="W2000" t="s">
        <v>4551</v>
      </c>
      <c r="X2000" t="s">
        <v>4552</v>
      </c>
      <c r="Y2000" t="str">
        <f>"0468734090"</f>
        <v>0468734090</v>
      </c>
      <c r="Z2000" t="s">
        <v>70</v>
      </c>
      <c r="AB2000" t="s">
        <v>1066</v>
      </c>
      <c r="AD2000" t="s">
        <v>306</v>
      </c>
      <c r="AE2000" t="s">
        <v>1067</v>
      </c>
      <c r="AF2000">
        <v>3084</v>
      </c>
      <c r="AI2000" t="s">
        <v>59</v>
      </c>
      <c r="AL2000" t="s">
        <v>1729</v>
      </c>
      <c r="AM2000" t="s">
        <v>4553</v>
      </c>
      <c r="AN2000" s="3">
        <v>46057.53402777778</v>
      </c>
      <c r="AO2000" t="s">
        <v>476</v>
      </c>
    </row>
    <row r="2001" spans="1:41" x14ac:dyDescent="0.3">
      <c r="A2001" t="s">
        <v>306</v>
      </c>
      <c r="B2001" t="s">
        <v>1435</v>
      </c>
      <c r="C2001" t="s">
        <v>43</v>
      </c>
      <c r="D2001" t="s">
        <v>1436</v>
      </c>
      <c r="E2001" s="1">
        <v>46063</v>
      </c>
      <c r="F2001" t="s">
        <v>1376</v>
      </c>
      <c r="G2001" t="s">
        <v>45</v>
      </c>
      <c r="H2001" s="2">
        <v>0.3125</v>
      </c>
      <c r="I2001" s="2">
        <v>0.5625</v>
      </c>
      <c r="J2001" t="s">
        <v>701</v>
      </c>
      <c r="L2001" t="s">
        <v>702</v>
      </c>
      <c r="M2001" t="s">
        <v>703</v>
      </c>
      <c r="N2001" t="s">
        <v>704</v>
      </c>
      <c r="O2001">
        <v>20947</v>
      </c>
      <c r="Q2001" t="s">
        <v>413</v>
      </c>
      <c r="R2001" t="s">
        <v>1248</v>
      </c>
      <c r="S2001" t="s">
        <v>52</v>
      </c>
      <c r="U2001">
        <v>889982</v>
      </c>
      <c r="V2001" s="3">
        <v>46055.824305555558</v>
      </c>
      <c r="W2001" t="s">
        <v>706</v>
      </c>
      <c r="X2001" t="s">
        <v>707</v>
      </c>
      <c r="Y2001" t="str">
        <f>"0437759431"</f>
        <v>0437759431</v>
      </c>
      <c r="Z2001" t="s">
        <v>70</v>
      </c>
      <c r="AB2001" t="s">
        <v>1438</v>
      </c>
      <c r="AD2001" t="s">
        <v>306</v>
      </c>
      <c r="AE2001" t="s">
        <v>1439</v>
      </c>
      <c r="AF2001">
        <v>3128</v>
      </c>
      <c r="AG2001" t="s">
        <v>1808</v>
      </c>
      <c r="AI2001" t="s">
        <v>59</v>
      </c>
      <c r="AL2001" t="s">
        <v>4554</v>
      </c>
      <c r="AN2001" s="3">
        <v>46063.545138888891</v>
      </c>
      <c r="AO2001" t="s">
        <v>706</v>
      </c>
    </row>
    <row r="2002" spans="1:41" x14ac:dyDescent="0.3">
      <c r="A2002" t="s">
        <v>75</v>
      </c>
      <c r="B2002" t="s">
        <v>2210</v>
      </c>
      <c r="C2002" t="s">
        <v>2211</v>
      </c>
      <c r="D2002" t="s">
        <v>2212</v>
      </c>
      <c r="E2002" s="1">
        <v>46063</v>
      </c>
      <c r="F2002" t="s">
        <v>1376</v>
      </c>
      <c r="G2002" t="s">
        <v>45</v>
      </c>
      <c r="H2002" s="2">
        <v>0.3125</v>
      </c>
      <c r="I2002" s="2">
        <v>0.72916666666666663</v>
      </c>
      <c r="J2002" t="s">
        <v>101</v>
      </c>
      <c r="L2002" t="s">
        <v>159</v>
      </c>
      <c r="M2002" t="s">
        <v>1051</v>
      </c>
      <c r="N2002" t="s">
        <v>2213</v>
      </c>
      <c r="O2002">
        <v>22543</v>
      </c>
      <c r="Q2002" t="s">
        <v>2214</v>
      </c>
      <c r="R2002" t="s">
        <v>926</v>
      </c>
      <c r="S2002" t="s">
        <v>52</v>
      </c>
      <c r="U2002">
        <v>890062</v>
      </c>
      <c r="V2002" s="3">
        <v>46057.636805555558</v>
      </c>
      <c r="W2002" t="s">
        <v>2215</v>
      </c>
      <c r="X2002" t="s">
        <v>2216</v>
      </c>
      <c r="Y2002" t="str">
        <f>"0433875003"</f>
        <v>0433875003</v>
      </c>
      <c r="Z2002" t="s">
        <v>70</v>
      </c>
      <c r="AA2002" s="1">
        <v>46063</v>
      </c>
      <c r="AB2002" t="s">
        <v>2217</v>
      </c>
      <c r="AD2002" t="s">
        <v>75</v>
      </c>
      <c r="AE2002" t="s">
        <v>903</v>
      </c>
      <c r="AF2002">
        <v>6009</v>
      </c>
      <c r="AG2002" t="s">
        <v>2214</v>
      </c>
      <c r="AI2002" t="s">
        <v>59</v>
      </c>
      <c r="AL2002" t="s">
        <v>2218</v>
      </c>
      <c r="AN2002" s="3">
        <v>46063.839583333334</v>
      </c>
      <c r="AO2002" t="s">
        <v>2215</v>
      </c>
    </row>
    <row r="2003" spans="1:41" x14ac:dyDescent="0.3">
      <c r="A2003" t="s">
        <v>61</v>
      </c>
      <c r="B2003" t="s">
        <v>62</v>
      </c>
      <c r="C2003" t="s">
        <v>43</v>
      </c>
      <c r="D2003" t="s">
        <v>63</v>
      </c>
      <c r="E2003" s="1">
        <v>46063</v>
      </c>
      <c r="F2003" t="s">
        <v>1376</v>
      </c>
      <c r="G2003" t="s">
        <v>45</v>
      </c>
      <c r="H2003" s="2">
        <v>0.3125</v>
      </c>
      <c r="I2003" s="2">
        <v>0.98958333333333337</v>
      </c>
      <c r="J2003" t="s">
        <v>185</v>
      </c>
      <c r="L2003" t="s">
        <v>784</v>
      </c>
      <c r="M2003" t="s">
        <v>785</v>
      </c>
      <c r="N2003" t="s">
        <v>786</v>
      </c>
      <c r="O2003">
        <v>5951112</v>
      </c>
      <c r="Q2003" t="s">
        <v>66</v>
      </c>
      <c r="R2003" t="s">
        <v>67</v>
      </c>
      <c r="S2003" t="s">
        <v>52</v>
      </c>
      <c r="U2003">
        <v>890022</v>
      </c>
      <c r="V2003" s="3">
        <v>46056.445138888892</v>
      </c>
      <c r="W2003" t="s">
        <v>787</v>
      </c>
      <c r="X2003" t="s">
        <v>788</v>
      </c>
      <c r="Y2003" t="str">
        <f>"0423329386"</f>
        <v>0423329386</v>
      </c>
      <c r="Z2003" t="s">
        <v>70</v>
      </c>
      <c r="AB2003" t="s">
        <v>71</v>
      </c>
      <c r="AD2003" t="s">
        <v>61</v>
      </c>
      <c r="AE2003" t="s">
        <v>72</v>
      </c>
      <c r="AF2003">
        <v>2747</v>
      </c>
      <c r="AG2003" t="s">
        <v>73</v>
      </c>
      <c r="AI2003" t="s">
        <v>59</v>
      </c>
      <c r="AL2003" t="s">
        <v>4555</v>
      </c>
      <c r="AN2003" s="3">
        <v>46063.754166666666</v>
      </c>
      <c r="AO2003" t="s">
        <v>787</v>
      </c>
    </row>
    <row r="2004" spans="1:41" x14ac:dyDescent="0.3">
      <c r="A2004" t="s">
        <v>61</v>
      </c>
      <c r="B2004" t="s">
        <v>126</v>
      </c>
      <c r="C2004" t="s">
        <v>43</v>
      </c>
      <c r="D2004" t="s">
        <v>127</v>
      </c>
      <c r="E2004" s="1">
        <v>46063</v>
      </c>
      <c r="F2004" t="s">
        <v>1376</v>
      </c>
      <c r="G2004" t="s">
        <v>45</v>
      </c>
      <c r="H2004" s="2">
        <v>0.3125</v>
      </c>
      <c r="I2004" s="2">
        <v>0.45833333333333331</v>
      </c>
      <c r="J2004" t="s">
        <v>100</v>
      </c>
      <c r="L2004" t="s">
        <v>100</v>
      </c>
      <c r="M2004" t="s">
        <v>153</v>
      </c>
      <c r="N2004" t="s">
        <v>154</v>
      </c>
      <c r="O2004">
        <v>21936</v>
      </c>
      <c r="Q2004" t="s">
        <v>131</v>
      </c>
      <c r="R2004" t="s">
        <v>759</v>
      </c>
      <c r="S2004" t="s">
        <v>119</v>
      </c>
      <c r="T2004" t="s">
        <v>760</v>
      </c>
      <c r="U2004" t="s">
        <v>4556</v>
      </c>
      <c r="V2004" s="3">
        <v>46077.647916666669</v>
      </c>
      <c r="W2004" t="s">
        <v>155</v>
      </c>
      <c r="X2004" t="s">
        <v>156</v>
      </c>
      <c r="Y2004" t="str">
        <f>"0425175454"</f>
        <v>0425175454</v>
      </c>
      <c r="Z2004" t="s">
        <v>70</v>
      </c>
      <c r="AB2004" t="s">
        <v>136</v>
      </c>
      <c r="AD2004" t="s">
        <v>61</v>
      </c>
      <c r="AE2004" t="s">
        <v>137</v>
      </c>
      <c r="AF2004">
        <v>2032</v>
      </c>
      <c r="AG2004" t="s">
        <v>131</v>
      </c>
      <c r="AI2004" t="s">
        <v>59</v>
      </c>
      <c r="AM2004" t="s">
        <v>4557</v>
      </c>
      <c r="AN2004" s="3">
        <v>46077.647916666669</v>
      </c>
      <c r="AO2004" t="s">
        <v>759</v>
      </c>
    </row>
    <row r="2005" spans="1:41" x14ac:dyDescent="0.3">
      <c r="A2005" t="s">
        <v>61</v>
      </c>
      <c r="B2005" t="s">
        <v>126</v>
      </c>
      <c r="C2005" t="s">
        <v>43</v>
      </c>
      <c r="D2005" t="s">
        <v>127</v>
      </c>
      <c r="E2005" s="1">
        <v>46063</v>
      </c>
      <c r="F2005" t="s">
        <v>1376</v>
      </c>
      <c r="G2005" t="s">
        <v>45</v>
      </c>
      <c r="H2005" s="2">
        <v>0.3125</v>
      </c>
      <c r="I2005" s="2">
        <v>0.45833333333333331</v>
      </c>
      <c r="J2005" t="s">
        <v>100</v>
      </c>
      <c r="L2005" t="s">
        <v>100</v>
      </c>
      <c r="M2005" t="s">
        <v>153</v>
      </c>
      <c r="N2005" t="s">
        <v>154</v>
      </c>
      <c r="O2005">
        <v>21936</v>
      </c>
      <c r="Q2005" t="s">
        <v>131</v>
      </c>
      <c r="R2005" t="s">
        <v>759</v>
      </c>
      <c r="S2005" t="s">
        <v>119</v>
      </c>
      <c r="T2005" t="s">
        <v>760</v>
      </c>
      <c r="U2005" t="s">
        <v>4558</v>
      </c>
      <c r="V2005" s="3">
        <v>46077.652777777781</v>
      </c>
      <c r="W2005" t="s">
        <v>155</v>
      </c>
      <c r="X2005" t="s">
        <v>156</v>
      </c>
      <c r="Y2005" t="str">
        <f>"0425175454"</f>
        <v>0425175454</v>
      </c>
      <c r="Z2005" t="s">
        <v>70</v>
      </c>
      <c r="AB2005" t="s">
        <v>136</v>
      </c>
      <c r="AD2005" t="s">
        <v>61</v>
      </c>
      <c r="AE2005" t="s">
        <v>137</v>
      </c>
      <c r="AF2005">
        <v>2032</v>
      </c>
      <c r="AG2005" t="s">
        <v>131</v>
      </c>
      <c r="AI2005" t="s">
        <v>59</v>
      </c>
      <c r="AM2005" t="s">
        <v>4557</v>
      </c>
      <c r="AN2005" s="3">
        <v>46077.652777777781</v>
      </c>
      <c r="AO2005" t="s">
        <v>759</v>
      </c>
    </row>
    <row r="2006" spans="1:41" x14ac:dyDescent="0.3">
      <c r="A2006" t="s">
        <v>75</v>
      </c>
      <c r="B2006" t="s">
        <v>76</v>
      </c>
      <c r="C2006" t="s">
        <v>43</v>
      </c>
      <c r="D2006" t="s">
        <v>63</v>
      </c>
      <c r="E2006" s="1">
        <v>46063</v>
      </c>
      <c r="F2006" t="s">
        <v>1376</v>
      </c>
      <c r="G2006" t="s">
        <v>45</v>
      </c>
      <c r="H2006" s="2">
        <v>0.3125</v>
      </c>
      <c r="I2006" s="2">
        <v>0.77083333333333337</v>
      </c>
      <c r="J2006" t="s">
        <v>46</v>
      </c>
      <c r="K2006" t="s">
        <v>77</v>
      </c>
      <c r="L2006" t="s">
        <v>47</v>
      </c>
      <c r="M2006" t="s">
        <v>924</v>
      </c>
      <c r="N2006" t="s">
        <v>925</v>
      </c>
      <c r="O2006">
        <v>5951405</v>
      </c>
      <c r="Q2006" t="s">
        <v>80</v>
      </c>
      <c r="R2006" t="s">
        <v>926</v>
      </c>
      <c r="S2006" t="s">
        <v>52</v>
      </c>
      <c r="U2006">
        <v>890078</v>
      </c>
      <c r="V2006" s="3">
        <v>46062.472916666666</v>
      </c>
      <c r="W2006" t="s">
        <v>927</v>
      </c>
      <c r="X2006" t="s">
        <v>928</v>
      </c>
      <c r="Y2006" t="str">
        <f>"0406099115"</f>
        <v>0406099115</v>
      </c>
      <c r="Z2006" t="s">
        <v>70</v>
      </c>
      <c r="AA2006" s="1">
        <v>46063</v>
      </c>
      <c r="AB2006" t="s">
        <v>85</v>
      </c>
      <c r="AD2006" t="s">
        <v>75</v>
      </c>
      <c r="AE2006" t="s">
        <v>86</v>
      </c>
      <c r="AF2006">
        <v>6000</v>
      </c>
      <c r="AG2006" t="s">
        <v>80</v>
      </c>
      <c r="AI2006" t="s">
        <v>59</v>
      </c>
      <c r="AL2006" t="s">
        <v>4559</v>
      </c>
      <c r="AN2006" s="3">
        <v>46063.910416666666</v>
      </c>
      <c r="AO2006" t="s">
        <v>927</v>
      </c>
    </row>
    <row r="2007" spans="1:41" x14ac:dyDescent="0.3">
      <c r="A2007" t="s">
        <v>306</v>
      </c>
      <c r="B2007" t="s">
        <v>494</v>
      </c>
      <c r="C2007" t="s">
        <v>495</v>
      </c>
      <c r="D2007" t="s">
        <v>63</v>
      </c>
      <c r="E2007" s="1">
        <v>46072</v>
      </c>
      <c r="F2007" t="s">
        <v>621</v>
      </c>
      <c r="G2007" t="s">
        <v>485</v>
      </c>
      <c r="H2007" s="2">
        <v>0.79166666666666663</v>
      </c>
      <c r="I2007" s="2">
        <v>0.3125</v>
      </c>
      <c r="J2007" t="s">
        <v>496</v>
      </c>
      <c r="L2007" t="s">
        <v>172</v>
      </c>
      <c r="M2007" t="s">
        <v>497</v>
      </c>
      <c r="N2007" t="s">
        <v>498</v>
      </c>
      <c r="O2007">
        <v>21749</v>
      </c>
      <c r="Q2007" t="s">
        <v>499</v>
      </c>
      <c r="R2007" t="s">
        <v>500</v>
      </c>
      <c r="S2007" t="s">
        <v>52</v>
      </c>
      <c r="U2007">
        <v>891220</v>
      </c>
      <c r="V2007" s="3">
        <v>46068.654861111114</v>
      </c>
      <c r="W2007" t="s">
        <v>501</v>
      </c>
      <c r="X2007" t="s">
        <v>502</v>
      </c>
      <c r="Y2007" t="str">
        <f>"0400876131"</f>
        <v>0400876131</v>
      </c>
      <c r="Z2007" t="s">
        <v>55</v>
      </c>
      <c r="AA2007" s="1">
        <v>46072</v>
      </c>
      <c r="AB2007" t="s">
        <v>504</v>
      </c>
      <c r="AD2007" t="s">
        <v>306</v>
      </c>
      <c r="AE2007" t="s">
        <v>505</v>
      </c>
      <c r="AF2007">
        <v>3052</v>
      </c>
      <c r="AG2007" t="s">
        <v>499</v>
      </c>
      <c r="AI2007" t="s">
        <v>59</v>
      </c>
      <c r="AL2007" t="s">
        <v>506</v>
      </c>
      <c r="AN2007" s="3">
        <v>46073.285416666666</v>
      </c>
      <c r="AO2007" t="s">
        <v>501</v>
      </c>
    </row>
    <row r="2008" spans="1:41" x14ac:dyDescent="0.3">
      <c r="A2008" t="s">
        <v>61</v>
      </c>
      <c r="B2008" t="s">
        <v>1462</v>
      </c>
      <c r="C2008" t="s">
        <v>296</v>
      </c>
      <c r="D2008" t="s">
        <v>90</v>
      </c>
      <c r="E2008" s="1">
        <v>46072</v>
      </c>
      <c r="F2008" t="s">
        <v>621</v>
      </c>
      <c r="G2008" t="s">
        <v>485</v>
      </c>
      <c r="H2008" s="2">
        <v>0.79166666666666663</v>
      </c>
      <c r="I2008" s="2">
        <v>0.3125</v>
      </c>
      <c r="J2008" t="s">
        <v>296</v>
      </c>
      <c r="M2008" t="s">
        <v>571</v>
      </c>
      <c r="N2008" t="s">
        <v>4560</v>
      </c>
      <c r="O2008">
        <v>11878</v>
      </c>
      <c r="Q2008" t="s">
        <v>3765</v>
      </c>
      <c r="R2008" t="s">
        <v>500</v>
      </c>
      <c r="S2008" t="s">
        <v>119</v>
      </c>
      <c r="T2008" t="s">
        <v>414</v>
      </c>
      <c r="U2008">
        <v>891618</v>
      </c>
      <c r="V2008" s="3">
        <v>46069.944444444445</v>
      </c>
      <c r="W2008" t="s">
        <v>4561</v>
      </c>
      <c r="X2008" t="s">
        <v>4562</v>
      </c>
      <c r="Y2008" t="str">
        <f>"0450006410"</f>
        <v>0450006410</v>
      </c>
      <c r="Z2008" t="s">
        <v>70</v>
      </c>
      <c r="AA2008" s="1">
        <v>46072</v>
      </c>
      <c r="AB2008" t="s">
        <v>1468</v>
      </c>
      <c r="AD2008" t="s">
        <v>61</v>
      </c>
      <c r="AE2008" t="s">
        <v>1469</v>
      </c>
      <c r="AF2008">
        <v>2060</v>
      </c>
      <c r="AG2008" t="s">
        <v>988</v>
      </c>
      <c r="AI2008" t="s">
        <v>59</v>
      </c>
      <c r="AL2008" t="s">
        <v>4563</v>
      </c>
      <c r="AN2008" s="3">
        <v>46072.456944444442</v>
      </c>
      <c r="AO2008" t="s">
        <v>67</v>
      </c>
    </row>
    <row r="2009" spans="1:41" x14ac:dyDescent="0.3">
      <c r="A2009" t="s">
        <v>61</v>
      </c>
      <c r="B2009" t="s">
        <v>507</v>
      </c>
      <c r="D2009" t="s">
        <v>63</v>
      </c>
      <c r="E2009" s="1">
        <v>46072</v>
      </c>
      <c r="F2009" t="s">
        <v>621</v>
      </c>
      <c r="G2009" t="s">
        <v>485</v>
      </c>
      <c r="H2009" s="2">
        <v>0.79166666666666663</v>
      </c>
      <c r="I2009" s="2">
        <v>0.3125</v>
      </c>
      <c r="J2009" t="s">
        <v>296</v>
      </c>
      <c r="L2009" t="s">
        <v>298</v>
      </c>
      <c r="M2009" t="s">
        <v>508</v>
      </c>
      <c r="N2009" t="s">
        <v>509</v>
      </c>
      <c r="O2009">
        <v>22014</v>
      </c>
      <c r="Q2009" t="s">
        <v>510</v>
      </c>
      <c r="R2009" t="s">
        <v>132</v>
      </c>
      <c r="S2009" t="s">
        <v>52</v>
      </c>
      <c r="U2009">
        <v>891238</v>
      </c>
      <c r="V2009" s="3">
        <v>46042.390972222223</v>
      </c>
      <c r="W2009" t="s">
        <v>511</v>
      </c>
      <c r="X2009" t="s">
        <v>512</v>
      </c>
      <c r="Y2009" t="str">
        <f>"0430326260"</f>
        <v>0430326260</v>
      </c>
      <c r="Z2009" t="s">
        <v>4564</v>
      </c>
      <c r="AB2009" t="s">
        <v>514</v>
      </c>
      <c r="AD2009" t="s">
        <v>61</v>
      </c>
      <c r="AE2009" t="s">
        <v>515</v>
      </c>
      <c r="AF2009">
        <v>2086</v>
      </c>
      <c r="AG2009" t="s">
        <v>516</v>
      </c>
      <c r="AI2009" t="s">
        <v>59</v>
      </c>
      <c r="AL2009" t="s">
        <v>4329</v>
      </c>
      <c r="AN2009" s="3">
        <v>46073.333333333336</v>
      </c>
      <c r="AO2009" t="s">
        <v>511</v>
      </c>
    </row>
    <row r="2010" spans="1:41" x14ac:dyDescent="0.3">
      <c r="A2010" t="s">
        <v>306</v>
      </c>
      <c r="B2010" t="s">
        <v>1784</v>
      </c>
      <c r="C2010" t="s">
        <v>3903</v>
      </c>
      <c r="D2010" t="s">
        <v>1436</v>
      </c>
      <c r="E2010" s="1">
        <v>46072</v>
      </c>
      <c r="F2010" t="s">
        <v>621</v>
      </c>
      <c r="G2010" t="s">
        <v>485</v>
      </c>
      <c r="H2010" s="2">
        <v>0.875</v>
      </c>
      <c r="I2010" s="2">
        <v>0.3125</v>
      </c>
      <c r="J2010" t="s">
        <v>529</v>
      </c>
      <c r="L2010" t="s">
        <v>1675</v>
      </c>
      <c r="M2010" t="s">
        <v>1576</v>
      </c>
      <c r="N2010" t="s">
        <v>1676</v>
      </c>
      <c r="O2010">
        <v>20292</v>
      </c>
      <c r="Q2010" t="s">
        <v>413</v>
      </c>
      <c r="R2010" t="s">
        <v>759</v>
      </c>
      <c r="S2010" t="s">
        <v>119</v>
      </c>
      <c r="T2010" t="s">
        <v>760</v>
      </c>
      <c r="U2010" t="s">
        <v>4565</v>
      </c>
      <c r="V2010" s="3">
        <v>46098.477777777778</v>
      </c>
      <c r="W2010" t="s">
        <v>1678</v>
      </c>
      <c r="X2010" t="s">
        <v>1679</v>
      </c>
      <c r="Y2010" t="str">
        <f>"0490774941"</f>
        <v>0490774941</v>
      </c>
      <c r="Z2010" t="s">
        <v>70</v>
      </c>
      <c r="AB2010" t="s">
        <v>1788</v>
      </c>
      <c r="AD2010" t="s">
        <v>306</v>
      </c>
      <c r="AE2010" t="s">
        <v>1789</v>
      </c>
      <c r="AF2010">
        <v>3121</v>
      </c>
      <c r="AG2010" t="s">
        <v>413</v>
      </c>
      <c r="AI2010" t="s">
        <v>59</v>
      </c>
      <c r="AM2010" t="s">
        <v>4566</v>
      </c>
      <c r="AN2010" s="3">
        <v>46098.477777777778</v>
      </c>
      <c r="AO2010" t="s">
        <v>759</v>
      </c>
    </row>
    <row r="2011" spans="1:41" x14ac:dyDescent="0.3">
      <c r="A2011" t="s">
        <v>306</v>
      </c>
      <c r="B2011" t="s">
        <v>1784</v>
      </c>
      <c r="C2011" t="s">
        <v>3903</v>
      </c>
      <c r="D2011" t="s">
        <v>1436</v>
      </c>
      <c r="E2011" s="1">
        <v>46072</v>
      </c>
      <c r="F2011" t="s">
        <v>621</v>
      </c>
      <c r="G2011" t="s">
        <v>485</v>
      </c>
      <c r="H2011" s="2">
        <v>0.875</v>
      </c>
      <c r="I2011" s="2">
        <v>0.3125</v>
      </c>
      <c r="J2011" t="s">
        <v>529</v>
      </c>
      <c r="L2011" t="s">
        <v>1675</v>
      </c>
      <c r="M2011" t="s">
        <v>1576</v>
      </c>
      <c r="N2011" t="s">
        <v>1676</v>
      </c>
      <c r="O2011">
        <v>20292</v>
      </c>
      <c r="Q2011" t="s">
        <v>705</v>
      </c>
      <c r="R2011" t="s">
        <v>1248</v>
      </c>
      <c r="S2011" t="s">
        <v>52</v>
      </c>
      <c r="U2011">
        <v>891221</v>
      </c>
      <c r="V2011" s="3">
        <v>46072.718055555553</v>
      </c>
      <c r="W2011" t="s">
        <v>1678</v>
      </c>
      <c r="X2011" t="s">
        <v>1679</v>
      </c>
      <c r="Y2011" t="str">
        <f>"0490774941"</f>
        <v>0490774941</v>
      </c>
      <c r="Z2011" t="s">
        <v>70</v>
      </c>
      <c r="AA2011" s="1">
        <v>46072</v>
      </c>
      <c r="AB2011" t="s">
        <v>1788</v>
      </c>
      <c r="AD2011" t="s">
        <v>306</v>
      </c>
      <c r="AE2011" t="s">
        <v>1789</v>
      </c>
      <c r="AF2011">
        <v>3121</v>
      </c>
      <c r="AG2011" t="s">
        <v>413</v>
      </c>
      <c r="AI2011" t="s">
        <v>59</v>
      </c>
      <c r="AL2011" t="s">
        <v>4567</v>
      </c>
      <c r="AN2011" s="3">
        <v>46073.290277777778</v>
      </c>
      <c r="AO2011" t="s">
        <v>1678</v>
      </c>
    </row>
    <row r="2012" spans="1:41" x14ac:dyDescent="0.3">
      <c r="A2012" t="s">
        <v>41</v>
      </c>
      <c r="B2012" t="s">
        <v>1168</v>
      </c>
      <c r="D2012" t="s">
        <v>246</v>
      </c>
      <c r="E2012" s="1">
        <v>46072</v>
      </c>
      <c r="F2012" t="s">
        <v>621</v>
      </c>
      <c r="G2012" t="s">
        <v>45</v>
      </c>
      <c r="H2012" s="2">
        <v>0.875</v>
      </c>
      <c r="I2012" s="2">
        <v>0.3125</v>
      </c>
      <c r="J2012" t="s">
        <v>296</v>
      </c>
      <c r="L2012" t="s">
        <v>1169</v>
      </c>
      <c r="M2012" t="s">
        <v>1170</v>
      </c>
      <c r="N2012" t="s">
        <v>1171</v>
      </c>
      <c r="O2012">
        <v>5952274</v>
      </c>
      <c r="Q2012" t="s">
        <v>1172</v>
      </c>
      <c r="R2012" t="s">
        <v>1173</v>
      </c>
      <c r="S2012" t="s">
        <v>52</v>
      </c>
      <c r="T2012" t="s">
        <v>252</v>
      </c>
      <c r="U2012">
        <v>891466</v>
      </c>
      <c r="V2012" s="3">
        <v>46076.529166666667</v>
      </c>
      <c r="W2012" t="s">
        <v>1173</v>
      </c>
      <c r="X2012" t="s">
        <v>1174</v>
      </c>
      <c r="Y2012" t="str">
        <f>"0432261353"</f>
        <v>0432261353</v>
      </c>
      <c r="Z2012" t="s">
        <v>345</v>
      </c>
      <c r="AA2012" s="1">
        <v>46083</v>
      </c>
      <c r="AB2012" t="s">
        <v>1175</v>
      </c>
      <c r="AD2012" t="s">
        <v>41</v>
      </c>
      <c r="AE2012" t="s">
        <v>1176</v>
      </c>
      <c r="AF2012">
        <v>4680</v>
      </c>
      <c r="AG2012" t="s">
        <v>1177</v>
      </c>
      <c r="AI2012" t="s">
        <v>59</v>
      </c>
      <c r="AJ2012" t="str">
        <f>"0050076336"</f>
        <v>0050076336</v>
      </c>
      <c r="AN2012" s="3">
        <v>46076.529166666667</v>
      </c>
      <c r="AO2012" t="s">
        <v>1173</v>
      </c>
    </row>
    <row r="2013" spans="1:41" x14ac:dyDescent="0.3">
      <c r="A2013" t="s">
        <v>168</v>
      </c>
      <c r="B2013" t="s">
        <v>336</v>
      </c>
      <c r="D2013" t="s">
        <v>268</v>
      </c>
      <c r="E2013" s="1">
        <v>46072</v>
      </c>
      <c r="F2013" t="s">
        <v>621</v>
      </c>
      <c r="G2013" t="s">
        <v>485</v>
      </c>
      <c r="H2013" s="2">
        <v>0.875</v>
      </c>
      <c r="I2013" s="2">
        <v>0.3125</v>
      </c>
      <c r="J2013" t="s">
        <v>296</v>
      </c>
      <c r="K2013" t="s">
        <v>338</v>
      </c>
      <c r="L2013" t="s">
        <v>522</v>
      </c>
      <c r="M2013" t="s">
        <v>523</v>
      </c>
      <c r="N2013" t="s">
        <v>524</v>
      </c>
      <c r="O2013">
        <v>5951086</v>
      </c>
      <c r="P2013" t="s">
        <v>338</v>
      </c>
      <c r="Q2013" t="s">
        <v>342</v>
      </c>
      <c r="R2013" t="s">
        <v>176</v>
      </c>
      <c r="S2013" t="s">
        <v>52</v>
      </c>
      <c r="U2013">
        <v>891171</v>
      </c>
      <c r="V2013" s="3">
        <v>46052.443055555559</v>
      </c>
      <c r="W2013" t="s">
        <v>525</v>
      </c>
      <c r="X2013" t="s">
        <v>526</v>
      </c>
      <c r="Y2013" t="str">
        <f>"0415251474"</f>
        <v>0415251474</v>
      </c>
      <c r="Z2013" t="s">
        <v>4033</v>
      </c>
      <c r="AB2013" t="s">
        <v>346</v>
      </c>
      <c r="AD2013" t="s">
        <v>168</v>
      </c>
      <c r="AE2013" t="s">
        <v>347</v>
      </c>
      <c r="AF2013">
        <v>5042</v>
      </c>
      <c r="AG2013" t="s">
        <v>342</v>
      </c>
      <c r="AI2013" t="s">
        <v>59</v>
      </c>
      <c r="AL2013" t="s">
        <v>4568</v>
      </c>
      <c r="AM2013" t="s">
        <v>349</v>
      </c>
      <c r="AN2013" s="3">
        <v>46072.900694444441</v>
      </c>
      <c r="AO2013" t="s">
        <v>525</v>
      </c>
    </row>
    <row r="2014" spans="1:41" x14ac:dyDescent="0.3">
      <c r="A2014" t="s">
        <v>168</v>
      </c>
      <c r="B2014" t="s">
        <v>336</v>
      </c>
      <c r="D2014" t="s">
        <v>268</v>
      </c>
      <c r="E2014" s="1">
        <v>46072</v>
      </c>
      <c r="F2014" t="s">
        <v>621</v>
      </c>
      <c r="G2014" t="s">
        <v>485</v>
      </c>
      <c r="H2014" s="2">
        <v>0.875</v>
      </c>
      <c r="I2014" s="2">
        <v>0.3125</v>
      </c>
      <c r="J2014" t="s">
        <v>296</v>
      </c>
      <c r="K2014" t="s">
        <v>338</v>
      </c>
      <c r="L2014" t="s">
        <v>339</v>
      </c>
      <c r="M2014" t="s">
        <v>806</v>
      </c>
      <c r="N2014" t="s">
        <v>1671</v>
      </c>
      <c r="O2014">
        <v>5951069</v>
      </c>
      <c r="P2014" t="s">
        <v>338</v>
      </c>
      <c r="Q2014" t="s">
        <v>342</v>
      </c>
      <c r="R2014" t="s">
        <v>176</v>
      </c>
      <c r="S2014" t="s">
        <v>52</v>
      </c>
      <c r="U2014">
        <v>891169</v>
      </c>
      <c r="V2014" s="3">
        <v>46052.443749999999</v>
      </c>
      <c r="W2014" t="s">
        <v>1672</v>
      </c>
      <c r="X2014" t="s">
        <v>1673</v>
      </c>
      <c r="Y2014" t="str">
        <f>"0402344127"</f>
        <v>0402344127</v>
      </c>
      <c r="Z2014" t="s">
        <v>1375</v>
      </c>
      <c r="AB2014" t="s">
        <v>346</v>
      </c>
      <c r="AD2014" t="s">
        <v>168</v>
      </c>
      <c r="AE2014" t="s">
        <v>347</v>
      </c>
      <c r="AF2014">
        <v>5042</v>
      </c>
      <c r="AG2014" t="s">
        <v>342</v>
      </c>
      <c r="AI2014" t="s">
        <v>59</v>
      </c>
      <c r="AL2014" t="s">
        <v>4569</v>
      </c>
      <c r="AM2014" t="s">
        <v>349</v>
      </c>
      <c r="AN2014" s="3">
        <v>46072.896527777775</v>
      </c>
      <c r="AO2014" t="s">
        <v>1672</v>
      </c>
    </row>
    <row r="2015" spans="1:41" x14ac:dyDescent="0.3">
      <c r="A2015" t="s">
        <v>306</v>
      </c>
      <c r="B2015" t="s">
        <v>528</v>
      </c>
      <c r="C2015" t="s">
        <v>1523</v>
      </c>
      <c r="D2015" t="s">
        <v>63</v>
      </c>
      <c r="E2015" s="1">
        <v>46072</v>
      </c>
      <c r="F2015" t="s">
        <v>621</v>
      </c>
      <c r="G2015" t="s">
        <v>485</v>
      </c>
      <c r="H2015" s="2">
        <v>0.89583333333333337</v>
      </c>
      <c r="I2015" s="2">
        <v>0.3125</v>
      </c>
      <c r="J2015" t="s">
        <v>296</v>
      </c>
      <c r="L2015" t="s">
        <v>310</v>
      </c>
      <c r="M2015" t="s">
        <v>311</v>
      </c>
      <c r="N2015" t="s">
        <v>312</v>
      </c>
      <c r="O2015">
        <v>5952174</v>
      </c>
      <c r="Q2015" t="s">
        <v>2187</v>
      </c>
      <c r="R2015" t="s">
        <v>1248</v>
      </c>
      <c r="S2015" t="s">
        <v>52</v>
      </c>
      <c r="U2015">
        <v>891236</v>
      </c>
      <c r="V2015" s="3">
        <v>46067.319444444445</v>
      </c>
      <c r="W2015" t="s">
        <v>315</v>
      </c>
      <c r="X2015" t="s">
        <v>316</v>
      </c>
      <c r="Y2015" t="str">
        <f>"0452621529"</f>
        <v>0452621529</v>
      </c>
      <c r="Z2015" t="s">
        <v>70</v>
      </c>
      <c r="AA2015" s="1">
        <v>46072</v>
      </c>
      <c r="AB2015" t="s">
        <v>537</v>
      </c>
      <c r="AD2015" t="s">
        <v>306</v>
      </c>
      <c r="AE2015" t="s">
        <v>538</v>
      </c>
      <c r="AF2015">
        <v>3152</v>
      </c>
      <c r="AG2015" t="s">
        <v>2757</v>
      </c>
      <c r="AI2015" t="s">
        <v>59</v>
      </c>
      <c r="AL2015" t="s">
        <v>370</v>
      </c>
      <c r="AN2015" s="3">
        <v>46073.328472222223</v>
      </c>
      <c r="AO2015" t="s">
        <v>315</v>
      </c>
    </row>
    <row r="2016" spans="1:41" x14ac:dyDescent="0.3">
      <c r="A2016" t="s">
        <v>61</v>
      </c>
      <c r="B2016" t="s">
        <v>1462</v>
      </c>
      <c r="C2016" t="s">
        <v>296</v>
      </c>
      <c r="D2016" t="s">
        <v>90</v>
      </c>
      <c r="E2016" s="1">
        <v>46072</v>
      </c>
      <c r="F2016" t="s">
        <v>621</v>
      </c>
      <c r="G2016" t="s">
        <v>485</v>
      </c>
      <c r="H2016" s="2">
        <v>0.89583333333333337</v>
      </c>
      <c r="I2016" s="2">
        <v>0.3125</v>
      </c>
      <c r="J2016" t="s">
        <v>296</v>
      </c>
      <c r="L2016" t="s">
        <v>1996</v>
      </c>
      <c r="M2016" t="s">
        <v>1997</v>
      </c>
      <c r="N2016" t="s">
        <v>933</v>
      </c>
      <c r="O2016">
        <v>5952317</v>
      </c>
      <c r="Q2016" t="s">
        <v>2875</v>
      </c>
      <c r="R2016" t="s">
        <v>67</v>
      </c>
      <c r="S2016" t="s">
        <v>119</v>
      </c>
      <c r="T2016" t="s">
        <v>414</v>
      </c>
      <c r="U2016">
        <v>891613</v>
      </c>
      <c r="V2016" s="3">
        <v>46071.496527777781</v>
      </c>
      <c r="W2016" t="s">
        <v>1998</v>
      </c>
      <c r="X2016" t="s">
        <v>1999</v>
      </c>
      <c r="Y2016" t="str">
        <f>"1111111111"</f>
        <v>1111111111</v>
      </c>
      <c r="Z2016" t="s">
        <v>70</v>
      </c>
      <c r="AB2016" t="s">
        <v>1468</v>
      </c>
      <c r="AD2016" t="s">
        <v>61</v>
      </c>
      <c r="AE2016" t="s">
        <v>1469</v>
      </c>
      <c r="AF2016">
        <v>2060</v>
      </c>
      <c r="AG2016" t="s">
        <v>2126</v>
      </c>
      <c r="AI2016" t="s">
        <v>59</v>
      </c>
      <c r="AL2016" t="s">
        <v>4570</v>
      </c>
      <c r="AN2016" s="3">
        <v>46072.683333333334</v>
      </c>
      <c r="AO2016" t="s">
        <v>1248</v>
      </c>
    </row>
    <row r="2017" spans="1:41" x14ac:dyDescent="0.3">
      <c r="A2017" t="s">
        <v>61</v>
      </c>
      <c r="B2017" t="s">
        <v>1462</v>
      </c>
      <c r="C2017" t="s">
        <v>296</v>
      </c>
      <c r="D2017" t="s">
        <v>90</v>
      </c>
      <c r="E2017" s="1">
        <v>46072</v>
      </c>
      <c r="F2017" t="s">
        <v>621</v>
      </c>
      <c r="G2017" t="s">
        <v>485</v>
      </c>
      <c r="H2017" s="2">
        <v>0.89583333333333337</v>
      </c>
      <c r="I2017" s="2">
        <v>0.3125</v>
      </c>
      <c r="J2017" t="s">
        <v>296</v>
      </c>
      <c r="L2017" t="s">
        <v>47</v>
      </c>
      <c r="M2017" t="s">
        <v>2657</v>
      </c>
      <c r="N2017" t="s">
        <v>933</v>
      </c>
      <c r="O2017">
        <v>5952318</v>
      </c>
      <c r="Q2017" t="s">
        <v>2875</v>
      </c>
      <c r="R2017" t="s">
        <v>67</v>
      </c>
      <c r="S2017" t="s">
        <v>119</v>
      </c>
      <c r="U2017">
        <v>891617</v>
      </c>
      <c r="V2017" s="3">
        <v>46071.49722222222</v>
      </c>
      <c r="W2017" t="s">
        <v>2659</v>
      </c>
      <c r="X2017" t="s">
        <v>2660</v>
      </c>
      <c r="Y2017" t="str">
        <f>"1111111111"</f>
        <v>1111111111</v>
      </c>
      <c r="Z2017" t="s">
        <v>55</v>
      </c>
      <c r="AA2017" s="1">
        <v>46072</v>
      </c>
      <c r="AB2017" t="s">
        <v>1468</v>
      </c>
      <c r="AD2017" t="s">
        <v>61</v>
      </c>
      <c r="AE2017" t="s">
        <v>1469</v>
      </c>
      <c r="AF2017">
        <v>2060</v>
      </c>
      <c r="AG2017" t="s">
        <v>541</v>
      </c>
      <c r="AI2017" t="s">
        <v>59</v>
      </c>
      <c r="AL2017" t="s">
        <v>4571</v>
      </c>
      <c r="AN2017" s="3">
        <v>46071.533333333333</v>
      </c>
      <c r="AO2017" t="s">
        <v>67</v>
      </c>
    </row>
    <row r="2018" spans="1:41" x14ac:dyDescent="0.3">
      <c r="A2018" t="s">
        <v>306</v>
      </c>
      <c r="B2018" t="s">
        <v>1238</v>
      </c>
      <c r="C2018" t="s">
        <v>3068</v>
      </c>
      <c r="D2018" t="s">
        <v>90</v>
      </c>
      <c r="E2018" s="1">
        <v>46072</v>
      </c>
      <c r="F2018" t="s">
        <v>621</v>
      </c>
      <c r="G2018" t="s">
        <v>485</v>
      </c>
      <c r="H2018" s="2">
        <v>0.89583333333333337</v>
      </c>
      <c r="I2018" s="2">
        <v>0.3125</v>
      </c>
      <c r="J2018" t="s">
        <v>296</v>
      </c>
      <c r="L2018" t="s">
        <v>4572</v>
      </c>
      <c r="M2018" t="s">
        <v>1395</v>
      </c>
      <c r="N2018" t="s">
        <v>4573</v>
      </c>
      <c r="O2018">
        <v>5952361</v>
      </c>
      <c r="Q2018" t="s">
        <v>1245</v>
      </c>
      <c r="R2018" t="s">
        <v>1248</v>
      </c>
      <c r="S2018" t="s">
        <v>52</v>
      </c>
      <c r="U2018">
        <v>891234</v>
      </c>
      <c r="V2018" s="3">
        <v>46072.79791666667</v>
      </c>
      <c r="W2018" t="s">
        <v>4574</v>
      </c>
      <c r="X2018" t="s">
        <v>4575</v>
      </c>
      <c r="Y2018" t="str">
        <f>"0478587929"</f>
        <v>0478587929</v>
      </c>
      <c r="Z2018" t="s">
        <v>70</v>
      </c>
      <c r="AA2018" s="1">
        <v>46072</v>
      </c>
      <c r="AB2018" t="s">
        <v>1243</v>
      </c>
      <c r="AD2018" t="s">
        <v>306</v>
      </c>
      <c r="AE2018" t="s">
        <v>1244</v>
      </c>
      <c r="AF2018">
        <v>3065</v>
      </c>
      <c r="AG2018" t="s">
        <v>1245</v>
      </c>
      <c r="AI2018" t="s">
        <v>59</v>
      </c>
      <c r="AL2018" t="s">
        <v>87</v>
      </c>
      <c r="AN2018" s="3">
        <v>46073.320833333331</v>
      </c>
      <c r="AO2018" t="s">
        <v>4574</v>
      </c>
    </row>
    <row r="2019" spans="1:41" x14ac:dyDescent="0.3">
      <c r="A2019" t="s">
        <v>306</v>
      </c>
      <c r="B2019" t="s">
        <v>1435</v>
      </c>
      <c r="C2019" t="s">
        <v>2332</v>
      </c>
      <c r="D2019" t="s">
        <v>1436</v>
      </c>
      <c r="E2019" s="1">
        <v>46072</v>
      </c>
      <c r="F2019" t="s">
        <v>621</v>
      </c>
      <c r="G2019" t="s">
        <v>485</v>
      </c>
      <c r="H2019" s="2">
        <v>0.89583333333333337</v>
      </c>
      <c r="I2019" s="2">
        <v>0.3125</v>
      </c>
      <c r="J2019" t="s">
        <v>296</v>
      </c>
      <c r="L2019" t="s">
        <v>1337</v>
      </c>
      <c r="M2019" t="s">
        <v>1338</v>
      </c>
      <c r="N2019" t="s">
        <v>1339</v>
      </c>
      <c r="O2019">
        <v>20818</v>
      </c>
      <c r="Q2019" t="s">
        <v>4576</v>
      </c>
      <c r="R2019" t="s">
        <v>314</v>
      </c>
      <c r="S2019" t="s">
        <v>52</v>
      </c>
      <c r="U2019">
        <v>891224</v>
      </c>
      <c r="V2019" s="3">
        <v>46070.364583333336</v>
      </c>
      <c r="W2019" t="s">
        <v>1340</v>
      </c>
      <c r="X2019" t="s">
        <v>1341</v>
      </c>
      <c r="Y2019" t="str">
        <f>"0449240065"</f>
        <v>0449240065</v>
      </c>
      <c r="Z2019" t="s">
        <v>70</v>
      </c>
      <c r="AA2019" s="1">
        <v>46072</v>
      </c>
      <c r="AB2019" t="s">
        <v>1438</v>
      </c>
      <c r="AD2019" t="s">
        <v>306</v>
      </c>
      <c r="AE2019" t="s">
        <v>1439</v>
      </c>
      <c r="AF2019">
        <v>3128</v>
      </c>
      <c r="AG2019" t="s">
        <v>1808</v>
      </c>
      <c r="AI2019" t="s">
        <v>59</v>
      </c>
      <c r="AL2019" t="s">
        <v>4577</v>
      </c>
      <c r="AN2019" s="3">
        <v>46073.314583333333</v>
      </c>
      <c r="AO2019" t="s">
        <v>1340</v>
      </c>
    </row>
    <row r="2020" spans="1:41" x14ac:dyDescent="0.3">
      <c r="A2020" t="s">
        <v>306</v>
      </c>
      <c r="B2020" t="s">
        <v>1751</v>
      </c>
      <c r="C2020" t="s">
        <v>2947</v>
      </c>
      <c r="D2020" t="s">
        <v>184</v>
      </c>
      <c r="E2020" s="1">
        <v>46072</v>
      </c>
      <c r="F2020" t="s">
        <v>621</v>
      </c>
      <c r="G2020" t="s">
        <v>485</v>
      </c>
      <c r="H2020" s="2">
        <v>0.91666666666666663</v>
      </c>
      <c r="I2020" s="2">
        <v>0.3125</v>
      </c>
      <c r="J2020" t="s">
        <v>2948</v>
      </c>
      <c r="L2020" t="s">
        <v>531</v>
      </c>
      <c r="M2020" t="s">
        <v>532</v>
      </c>
      <c r="N2020" t="s">
        <v>533</v>
      </c>
      <c r="O2020">
        <v>20495</v>
      </c>
      <c r="Q2020" t="s">
        <v>413</v>
      </c>
      <c r="R2020" t="s">
        <v>1248</v>
      </c>
      <c r="S2020" t="s">
        <v>119</v>
      </c>
      <c r="T2020" t="s">
        <v>414</v>
      </c>
      <c r="U2020">
        <v>891507</v>
      </c>
      <c r="V2020" s="3">
        <v>46072.813194444447</v>
      </c>
      <c r="W2020" t="s">
        <v>535</v>
      </c>
      <c r="X2020" t="s">
        <v>536</v>
      </c>
      <c r="Y2020" t="str">
        <f>"0447625522"</f>
        <v>0447625522</v>
      </c>
      <c r="Z2020" t="s">
        <v>70</v>
      </c>
      <c r="AB2020" t="s">
        <v>1759</v>
      </c>
      <c r="AD2020" t="s">
        <v>306</v>
      </c>
      <c r="AE2020" t="s">
        <v>1760</v>
      </c>
      <c r="AF2020">
        <v>3199</v>
      </c>
      <c r="AI2020" t="s">
        <v>59</v>
      </c>
      <c r="AL2020" t="s">
        <v>1068</v>
      </c>
      <c r="AM2020" t="s">
        <v>4578</v>
      </c>
      <c r="AN2020" s="3">
        <v>46072.813888888886</v>
      </c>
      <c r="AO2020" t="s">
        <v>1248</v>
      </c>
    </row>
    <row r="2021" spans="1:41" x14ac:dyDescent="0.3">
      <c r="A2021" t="s">
        <v>168</v>
      </c>
      <c r="B2021" t="s">
        <v>607</v>
      </c>
      <c r="C2021" t="s">
        <v>267</v>
      </c>
      <c r="D2021" t="s">
        <v>268</v>
      </c>
      <c r="E2021" s="1">
        <v>46072</v>
      </c>
      <c r="F2021" t="s">
        <v>621</v>
      </c>
      <c r="G2021" t="s">
        <v>45</v>
      </c>
      <c r="H2021" s="2">
        <v>0.91666666666666663</v>
      </c>
      <c r="I2021" s="2">
        <v>0.35416666666666669</v>
      </c>
      <c r="J2021" t="s">
        <v>269</v>
      </c>
      <c r="K2021" t="s">
        <v>608</v>
      </c>
      <c r="L2021" t="s">
        <v>609</v>
      </c>
      <c r="M2021" t="s">
        <v>610</v>
      </c>
      <c r="N2021" t="s">
        <v>611</v>
      </c>
      <c r="O2021">
        <v>5952121</v>
      </c>
      <c r="P2021" t="s">
        <v>249</v>
      </c>
      <c r="Q2021" t="s">
        <v>612</v>
      </c>
      <c r="R2021" t="s">
        <v>613</v>
      </c>
      <c r="S2021" t="s">
        <v>52</v>
      </c>
      <c r="T2021" t="s">
        <v>252</v>
      </c>
      <c r="U2021">
        <v>891458</v>
      </c>
      <c r="V2021" s="3">
        <v>46076.458333333336</v>
      </c>
      <c r="W2021" t="s">
        <v>613</v>
      </c>
      <c r="X2021" t="s">
        <v>614</v>
      </c>
      <c r="Y2021" t="str">
        <f>"0412297150"</f>
        <v>0412297150</v>
      </c>
      <c r="Z2021" t="s">
        <v>290</v>
      </c>
      <c r="AA2021" s="1">
        <v>46077</v>
      </c>
      <c r="AB2021" t="s">
        <v>615</v>
      </c>
      <c r="AC2021" t="s">
        <v>616</v>
      </c>
      <c r="AD2021" t="s">
        <v>168</v>
      </c>
      <c r="AE2021" t="s">
        <v>617</v>
      </c>
      <c r="AF2021">
        <v>5290</v>
      </c>
      <c r="AG2021" t="s">
        <v>618</v>
      </c>
      <c r="AI2021" t="s">
        <v>59</v>
      </c>
      <c r="AJ2021" t="str">
        <f>"0020171780"</f>
        <v>0020171780</v>
      </c>
      <c r="AM2021" t="s">
        <v>3492</v>
      </c>
      <c r="AN2021" s="3">
        <v>46076.458333333336</v>
      </c>
      <c r="AO2021" t="s">
        <v>613</v>
      </c>
    </row>
    <row r="2022" spans="1:41" x14ac:dyDescent="0.3">
      <c r="A2022" t="s">
        <v>41</v>
      </c>
      <c r="B2022" t="s">
        <v>632</v>
      </c>
      <c r="C2022" t="s">
        <v>296</v>
      </c>
      <c r="D2022" t="s">
        <v>246</v>
      </c>
      <c r="E2022" s="1">
        <v>46072</v>
      </c>
      <c r="F2022" t="s">
        <v>621</v>
      </c>
      <c r="G2022" t="s">
        <v>485</v>
      </c>
      <c r="H2022" s="2">
        <v>0.9375</v>
      </c>
      <c r="I2022" s="2">
        <v>0.29166666666666669</v>
      </c>
      <c r="J2022" t="s">
        <v>464</v>
      </c>
      <c r="K2022" t="s">
        <v>2096</v>
      </c>
      <c r="L2022" t="s">
        <v>540</v>
      </c>
      <c r="M2022" t="s">
        <v>1365</v>
      </c>
      <c r="N2022" t="s">
        <v>1366</v>
      </c>
      <c r="O2022">
        <v>5952403</v>
      </c>
      <c r="Q2022" t="s">
        <v>2098</v>
      </c>
      <c r="R2022" t="s">
        <v>51</v>
      </c>
      <c r="S2022" t="s">
        <v>52</v>
      </c>
      <c r="U2022">
        <v>891235</v>
      </c>
      <c r="V2022" s="3">
        <v>46063.561805555553</v>
      </c>
      <c r="W2022" t="s">
        <v>1368</v>
      </c>
      <c r="X2022" t="s">
        <v>1369</v>
      </c>
      <c r="Y2022" t="str">
        <f>"0426350044"</f>
        <v>0426350044</v>
      </c>
      <c r="Z2022" t="s">
        <v>527</v>
      </c>
      <c r="AB2022" t="s">
        <v>640</v>
      </c>
      <c r="AD2022" t="s">
        <v>41</v>
      </c>
      <c r="AE2022" t="s">
        <v>641</v>
      </c>
      <c r="AF2022">
        <v>4305</v>
      </c>
      <c r="AG2022" t="s">
        <v>2098</v>
      </c>
      <c r="AI2022" t="s">
        <v>59</v>
      </c>
      <c r="AL2022" t="s">
        <v>1407</v>
      </c>
      <c r="AN2022" s="3">
        <v>46073.327777777777</v>
      </c>
      <c r="AO2022" t="s">
        <v>1368</v>
      </c>
    </row>
    <row r="2023" spans="1:41" x14ac:dyDescent="0.3">
      <c r="A2023" t="s">
        <v>41</v>
      </c>
      <c r="B2023" t="s">
        <v>1284</v>
      </c>
      <c r="C2023" t="s">
        <v>2955</v>
      </c>
      <c r="D2023" t="s">
        <v>1286</v>
      </c>
      <c r="E2023" s="1">
        <v>46072</v>
      </c>
      <c r="F2023" t="s">
        <v>621</v>
      </c>
      <c r="G2023" t="s">
        <v>485</v>
      </c>
      <c r="H2023" s="2">
        <v>0.9375</v>
      </c>
      <c r="I2023" s="2">
        <v>0.27083333333333331</v>
      </c>
      <c r="J2023" t="s">
        <v>1287</v>
      </c>
      <c r="L2023" t="s">
        <v>540</v>
      </c>
      <c r="M2023" t="s">
        <v>563</v>
      </c>
      <c r="N2023" t="s">
        <v>564</v>
      </c>
      <c r="O2023">
        <v>402477</v>
      </c>
      <c r="Q2023" t="s">
        <v>413</v>
      </c>
      <c r="R2023" t="s">
        <v>51</v>
      </c>
      <c r="S2023" t="s">
        <v>119</v>
      </c>
      <c r="T2023" t="s">
        <v>1356</v>
      </c>
      <c r="U2023">
        <v>891521</v>
      </c>
      <c r="V2023" s="3">
        <v>46072.629861111112</v>
      </c>
      <c r="W2023" t="s">
        <v>565</v>
      </c>
      <c r="X2023" t="s">
        <v>566</v>
      </c>
      <c r="Y2023" t="str">
        <f>"0417873276"</f>
        <v>0417873276</v>
      </c>
      <c r="Z2023" t="s">
        <v>70</v>
      </c>
      <c r="AB2023" t="s">
        <v>1288</v>
      </c>
      <c r="AD2023" t="s">
        <v>41</v>
      </c>
      <c r="AE2023" t="s">
        <v>150</v>
      </c>
      <c r="AF2023">
        <v>4000</v>
      </c>
      <c r="AI2023" t="s">
        <v>59</v>
      </c>
      <c r="AL2023" t="s">
        <v>1068</v>
      </c>
      <c r="AM2023" t="s">
        <v>4579</v>
      </c>
      <c r="AN2023" s="3">
        <v>46072.630555555559</v>
      </c>
      <c r="AO2023" t="s">
        <v>565</v>
      </c>
    </row>
    <row r="2024" spans="1:41" x14ac:dyDescent="0.3">
      <c r="A2024" t="s">
        <v>41</v>
      </c>
      <c r="B2024" t="s">
        <v>426</v>
      </c>
      <c r="C2024" t="s">
        <v>296</v>
      </c>
      <c r="D2024" t="s">
        <v>246</v>
      </c>
      <c r="E2024" s="1">
        <v>46072</v>
      </c>
      <c r="F2024" t="s">
        <v>621</v>
      </c>
      <c r="G2024" t="s">
        <v>485</v>
      </c>
      <c r="H2024" s="2">
        <v>0.94791666666666663</v>
      </c>
      <c r="I2024" s="2">
        <v>0.30208333333333331</v>
      </c>
      <c r="J2024" t="s">
        <v>464</v>
      </c>
      <c r="L2024" t="s">
        <v>540</v>
      </c>
      <c r="M2024" t="s">
        <v>541</v>
      </c>
      <c r="N2024" t="s">
        <v>542</v>
      </c>
      <c r="O2024">
        <v>402297</v>
      </c>
      <c r="Q2024" t="s">
        <v>2101</v>
      </c>
      <c r="R2024" t="s">
        <v>1472</v>
      </c>
      <c r="S2024" t="s">
        <v>52</v>
      </c>
      <c r="U2024">
        <v>891239</v>
      </c>
      <c r="V2024" s="3">
        <v>46072.684027777781</v>
      </c>
      <c r="W2024" t="s">
        <v>543</v>
      </c>
      <c r="X2024" t="s">
        <v>544</v>
      </c>
      <c r="Y2024" t="str">
        <f>"0434044099"</f>
        <v>0434044099</v>
      </c>
      <c r="Z2024" t="s">
        <v>70</v>
      </c>
      <c r="AA2024" s="1">
        <v>46072</v>
      </c>
      <c r="AB2024" t="s">
        <v>434</v>
      </c>
      <c r="AD2024" t="s">
        <v>41</v>
      </c>
      <c r="AE2024" t="s">
        <v>435</v>
      </c>
      <c r="AF2024">
        <v>4163</v>
      </c>
      <c r="AG2024" t="s">
        <v>2101</v>
      </c>
      <c r="AI2024" t="s">
        <v>59</v>
      </c>
      <c r="AL2024" t="s">
        <v>87</v>
      </c>
      <c r="AN2024" s="3">
        <v>46073.354861111111</v>
      </c>
      <c r="AO2024" t="s">
        <v>543</v>
      </c>
    </row>
    <row r="2025" spans="1:41" x14ac:dyDescent="0.3">
      <c r="A2025" t="s">
        <v>168</v>
      </c>
      <c r="B2025" t="s">
        <v>689</v>
      </c>
      <c r="C2025" t="s">
        <v>43</v>
      </c>
      <c r="D2025" t="s">
        <v>268</v>
      </c>
      <c r="E2025" s="1">
        <v>46042</v>
      </c>
      <c r="F2025" t="s">
        <v>1376</v>
      </c>
      <c r="G2025" t="s">
        <v>45</v>
      </c>
      <c r="H2025" s="2">
        <v>0.375</v>
      </c>
      <c r="I2025" s="2">
        <v>0.72916666666666663</v>
      </c>
      <c r="J2025" t="s">
        <v>100</v>
      </c>
      <c r="L2025" t="s">
        <v>100</v>
      </c>
      <c r="M2025" t="s">
        <v>402</v>
      </c>
      <c r="N2025" t="s">
        <v>403</v>
      </c>
      <c r="O2025">
        <v>21398</v>
      </c>
      <c r="P2025" t="s">
        <v>249</v>
      </c>
      <c r="Q2025" t="s">
        <v>2110</v>
      </c>
      <c r="R2025" t="s">
        <v>405</v>
      </c>
      <c r="S2025" t="s">
        <v>52</v>
      </c>
      <c r="T2025" t="s">
        <v>252</v>
      </c>
      <c r="U2025">
        <v>888373</v>
      </c>
      <c r="V2025" s="3">
        <v>46049.447222222225</v>
      </c>
      <c r="W2025" t="s">
        <v>405</v>
      </c>
      <c r="X2025" t="s">
        <v>406</v>
      </c>
      <c r="Y2025" t="str">
        <f>"0423877972"</f>
        <v>0423877972</v>
      </c>
      <c r="Z2025" t="s">
        <v>254</v>
      </c>
      <c r="AA2025" s="1">
        <v>46075</v>
      </c>
      <c r="AB2025" t="s">
        <v>695</v>
      </c>
      <c r="AD2025" t="s">
        <v>168</v>
      </c>
      <c r="AE2025" t="s">
        <v>696</v>
      </c>
      <c r="AF2025">
        <v>5606</v>
      </c>
      <c r="AG2025" t="s">
        <v>866</v>
      </c>
      <c r="AI2025" t="s">
        <v>59</v>
      </c>
      <c r="AJ2025" t="str">
        <f>"0020185674"</f>
        <v>0020185674</v>
      </c>
      <c r="AN2025" s="3">
        <v>46049.447222222225</v>
      </c>
      <c r="AO2025" t="s">
        <v>405</v>
      </c>
    </row>
    <row r="2026" spans="1:41" x14ac:dyDescent="0.3">
      <c r="A2026" t="s">
        <v>168</v>
      </c>
      <c r="B2026" t="s">
        <v>607</v>
      </c>
      <c r="C2026" t="s">
        <v>267</v>
      </c>
      <c r="D2026" t="s">
        <v>268</v>
      </c>
      <c r="E2026" s="1">
        <v>46042</v>
      </c>
      <c r="F2026" t="s">
        <v>1376</v>
      </c>
      <c r="G2026" t="s">
        <v>45</v>
      </c>
      <c r="H2026" s="2">
        <v>0.60416666666666663</v>
      </c>
      <c r="I2026" s="2">
        <v>0.95833333333333337</v>
      </c>
      <c r="J2026" t="s">
        <v>269</v>
      </c>
      <c r="K2026" t="s">
        <v>608</v>
      </c>
      <c r="L2026" t="s">
        <v>609</v>
      </c>
      <c r="M2026" t="s">
        <v>610</v>
      </c>
      <c r="N2026" t="s">
        <v>611</v>
      </c>
      <c r="O2026">
        <v>5952121</v>
      </c>
      <c r="P2026" t="s">
        <v>249</v>
      </c>
      <c r="Q2026" t="s">
        <v>612</v>
      </c>
      <c r="R2026" t="s">
        <v>613</v>
      </c>
      <c r="S2026" t="s">
        <v>52</v>
      </c>
      <c r="T2026" t="s">
        <v>252</v>
      </c>
      <c r="U2026">
        <v>888332</v>
      </c>
      <c r="V2026" s="3">
        <v>46048.029166666667</v>
      </c>
      <c r="W2026" t="s">
        <v>613</v>
      </c>
      <c r="X2026" t="s">
        <v>614</v>
      </c>
      <c r="Y2026" t="str">
        <f>"0412297150"</f>
        <v>0412297150</v>
      </c>
      <c r="Z2026" t="s">
        <v>1862</v>
      </c>
      <c r="AA2026" s="1">
        <v>46077</v>
      </c>
      <c r="AB2026" t="s">
        <v>615</v>
      </c>
      <c r="AC2026" t="s">
        <v>616</v>
      </c>
      <c r="AD2026" t="s">
        <v>168</v>
      </c>
      <c r="AE2026" t="s">
        <v>617</v>
      </c>
      <c r="AF2026">
        <v>5290</v>
      </c>
      <c r="AG2026" t="s">
        <v>618</v>
      </c>
      <c r="AI2026" t="s">
        <v>59</v>
      </c>
      <c r="AJ2026" t="str">
        <f>"0020171780"</f>
        <v>0020171780</v>
      </c>
      <c r="AM2026" t="s">
        <v>2441</v>
      </c>
      <c r="AN2026" s="3">
        <v>46048.029166666667</v>
      </c>
      <c r="AO2026" t="s">
        <v>613</v>
      </c>
    </row>
    <row r="2027" spans="1:41" x14ac:dyDescent="0.3">
      <c r="A2027" t="s">
        <v>61</v>
      </c>
      <c r="B2027" t="s">
        <v>578</v>
      </c>
      <c r="D2027" t="s">
        <v>579</v>
      </c>
      <c r="E2027" s="1">
        <v>46042</v>
      </c>
      <c r="F2027" t="s">
        <v>1376</v>
      </c>
      <c r="G2027" t="s">
        <v>485</v>
      </c>
      <c r="H2027" s="2">
        <v>0.875</v>
      </c>
      <c r="I2027" s="2">
        <v>0.3125</v>
      </c>
      <c r="J2027" t="s">
        <v>269</v>
      </c>
      <c r="L2027" t="s">
        <v>172</v>
      </c>
      <c r="M2027" t="s">
        <v>580</v>
      </c>
      <c r="N2027" t="s">
        <v>581</v>
      </c>
      <c r="O2027">
        <v>5951721</v>
      </c>
      <c r="P2027" t="s">
        <v>571</v>
      </c>
      <c r="Q2027" t="s">
        <v>582</v>
      </c>
      <c r="R2027" t="s">
        <v>573</v>
      </c>
      <c r="S2027" t="s">
        <v>52</v>
      </c>
      <c r="T2027" t="s">
        <v>252</v>
      </c>
      <c r="U2027">
        <v>888580</v>
      </c>
      <c r="V2027" s="3">
        <v>46050.645833333336</v>
      </c>
      <c r="W2027" t="s">
        <v>583</v>
      </c>
      <c r="X2027" t="s">
        <v>584</v>
      </c>
      <c r="Y2027" t="str">
        <f>"0456677559"</f>
        <v>0456677559</v>
      </c>
      <c r="Z2027" t="s">
        <v>254</v>
      </c>
      <c r="AA2027" s="1">
        <v>46061</v>
      </c>
      <c r="AB2027" t="s">
        <v>586</v>
      </c>
      <c r="AD2027" t="s">
        <v>61</v>
      </c>
      <c r="AE2027" t="s">
        <v>587</v>
      </c>
      <c r="AF2027">
        <v>2320</v>
      </c>
      <c r="AG2027" t="s">
        <v>588</v>
      </c>
      <c r="AI2027" t="s">
        <v>59</v>
      </c>
      <c r="AJ2027" t="str">
        <f>"0010193654"</f>
        <v>0010193654</v>
      </c>
      <c r="AN2027" s="3">
        <v>46050.645833333336</v>
      </c>
      <c r="AO2027" t="s">
        <v>573</v>
      </c>
    </row>
    <row r="2028" spans="1:41" x14ac:dyDescent="0.3">
      <c r="A2028" t="s">
        <v>61</v>
      </c>
      <c r="B2028" t="s">
        <v>2112</v>
      </c>
      <c r="D2028" t="s">
        <v>2112</v>
      </c>
      <c r="E2028" s="1">
        <v>46073</v>
      </c>
      <c r="F2028" t="s">
        <v>2113</v>
      </c>
      <c r="G2028" t="s">
        <v>45</v>
      </c>
      <c r="H2028" s="2">
        <v>0.25</v>
      </c>
      <c r="I2028" s="2">
        <v>0.25069444444444444</v>
      </c>
      <c r="J2028" t="s">
        <v>296</v>
      </c>
      <c r="L2028" t="s">
        <v>2114</v>
      </c>
      <c r="M2028" t="s">
        <v>2115</v>
      </c>
      <c r="N2028" t="s">
        <v>2116</v>
      </c>
      <c r="O2028">
        <v>21150</v>
      </c>
      <c r="R2028" t="s">
        <v>2117</v>
      </c>
      <c r="S2028" t="s">
        <v>119</v>
      </c>
      <c r="T2028" t="s">
        <v>760</v>
      </c>
      <c r="U2028">
        <v>891726</v>
      </c>
      <c r="V2028" s="3">
        <v>46078.431944444441</v>
      </c>
      <c r="W2028" t="s">
        <v>2118</v>
      </c>
      <c r="X2028" t="s">
        <v>2119</v>
      </c>
      <c r="Y2028" t="str">
        <f>"0401195873"</f>
        <v>0401195873</v>
      </c>
      <c r="Z2028" t="s">
        <v>70</v>
      </c>
      <c r="AB2028" t="s">
        <v>2120</v>
      </c>
      <c r="AD2028" t="s">
        <v>61</v>
      </c>
      <c r="AE2028" t="s">
        <v>1699</v>
      </c>
      <c r="AF2028">
        <v>2232</v>
      </c>
      <c r="AI2028" t="s">
        <v>59</v>
      </c>
      <c r="AM2028" t="s">
        <v>1237</v>
      </c>
      <c r="AN2028" s="3">
        <v>46078.431944444441</v>
      </c>
      <c r="AO2028" t="s">
        <v>2117</v>
      </c>
    </row>
    <row r="2029" spans="1:41" x14ac:dyDescent="0.3">
      <c r="A2029" t="s">
        <v>61</v>
      </c>
      <c r="B2029" t="s">
        <v>2112</v>
      </c>
      <c r="D2029" t="s">
        <v>2112</v>
      </c>
      <c r="E2029" s="1">
        <v>46073</v>
      </c>
      <c r="F2029" t="s">
        <v>2113</v>
      </c>
      <c r="G2029" t="s">
        <v>45</v>
      </c>
      <c r="H2029" s="2">
        <v>0.25</v>
      </c>
      <c r="I2029" s="2">
        <v>0.25069444444444444</v>
      </c>
      <c r="J2029" t="s">
        <v>296</v>
      </c>
      <c r="L2029" t="s">
        <v>4580</v>
      </c>
      <c r="M2029" t="s">
        <v>500</v>
      </c>
      <c r="N2029" t="s">
        <v>4581</v>
      </c>
      <c r="O2029">
        <v>642</v>
      </c>
      <c r="R2029" t="s">
        <v>2117</v>
      </c>
      <c r="S2029" t="s">
        <v>119</v>
      </c>
      <c r="T2029" t="s">
        <v>760</v>
      </c>
      <c r="U2029">
        <v>891760</v>
      </c>
      <c r="V2029" s="3">
        <v>46078.612500000003</v>
      </c>
      <c r="W2029" t="s">
        <v>4582</v>
      </c>
      <c r="X2029" t="s">
        <v>4583</v>
      </c>
      <c r="Y2029" t="str">
        <f>"0412597182"</f>
        <v>0412597182</v>
      </c>
      <c r="Z2029" t="s">
        <v>70</v>
      </c>
      <c r="AB2029" t="s">
        <v>2120</v>
      </c>
      <c r="AD2029" t="s">
        <v>61</v>
      </c>
      <c r="AE2029" t="s">
        <v>1699</v>
      </c>
      <c r="AF2029">
        <v>2232</v>
      </c>
      <c r="AI2029" t="s">
        <v>59</v>
      </c>
      <c r="AM2029" t="s">
        <v>1237</v>
      </c>
      <c r="AN2029" s="3">
        <v>46078.612500000003</v>
      </c>
      <c r="AO2029" t="s">
        <v>2117</v>
      </c>
    </row>
    <row r="2030" spans="1:41" x14ac:dyDescent="0.3">
      <c r="A2030" t="s">
        <v>61</v>
      </c>
      <c r="B2030" t="s">
        <v>2112</v>
      </c>
      <c r="D2030" t="s">
        <v>2112</v>
      </c>
      <c r="E2030" s="1">
        <v>46073</v>
      </c>
      <c r="F2030" t="s">
        <v>2113</v>
      </c>
      <c r="G2030" t="s">
        <v>45</v>
      </c>
      <c r="H2030" s="2">
        <v>0.25</v>
      </c>
      <c r="I2030" s="2">
        <v>0.25069444444444444</v>
      </c>
      <c r="J2030" t="s">
        <v>296</v>
      </c>
      <c r="L2030" t="s">
        <v>2121</v>
      </c>
      <c r="M2030" t="s">
        <v>2122</v>
      </c>
      <c r="N2030" t="s">
        <v>2123</v>
      </c>
      <c r="O2030">
        <v>21021</v>
      </c>
      <c r="R2030" t="s">
        <v>2117</v>
      </c>
      <c r="S2030" t="s">
        <v>119</v>
      </c>
      <c r="T2030" t="s">
        <v>760</v>
      </c>
      <c r="U2030">
        <v>891727</v>
      </c>
      <c r="V2030" s="3">
        <v>46078.431250000001</v>
      </c>
      <c r="W2030" t="s">
        <v>2124</v>
      </c>
      <c r="X2030" t="s">
        <v>2125</v>
      </c>
      <c r="Y2030" t="str">
        <f>"0405138119"</f>
        <v>0405138119</v>
      </c>
      <c r="Z2030" t="s">
        <v>70</v>
      </c>
      <c r="AB2030" t="s">
        <v>2120</v>
      </c>
      <c r="AD2030" t="s">
        <v>61</v>
      </c>
      <c r="AE2030" t="s">
        <v>1699</v>
      </c>
      <c r="AF2030">
        <v>2232</v>
      </c>
      <c r="AI2030" t="s">
        <v>59</v>
      </c>
      <c r="AM2030" t="s">
        <v>1237</v>
      </c>
      <c r="AN2030" s="3">
        <v>46078.431250000001</v>
      </c>
      <c r="AO2030" t="s">
        <v>2117</v>
      </c>
    </row>
    <row r="2031" spans="1:41" x14ac:dyDescent="0.3">
      <c r="A2031" t="s">
        <v>61</v>
      </c>
      <c r="B2031" t="s">
        <v>2112</v>
      </c>
      <c r="D2031" t="s">
        <v>2112</v>
      </c>
      <c r="E2031" s="1">
        <v>46073</v>
      </c>
      <c r="F2031" t="s">
        <v>2113</v>
      </c>
      <c r="G2031" t="s">
        <v>45</v>
      </c>
      <c r="H2031" s="2">
        <v>0.25</v>
      </c>
      <c r="I2031" s="2">
        <v>0.25069444444444444</v>
      </c>
      <c r="J2031" t="s">
        <v>112</v>
      </c>
      <c r="L2031" t="s">
        <v>114</v>
      </c>
      <c r="M2031" t="s">
        <v>2131</v>
      </c>
      <c r="N2031" t="s">
        <v>2132</v>
      </c>
      <c r="O2031">
        <v>207</v>
      </c>
      <c r="R2031" t="s">
        <v>2117</v>
      </c>
      <c r="S2031" t="s">
        <v>119</v>
      </c>
      <c r="T2031" t="s">
        <v>760</v>
      </c>
      <c r="U2031">
        <v>891728</v>
      </c>
      <c r="V2031" s="3">
        <v>46078.430555555555</v>
      </c>
      <c r="W2031" t="s">
        <v>2133</v>
      </c>
      <c r="X2031" t="s">
        <v>2134</v>
      </c>
      <c r="Y2031" t="str">
        <f>"0413106029"</f>
        <v>0413106029</v>
      </c>
      <c r="Z2031" t="s">
        <v>70</v>
      </c>
      <c r="AB2031" t="s">
        <v>2120</v>
      </c>
      <c r="AD2031" t="s">
        <v>61</v>
      </c>
      <c r="AE2031" t="s">
        <v>1699</v>
      </c>
      <c r="AF2031">
        <v>2232</v>
      </c>
      <c r="AI2031" t="s">
        <v>59</v>
      </c>
      <c r="AM2031" t="s">
        <v>1237</v>
      </c>
      <c r="AN2031" s="3">
        <v>46078.430555555555</v>
      </c>
      <c r="AO2031" t="s">
        <v>2117</v>
      </c>
    </row>
    <row r="2032" spans="1:41" x14ac:dyDescent="0.3">
      <c r="A2032" t="s">
        <v>41</v>
      </c>
      <c r="B2032" t="s">
        <v>1705</v>
      </c>
      <c r="C2032" t="s">
        <v>43</v>
      </c>
      <c r="D2032" t="s">
        <v>1706</v>
      </c>
      <c r="E2032" s="1">
        <v>46073</v>
      </c>
      <c r="F2032" t="s">
        <v>2113</v>
      </c>
      <c r="G2032" t="s">
        <v>45</v>
      </c>
      <c r="H2032" s="2">
        <v>0.27083333333333331</v>
      </c>
      <c r="I2032" s="2">
        <v>0.52083333333333337</v>
      </c>
      <c r="J2032" t="s">
        <v>46</v>
      </c>
      <c r="L2032" t="s">
        <v>298</v>
      </c>
      <c r="M2032" t="s">
        <v>1578</v>
      </c>
      <c r="N2032" t="s">
        <v>1579</v>
      </c>
      <c r="O2032">
        <v>5952061</v>
      </c>
      <c r="Q2032" t="s">
        <v>1707</v>
      </c>
      <c r="R2032" t="s">
        <v>51</v>
      </c>
      <c r="S2032" t="s">
        <v>52</v>
      </c>
      <c r="U2032">
        <v>891257</v>
      </c>
      <c r="V2032" s="3">
        <v>46065.529861111114</v>
      </c>
      <c r="W2032" t="s">
        <v>1581</v>
      </c>
      <c r="X2032" t="s">
        <v>1582</v>
      </c>
      <c r="Y2032" t="str">
        <f>"0401803081"</f>
        <v>0401803081</v>
      </c>
      <c r="Z2032" t="s">
        <v>545</v>
      </c>
      <c r="AA2032" s="1">
        <v>46073</v>
      </c>
      <c r="AB2032" t="s">
        <v>1708</v>
      </c>
      <c r="AC2032" t="s">
        <v>1562</v>
      </c>
      <c r="AD2032" t="s">
        <v>41</v>
      </c>
      <c r="AE2032" t="s">
        <v>1563</v>
      </c>
      <c r="AF2032">
        <v>4109</v>
      </c>
      <c r="AG2032" t="s">
        <v>1707</v>
      </c>
      <c r="AI2032" t="s">
        <v>59</v>
      </c>
      <c r="AL2032" t="s">
        <v>87</v>
      </c>
      <c r="AN2032" s="3">
        <v>46073.55972222222</v>
      </c>
      <c r="AO2032" t="s">
        <v>1581</v>
      </c>
    </row>
    <row r="2033" spans="1:41" x14ac:dyDescent="0.3">
      <c r="A2033" t="s">
        <v>61</v>
      </c>
      <c r="B2033" t="s">
        <v>62</v>
      </c>
      <c r="C2033" t="s">
        <v>43</v>
      </c>
      <c r="D2033" t="s">
        <v>63</v>
      </c>
      <c r="E2033" s="1">
        <v>46073</v>
      </c>
      <c r="F2033" t="s">
        <v>2113</v>
      </c>
      <c r="G2033" t="s">
        <v>45</v>
      </c>
      <c r="H2033" s="2">
        <v>0.27083333333333331</v>
      </c>
      <c r="I2033" s="2">
        <v>0.99861111111111112</v>
      </c>
      <c r="J2033" t="s">
        <v>101</v>
      </c>
      <c r="L2033" t="s">
        <v>159</v>
      </c>
      <c r="M2033" t="s">
        <v>645</v>
      </c>
      <c r="N2033" t="s">
        <v>646</v>
      </c>
      <c r="O2033">
        <v>5950942</v>
      </c>
      <c r="Q2033" t="s">
        <v>73</v>
      </c>
      <c r="R2033" t="s">
        <v>132</v>
      </c>
      <c r="S2033" t="s">
        <v>52</v>
      </c>
      <c r="U2033">
        <v>891298</v>
      </c>
      <c r="V2033" s="3">
        <v>46062.446527777778</v>
      </c>
      <c r="W2033" t="s">
        <v>647</v>
      </c>
      <c r="X2033" t="s">
        <v>648</v>
      </c>
      <c r="Y2033" t="str">
        <f>"0411463760"</f>
        <v>0411463760</v>
      </c>
      <c r="Z2033" t="s">
        <v>375</v>
      </c>
      <c r="AA2033" s="1">
        <v>46073</v>
      </c>
      <c r="AB2033" t="s">
        <v>71</v>
      </c>
      <c r="AD2033" t="s">
        <v>61</v>
      </c>
      <c r="AE2033" t="s">
        <v>72</v>
      </c>
      <c r="AF2033">
        <v>2747</v>
      </c>
      <c r="AG2033" t="s">
        <v>73</v>
      </c>
      <c r="AI2033" t="s">
        <v>59</v>
      </c>
      <c r="AL2033" t="s">
        <v>4584</v>
      </c>
      <c r="AN2033" s="3">
        <v>46073.834722222222</v>
      </c>
      <c r="AO2033" t="s">
        <v>647</v>
      </c>
    </row>
    <row r="2034" spans="1:41" x14ac:dyDescent="0.3">
      <c r="A2034" t="s">
        <v>61</v>
      </c>
      <c r="B2034" t="s">
        <v>182</v>
      </c>
      <c r="C2034" t="s">
        <v>183</v>
      </c>
      <c r="D2034" t="s">
        <v>184</v>
      </c>
      <c r="E2034" s="1">
        <v>46073</v>
      </c>
      <c r="F2034" t="s">
        <v>2113</v>
      </c>
      <c r="G2034" t="s">
        <v>45</v>
      </c>
      <c r="H2034" s="2">
        <v>0.27083333333333331</v>
      </c>
      <c r="I2034" s="2">
        <v>0.99861111111111112</v>
      </c>
      <c r="J2034" t="s">
        <v>185</v>
      </c>
      <c r="L2034" t="s">
        <v>186</v>
      </c>
      <c r="M2034" t="s">
        <v>1395</v>
      </c>
      <c r="N2034" t="s">
        <v>1396</v>
      </c>
      <c r="O2034">
        <v>758</v>
      </c>
      <c r="Q2034" t="s">
        <v>189</v>
      </c>
      <c r="R2034" t="s">
        <v>132</v>
      </c>
      <c r="S2034" t="s">
        <v>52</v>
      </c>
      <c r="U2034">
        <v>891260</v>
      </c>
      <c r="V2034" s="3">
        <v>46064.443055555559</v>
      </c>
      <c r="W2034" t="s">
        <v>1397</v>
      </c>
      <c r="X2034" t="s">
        <v>1398</v>
      </c>
      <c r="Y2034" t="str">
        <f>"0402403886"</f>
        <v>0402403886</v>
      </c>
      <c r="Z2034" t="s">
        <v>4585</v>
      </c>
      <c r="AA2034" s="1">
        <v>46073</v>
      </c>
      <c r="AB2034" t="s">
        <v>193</v>
      </c>
      <c r="AD2034" t="s">
        <v>61</v>
      </c>
      <c r="AE2034" t="s">
        <v>194</v>
      </c>
      <c r="AF2034">
        <v>2229</v>
      </c>
      <c r="AG2034" t="s">
        <v>189</v>
      </c>
      <c r="AI2034" t="s">
        <v>59</v>
      </c>
      <c r="AL2034" t="s">
        <v>4586</v>
      </c>
      <c r="AN2034" s="3">
        <v>46073.601388888892</v>
      </c>
      <c r="AO2034" t="s">
        <v>1397</v>
      </c>
    </row>
    <row r="2035" spans="1:41" x14ac:dyDescent="0.3">
      <c r="A2035" t="s">
        <v>41</v>
      </c>
      <c r="B2035" t="s">
        <v>632</v>
      </c>
      <c r="C2035" t="s">
        <v>296</v>
      </c>
      <c r="D2035" t="s">
        <v>246</v>
      </c>
      <c r="E2035" s="1">
        <v>46073</v>
      </c>
      <c r="F2035" t="s">
        <v>2113</v>
      </c>
      <c r="G2035" t="s">
        <v>45</v>
      </c>
      <c r="H2035" s="2">
        <v>0.27083333333333331</v>
      </c>
      <c r="I2035" s="2">
        <v>0.625</v>
      </c>
      <c r="J2035" t="s">
        <v>296</v>
      </c>
      <c r="K2035" t="s">
        <v>2096</v>
      </c>
      <c r="L2035" t="s">
        <v>298</v>
      </c>
      <c r="M2035" t="s">
        <v>1401</v>
      </c>
      <c r="N2035" t="s">
        <v>1402</v>
      </c>
      <c r="O2035">
        <v>5952070</v>
      </c>
      <c r="Q2035" t="s">
        <v>2098</v>
      </c>
      <c r="R2035" t="s">
        <v>51</v>
      </c>
      <c r="S2035" t="s">
        <v>52</v>
      </c>
      <c r="U2035">
        <v>891274</v>
      </c>
      <c r="V2035" s="3">
        <v>46063.541666666664</v>
      </c>
      <c r="W2035" t="s">
        <v>1404</v>
      </c>
      <c r="X2035" t="s">
        <v>1405</v>
      </c>
      <c r="Y2035" t="str">
        <f>"0474506417"</f>
        <v>0474506417</v>
      </c>
      <c r="Z2035" t="s">
        <v>1375</v>
      </c>
      <c r="AB2035" t="s">
        <v>640</v>
      </c>
      <c r="AD2035" t="s">
        <v>41</v>
      </c>
      <c r="AE2035" t="s">
        <v>641</v>
      </c>
      <c r="AF2035">
        <v>4305</v>
      </c>
      <c r="AG2035" t="s">
        <v>2098</v>
      </c>
      <c r="AI2035" t="s">
        <v>59</v>
      </c>
      <c r="AL2035" t="s">
        <v>1407</v>
      </c>
      <c r="AN2035" s="3">
        <v>46073.668055555558</v>
      </c>
      <c r="AO2035" t="s">
        <v>1404</v>
      </c>
    </row>
    <row r="2036" spans="1:41" x14ac:dyDescent="0.3">
      <c r="A2036" t="s">
        <v>168</v>
      </c>
      <c r="B2036" t="s">
        <v>215</v>
      </c>
      <c r="C2036" t="s">
        <v>43</v>
      </c>
      <c r="D2036" t="s">
        <v>127</v>
      </c>
      <c r="E2036" s="1">
        <v>46073</v>
      </c>
      <c r="F2036" t="s">
        <v>2113</v>
      </c>
      <c r="G2036" t="s">
        <v>45</v>
      </c>
      <c r="H2036" s="2">
        <v>0.27083333333333331</v>
      </c>
      <c r="I2036" s="2">
        <v>0.52083333333333337</v>
      </c>
      <c r="J2036" t="s">
        <v>258</v>
      </c>
      <c r="K2036" t="s">
        <v>259</v>
      </c>
      <c r="L2036" t="s">
        <v>186</v>
      </c>
      <c r="M2036" t="s">
        <v>651</v>
      </c>
      <c r="N2036" t="s">
        <v>412</v>
      </c>
      <c r="O2036">
        <v>21855</v>
      </c>
      <c r="Q2036" t="s">
        <v>219</v>
      </c>
      <c r="R2036" t="s">
        <v>556</v>
      </c>
      <c r="S2036" t="s">
        <v>52</v>
      </c>
      <c r="U2036">
        <v>891295</v>
      </c>
      <c r="V2036" s="3">
        <v>46057.064583333333</v>
      </c>
      <c r="W2036" t="s">
        <v>652</v>
      </c>
      <c r="X2036" t="s">
        <v>653</v>
      </c>
      <c r="Y2036" t="str">
        <f>"0407317111"</f>
        <v>0407317111</v>
      </c>
      <c r="Z2036" t="s">
        <v>70</v>
      </c>
      <c r="AB2036" t="s">
        <v>222</v>
      </c>
      <c r="AD2036" t="s">
        <v>168</v>
      </c>
      <c r="AE2036" t="s">
        <v>223</v>
      </c>
      <c r="AF2036">
        <v>5069</v>
      </c>
      <c r="AG2036" t="s">
        <v>219</v>
      </c>
      <c r="AI2036" t="s">
        <v>59</v>
      </c>
      <c r="AL2036" t="s">
        <v>1121</v>
      </c>
      <c r="AN2036" s="3">
        <v>46073.830555555556</v>
      </c>
      <c r="AO2036" t="s">
        <v>652</v>
      </c>
    </row>
    <row r="2037" spans="1:41" x14ac:dyDescent="0.3">
      <c r="A2037" t="s">
        <v>41</v>
      </c>
      <c r="B2037" t="s">
        <v>1557</v>
      </c>
      <c r="C2037" t="s">
        <v>3390</v>
      </c>
      <c r="D2037" t="s">
        <v>63</v>
      </c>
      <c r="E2037" s="1">
        <v>46073</v>
      </c>
      <c r="F2037" t="s">
        <v>2113</v>
      </c>
      <c r="G2037" t="s">
        <v>45</v>
      </c>
      <c r="H2037" s="2">
        <v>0.29166666666666669</v>
      </c>
      <c r="I2037" s="2">
        <v>0.625</v>
      </c>
      <c r="J2037" t="s">
        <v>296</v>
      </c>
      <c r="L2037" t="s">
        <v>633</v>
      </c>
      <c r="M2037" t="s">
        <v>2145</v>
      </c>
      <c r="N2037" t="s">
        <v>2146</v>
      </c>
      <c r="O2037">
        <v>402527</v>
      </c>
      <c r="Q2037" t="s">
        <v>4587</v>
      </c>
      <c r="R2037" t="s">
        <v>67</v>
      </c>
      <c r="S2037" t="s">
        <v>52</v>
      </c>
      <c r="U2037">
        <v>891251</v>
      </c>
      <c r="V2037" s="3">
        <v>46073.197222222225</v>
      </c>
      <c r="W2037" t="s">
        <v>2148</v>
      </c>
      <c r="X2037" t="s">
        <v>2149</v>
      </c>
      <c r="Y2037" t="str">
        <f>"0401597129"</f>
        <v>0401597129</v>
      </c>
      <c r="Z2037" t="s">
        <v>70</v>
      </c>
      <c r="AA2037" s="1">
        <v>46073</v>
      </c>
      <c r="AB2037" t="s">
        <v>1562</v>
      </c>
      <c r="AD2037" t="s">
        <v>41</v>
      </c>
      <c r="AE2037" t="s">
        <v>1563</v>
      </c>
      <c r="AF2037">
        <v>4109</v>
      </c>
      <c r="AG2037" t="s">
        <v>3243</v>
      </c>
      <c r="AI2037" t="s">
        <v>59</v>
      </c>
      <c r="AL2037" t="s">
        <v>370</v>
      </c>
      <c r="AN2037" s="3">
        <v>46073.5</v>
      </c>
      <c r="AO2037" t="s">
        <v>2148</v>
      </c>
    </row>
    <row r="2038" spans="1:41" x14ac:dyDescent="0.3">
      <c r="A2038" t="s">
        <v>168</v>
      </c>
      <c r="B2038" t="s">
        <v>266</v>
      </c>
      <c r="D2038" t="s">
        <v>268</v>
      </c>
      <c r="E2038" s="1">
        <v>46073</v>
      </c>
      <c r="F2038" t="s">
        <v>2113</v>
      </c>
      <c r="G2038" t="s">
        <v>45</v>
      </c>
      <c r="H2038" s="2">
        <v>0.29166666666666669</v>
      </c>
      <c r="I2038" s="2">
        <v>0.64583333333333337</v>
      </c>
      <c r="J2038" t="s">
        <v>296</v>
      </c>
      <c r="K2038" t="s">
        <v>297</v>
      </c>
      <c r="L2038" t="s">
        <v>298</v>
      </c>
      <c r="M2038" t="s">
        <v>299</v>
      </c>
      <c r="N2038" t="s">
        <v>300</v>
      </c>
      <c r="O2038">
        <v>5951986</v>
      </c>
      <c r="Q2038" t="s">
        <v>274</v>
      </c>
      <c r="R2038" t="s">
        <v>176</v>
      </c>
      <c r="S2038" t="s">
        <v>52</v>
      </c>
      <c r="U2038">
        <v>891273</v>
      </c>
      <c r="V2038" s="3">
        <v>45993.425000000003</v>
      </c>
      <c r="W2038" t="s">
        <v>302</v>
      </c>
      <c r="X2038" t="s">
        <v>303</v>
      </c>
      <c r="Y2038" t="str">
        <f>"0452633734"</f>
        <v>0452633734</v>
      </c>
      <c r="Z2038" t="s">
        <v>4588</v>
      </c>
      <c r="AB2038" t="s">
        <v>277</v>
      </c>
      <c r="AC2038" t="s">
        <v>278</v>
      </c>
      <c r="AD2038" t="s">
        <v>168</v>
      </c>
      <c r="AE2038" t="s">
        <v>279</v>
      </c>
      <c r="AF2038">
        <v>5092</v>
      </c>
      <c r="AG2038" t="s">
        <v>274</v>
      </c>
      <c r="AI2038" t="s">
        <v>59</v>
      </c>
      <c r="AL2038" t="s">
        <v>4589</v>
      </c>
      <c r="AM2038" t="s">
        <v>281</v>
      </c>
      <c r="AN2038" s="3">
        <v>46073.665972222225</v>
      </c>
      <c r="AO2038" t="s">
        <v>302</v>
      </c>
    </row>
    <row r="2039" spans="1:41" x14ac:dyDescent="0.3">
      <c r="A2039" t="s">
        <v>61</v>
      </c>
      <c r="B2039" t="s">
        <v>158</v>
      </c>
      <c r="C2039" t="s">
        <v>43</v>
      </c>
      <c r="D2039" t="s">
        <v>127</v>
      </c>
      <c r="E2039" s="1">
        <v>46073</v>
      </c>
      <c r="F2039" t="s">
        <v>2113</v>
      </c>
      <c r="G2039" t="s">
        <v>45</v>
      </c>
      <c r="H2039" s="2">
        <v>0.29166666666666669</v>
      </c>
      <c r="I2039" s="2">
        <v>0.64583333333333337</v>
      </c>
      <c r="J2039" t="s">
        <v>101</v>
      </c>
      <c r="L2039" t="s">
        <v>159</v>
      </c>
      <c r="M2039" t="s">
        <v>160</v>
      </c>
      <c r="N2039" t="s">
        <v>161</v>
      </c>
      <c r="O2039">
        <v>5952008</v>
      </c>
      <c r="Q2039" t="s">
        <v>162</v>
      </c>
      <c r="R2039" t="s">
        <v>208</v>
      </c>
      <c r="S2039" t="s">
        <v>52</v>
      </c>
      <c r="U2039">
        <v>891279</v>
      </c>
      <c r="V2039" s="3">
        <v>46064.870833333334</v>
      </c>
      <c r="W2039" t="s">
        <v>163</v>
      </c>
      <c r="X2039" t="s">
        <v>164</v>
      </c>
      <c r="Y2039" t="str">
        <f>"0482375205"</f>
        <v>0482375205</v>
      </c>
      <c r="Z2039" t="s">
        <v>3315</v>
      </c>
      <c r="AA2039" s="1">
        <v>46073</v>
      </c>
      <c r="AB2039" t="s">
        <v>166</v>
      </c>
      <c r="AD2039" t="s">
        <v>61</v>
      </c>
      <c r="AE2039" t="s">
        <v>167</v>
      </c>
      <c r="AF2039">
        <v>2011</v>
      </c>
      <c r="AG2039" t="s">
        <v>162</v>
      </c>
      <c r="AI2039" t="s">
        <v>59</v>
      </c>
      <c r="AL2039" t="s">
        <v>4590</v>
      </c>
      <c r="AN2039" s="3">
        <v>46073.712500000001</v>
      </c>
      <c r="AO2039" t="s">
        <v>163</v>
      </c>
    </row>
    <row r="2040" spans="1:41" x14ac:dyDescent="0.3">
      <c r="A2040" t="s">
        <v>61</v>
      </c>
      <c r="B2040" t="s">
        <v>507</v>
      </c>
      <c r="D2040" t="s">
        <v>63</v>
      </c>
      <c r="E2040" s="1">
        <v>46073</v>
      </c>
      <c r="F2040" t="s">
        <v>2113</v>
      </c>
      <c r="G2040" t="s">
        <v>45</v>
      </c>
      <c r="H2040" s="2">
        <v>0.29166666666666669</v>
      </c>
      <c r="I2040" s="2">
        <v>0.8125</v>
      </c>
      <c r="J2040" t="s">
        <v>296</v>
      </c>
      <c r="L2040" t="s">
        <v>2890</v>
      </c>
      <c r="M2040" t="s">
        <v>2891</v>
      </c>
      <c r="N2040" t="s">
        <v>2892</v>
      </c>
      <c r="O2040">
        <v>22668</v>
      </c>
      <c r="Q2040" t="s">
        <v>369</v>
      </c>
      <c r="R2040" t="s">
        <v>67</v>
      </c>
      <c r="S2040" t="s">
        <v>52</v>
      </c>
      <c r="U2040">
        <v>891288</v>
      </c>
      <c r="V2040" s="3">
        <v>46062.590277777781</v>
      </c>
      <c r="W2040" t="s">
        <v>2893</v>
      </c>
      <c r="X2040" t="s">
        <v>2894</v>
      </c>
      <c r="Y2040" t="str">
        <f>"0420932618"</f>
        <v>0420932618</v>
      </c>
      <c r="Z2040" t="s">
        <v>4591</v>
      </c>
      <c r="AB2040" t="s">
        <v>514</v>
      </c>
      <c r="AD2040" t="s">
        <v>61</v>
      </c>
      <c r="AE2040" t="s">
        <v>515</v>
      </c>
      <c r="AF2040">
        <v>2086</v>
      </c>
      <c r="AG2040" t="s">
        <v>516</v>
      </c>
      <c r="AI2040" t="s">
        <v>59</v>
      </c>
      <c r="AL2040" t="s">
        <v>4592</v>
      </c>
      <c r="AN2040" s="3">
        <v>46073.780555555553</v>
      </c>
      <c r="AO2040" t="s">
        <v>2893</v>
      </c>
    </row>
    <row r="2041" spans="1:41" x14ac:dyDescent="0.3">
      <c r="A2041" t="s">
        <v>41</v>
      </c>
      <c r="B2041" t="s">
        <v>589</v>
      </c>
      <c r="C2041" t="s">
        <v>590</v>
      </c>
      <c r="D2041" t="s">
        <v>246</v>
      </c>
      <c r="E2041" s="1">
        <v>46073</v>
      </c>
      <c r="F2041" t="s">
        <v>2113</v>
      </c>
      <c r="G2041" t="s">
        <v>45</v>
      </c>
      <c r="H2041" s="2">
        <v>0.29166666666666669</v>
      </c>
      <c r="I2041" s="2">
        <v>0.8125</v>
      </c>
      <c r="J2041" t="s">
        <v>591</v>
      </c>
      <c r="L2041" t="s">
        <v>592</v>
      </c>
      <c r="M2041" t="s">
        <v>593</v>
      </c>
      <c r="N2041" t="s">
        <v>594</v>
      </c>
      <c r="O2041">
        <v>5952427</v>
      </c>
      <c r="P2041" t="s">
        <v>249</v>
      </c>
      <c r="Q2041" t="s">
        <v>596</v>
      </c>
      <c r="R2041" t="s">
        <v>597</v>
      </c>
      <c r="S2041" t="s">
        <v>52</v>
      </c>
      <c r="T2041" t="s">
        <v>252</v>
      </c>
      <c r="U2041">
        <v>891432</v>
      </c>
      <c r="V2041" s="3">
        <v>46076.399305555555</v>
      </c>
      <c r="W2041" t="s">
        <v>597</v>
      </c>
      <c r="X2041" t="s">
        <v>598</v>
      </c>
      <c r="Y2041" t="str">
        <f>"0432677728"</f>
        <v>0432677728</v>
      </c>
      <c r="Z2041" t="s">
        <v>345</v>
      </c>
      <c r="AA2041" s="1">
        <v>46082</v>
      </c>
      <c r="AB2041" t="s">
        <v>599</v>
      </c>
      <c r="AC2041" t="s">
        <v>600</v>
      </c>
      <c r="AD2041" t="s">
        <v>41</v>
      </c>
      <c r="AE2041" t="s">
        <v>600</v>
      </c>
      <c r="AF2041">
        <v>4610</v>
      </c>
      <c r="AG2041" t="s">
        <v>3495</v>
      </c>
      <c r="AI2041" t="s">
        <v>59</v>
      </c>
      <c r="AJ2041" t="str">
        <f>"0050075752"</f>
        <v>0050075752</v>
      </c>
      <c r="AN2041" s="3">
        <v>46076.399305555555</v>
      </c>
      <c r="AO2041" t="s">
        <v>597</v>
      </c>
    </row>
    <row r="2042" spans="1:41" x14ac:dyDescent="0.3">
      <c r="A2042" t="s">
        <v>61</v>
      </c>
      <c r="B2042" t="s">
        <v>1271</v>
      </c>
      <c r="C2042" t="s">
        <v>1272</v>
      </c>
      <c r="D2042" t="s">
        <v>184</v>
      </c>
      <c r="E2042" s="1">
        <v>46073</v>
      </c>
      <c r="F2042" t="s">
        <v>2113</v>
      </c>
      <c r="G2042" t="s">
        <v>45</v>
      </c>
      <c r="H2042" s="2">
        <v>0.29166666666666669</v>
      </c>
      <c r="I2042" s="2">
        <v>0.8125</v>
      </c>
      <c r="J2042" t="s">
        <v>486</v>
      </c>
      <c r="L2042" t="s">
        <v>487</v>
      </c>
      <c r="M2042" t="s">
        <v>1295</v>
      </c>
      <c r="N2042" t="s">
        <v>2176</v>
      </c>
      <c r="O2042">
        <v>5951197</v>
      </c>
      <c r="Q2042" t="s">
        <v>1190</v>
      </c>
      <c r="R2042" t="s">
        <v>132</v>
      </c>
      <c r="S2042" t="s">
        <v>52</v>
      </c>
      <c r="U2042">
        <v>891286</v>
      </c>
      <c r="V2042" s="3">
        <v>46057.565972222219</v>
      </c>
      <c r="W2042" t="s">
        <v>2177</v>
      </c>
      <c r="X2042" t="s">
        <v>2178</v>
      </c>
      <c r="Y2042" t="str">
        <f>"0414644229"</f>
        <v>0414644229</v>
      </c>
      <c r="Z2042" t="s">
        <v>4593</v>
      </c>
      <c r="AB2042" t="s">
        <v>1278</v>
      </c>
      <c r="AD2042" t="s">
        <v>61</v>
      </c>
      <c r="AE2042" t="s">
        <v>1279</v>
      </c>
      <c r="AF2042">
        <v>2145</v>
      </c>
      <c r="AG2042" t="s">
        <v>1190</v>
      </c>
      <c r="AI2042" t="s">
        <v>59</v>
      </c>
      <c r="AL2042" t="s">
        <v>4586</v>
      </c>
      <c r="AN2042" s="3">
        <v>46073.761111111111</v>
      </c>
      <c r="AO2042" t="s">
        <v>2177</v>
      </c>
    </row>
    <row r="2043" spans="1:41" x14ac:dyDescent="0.3">
      <c r="A2043" t="s">
        <v>61</v>
      </c>
      <c r="B2043" t="s">
        <v>1271</v>
      </c>
      <c r="C2043" t="s">
        <v>1272</v>
      </c>
      <c r="D2043" t="s">
        <v>184</v>
      </c>
      <c r="E2043" s="1">
        <v>46073</v>
      </c>
      <c r="F2043" t="s">
        <v>2113</v>
      </c>
      <c r="G2043" t="s">
        <v>45</v>
      </c>
      <c r="H2043" s="2">
        <v>0.29166666666666669</v>
      </c>
      <c r="I2043" s="2">
        <v>0.64583333333333337</v>
      </c>
      <c r="J2043" t="s">
        <v>590</v>
      </c>
      <c r="L2043" t="s">
        <v>487</v>
      </c>
      <c r="M2043" t="s">
        <v>1273</v>
      </c>
      <c r="N2043" t="s">
        <v>1274</v>
      </c>
      <c r="O2043">
        <v>5950810</v>
      </c>
      <c r="Q2043" t="s">
        <v>1275</v>
      </c>
      <c r="R2043" t="s">
        <v>208</v>
      </c>
      <c r="S2043" t="s">
        <v>52</v>
      </c>
      <c r="U2043">
        <v>891393</v>
      </c>
      <c r="V2043" s="3">
        <v>46067.69027777778</v>
      </c>
      <c r="W2043" t="s">
        <v>1276</v>
      </c>
      <c r="X2043" t="s">
        <v>1277</v>
      </c>
      <c r="Y2043" t="str">
        <f>"0405246691"</f>
        <v>0405246691</v>
      </c>
      <c r="Z2043" t="s">
        <v>254</v>
      </c>
      <c r="AB2043" t="s">
        <v>1278</v>
      </c>
      <c r="AD2043" t="s">
        <v>61</v>
      </c>
      <c r="AE2043" t="s">
        <v>1279</v>
      </c>
      <c r="AF2043">
        <v>2145</v>
      </c>
      <c r="AG2043" t="s">
        <v>1275</v>
      </c>
      <c r="AI2043" t="s">
        <v>59</v>
      </c>
      <c r="AL2043" t="s">
        <v>4586</v>
      </c>
      <c r="AN2043" s="3">
        <v>46075.938888888886</v>
      </c>
      <c r="AO2043" t="s">
        <v>1276</v>
      </c>
    </row>
    <row r="2044" spans="1:41" x14ac:dyDescent="0.3">
      <c r="A2044" t="s">
        <v>75</v>
      </c>
      <c r="B2044" t="s">
        <v>2210</v>
      </c>
      <c r="C2044" t="s">
        <v>2211</v>
      </c>
      <c r="D2044" t="s">
        <v>2212</v>
      </c>
      <c r="E2044" s="1">
        <v>46073</v>
      </c>
      <c r="F2044" t="s">
        <v>2113</v>
      </c>
      <c r="G2044" t="s">
        <v>45</v>
      </c>
      <c r="H2044" s="2">
        <v>0.29166666666666669</v>
      </c>
      <c r="I2044" s="2">
        <v>0.72916666666666663</v>
      </c>
      <c r="J2044" t="s">
        <v>101</v>
      </c>
      <c r="L2044" t="s">
        <v>159</v>
      </c>
      <c r="M2044" t="s">
        <v>1051</v>
      </c>
      <c r="N2044" t="s">
        <v>2213</v>
      </c>
      <c r="O2044">
        <v>22543</v>
      </c>
      <c r="Q2044" t="s">
        <v>3286</v>
      </c>
      <c r="R2044" t="s">
        <v>926</v>
      </c>
      <c r="S2044" t="s">
        <v>52</v>
      </c>
      <c r="U2044">
        <v>891304</v>
      </c>
      <c r="V2044" s="3">
        <v>46066.706944444442</v>
      </c>
      <c r="W2044" t="s">
        <v>2215</v>
      </c>
      <c r="X2044" t="s">
        <v>2216</v>
      </c>
      <c r="Y2044" t="str">
        <f>"0433875003"</f>
        <v>0433875003</v>
      </c>
      <c r="Z2044" t="s">
        <v>70</v>
      </c>
      <c r="AA2044" s="1">
        <v>46073</v>
      </c>
      <c r="AB2044" t="s">
        <v>2217</v>
      </c>
      <c r="AD2044" t="s">
        <v>75</v>
      </c>
      <c r="AE2044" t="s">
        <v>903</v>
      </c>
      <c r="AF2044">
        <v>6009</v>
      </c>
      <c r="AG2044" t="s">
        <v>3286</v>
      </c>
      <c r="AI2044" t="s">
        <v>59</v>
      </c>
      <c r="AN2044" s="3">
        <v>46073.859027777777</v>
      </c>
      <c r="AO2044" t="s">
        <v>2215</v>
      </c>
    </row>
    <row r="2045" spans="1:41" x14ac:dyDescent="0.3">
      <c r="A2045" t="s">
        <v>168</v>
      </c>
      <c r="B2045" t="s">
        <v>336</v>
      </c>
      <c r="C2045" t="s">
        <v>602</v>
      </c>
      <c r="D2045" t="s">
        <v>268</v>
      </c>
      <c r="E2045" s="1">
        <v>46073</v>
      </c>
      <c r="F2045" t="s">
        <v>2113</v>
      </c>
      <c r="G2045" t="s">
        <v>45</v>
      </c>
      <c r="H2045" s="2">
        <v>0.29166666666666669</v>
      </c>
      <c r="I2045" s="2">
        <v>0.64583333333333337</v>
      </c>
      <c r="J2045" t="s">
        <v>269</v>
      </c>
      <c r="K2045" t="s">
        <v>712</v>
      </c>
      <c r="L2045" t="s">
        <v>713</v>
      </c>
      <c r="M2045" t="s">
        <v>476</v>
      </c>
      <c r="N2045" t="s">
        <v>714</v>
      </c>
      <c r="O2045">
        <v>5951199</v>
      </c>
      <c r="P2045" t="s">
        <v>712</v>
      </c>
      <c r="Q2045" t="s">
        <v>4594</v>
      </c>
      <c r="R2045" t="s">
        <v>176</v>
      </c>
      <c r="S2045" t="s">
        <v>52</v>
      </c>
      <c r="U2045">
        <v>891271</v>
      </c>
      <c r="V2045" s="3">
        <v>46052.445833333331</v>
      </c>
      <c r="W2045" t="s">
        <v>715</v>
      </c>
      <c r="X2045" t="s">
        <v>716</v>
      </c>
      <c r="Y2045" t="str">
        <f>"0426611875"</f>
        <v>0426611875</v>
      </c>
      <c r="Z2045" t="s">
        <v>984</v>
      </c>
      <c r="AA2045" s="1">
        <v>46073</v>
      </c>
      <c r="AB2045" t="s">
        <v>346</v>
      </c>
      <c r="AD2045" t="s">
        <v>168</v>
      </c>
      <c r="AE2045" t="s">
        <v>347</v>
      </c>
      <c r="AF2045">
        <v>5042</v>
      </c>
      <c r="AG2045" t="s">
        <v>342</v>
      </c>
      <c r="AI2045" t="s">
        <v>59</v>
      </c>
      <c r="AL2045" t="s">
        <v>4595</v>
      </c>
      <c r="AM2045" t="s">
        <v>349</v>
      </c>
      <c r="AN2045" s="3">
        <v>46073.660416666666</v>
      </c>
      <c r="AO2045" t="s">
        <v>715</v>
      </c>
    </row>
    <row r="2046" spans="1:41" x14ac:dyDescent="0.3">
      <c r="A2046" t="s">
        <v>168</v>
      </c>
      <c r="B2046" t="s">
        <v>376</v>
      </c>
      <c r="C2046" t="s">
        <v>43</v>
      </c>
      <c r="D2046" t="s">
        <v>127</v>
      </c>
      <c r="E2046" s="1">
        <v>46073</v>
      </c>
      <c r="F2046" t="s">
        <v>2113</v>
      </c>
      <c r="G2046" t="s">
        <v>45</v>
      </c>
      <c r="H2046" s="2">
        <v>0.29166666666666669</v>
      </c>
      <c r="I2046" s="2">
        <v>0.625</v>
      </c>
      <c r="J2046" t="s">
        <v>185</v>
      </c>
      <c r="L2046" t="s">
        <v>186</v>
      </c>
      <c r="M2046" t="s">
        <v>1117</v>
      </c>
      <c r="N2046" t="s">
        <v>1118</v>
      </c>
      <c r="O2046">
        <v>5952419</v>
      </c>
      <c r="Q2046" t="s">
        <v>670</v>
      </c>
      <c r="R2046" t="s">
        <v>231</v>
      </c>
      <c r="S2046" t="s">
        <v>52</v>
      </c>
      <c r="U2046">
        <v>891256</v>
      </c>
      <c r="V2046" s="3">
        <v>46044.380555555559</v>
      </c>
      <c r="W2046" t="s">
        <v>1119</v>
      </c>
      <c r="X2046" t="s">
        <v>1120</v>
      </c>
      <c r="Y2046" t="str">
        <f>"0433820679"</f>
        <v>0433820679</v>
      </c>
      <c r="Z2046" t="s">
        <v>782</v>
      </c>
      <c r="AA2046" s="1">
        <v>46073</v>
      </c>
      <c r="AB2046" t="s">
        <v>383</v>
      </c>
      <c r="AD2046" t="s">
        <v>168</v>
      </c>
      <c r="AE2046" t="s">
        <v>384</v>
      </c>
      <c r="AF2046">
        <v>5000</v>
      </c>
      <c r="AG2046" t="s">
        <v>2997</v>
      </c>
      <c r="AI2046" t="s">
        <v>59</v>
      </c>
      <c r="AL2046" t="s">
        <v>1534</v>
      </c>
      <c r="AN2046" s="3">
        <v>46073.556944444441</v>
      </c>
      <c r="AO2046" t="s">
        <v>1119</v>
      </c>
    </row>
    <row r="2047" spans="1:41" x14ac:dyDescent="0.3">
      <c r="A2047" t="s">
        <v>168</v>
      </c>
      <c r="B2047" t="s">
        <v>4596</v>
      </c>
      <c r="D2047" t="s">
        <v>268</v>
      </c>
      <c r="E2047" s="1">
        <v>46073</v>
      </c>
      <c r="F2047" t="s">
        <v>2113</v>
      </c>
      <c r="G2047" t="s">
        <v>128</v>
      </c>
      <c r="H2047" s="2">
        <v>0.29166666666666669</v>
      </c>
      <c r="I2047" s="2">
        <v>0.58333333333333337</v>
      </c>
      <c r="J2047" t="s">
        <v>296</v>
      </c>
      <c r="K2047" t="s">
        <v>338</v>
      </c>
      <c r="L2047" t="s">
        <v>339</v>
      </c>
      <c r="M2047" t="s">
        <v>3282</v>
      </c>
      <c r="N2047" t="s">
        <v>4597</v>
      </c>
      <c r="O2047">
        <v>21788</v>
      </c>
      <c r="Q2047" t="s">
        <v>1025</v>
      </c>
      <c r="R2047" t="s">
        <v>176</v>
      </c>
      <c r="S2047" t="s">
        <v>119</v>
      </c>
      <c r="T2047" t="s">
        <v>414</v>
      </c>
      <c r="U2047">
        <v>891499</v>
      </c>
      <c r="V2047" s="3">
        <v>46070.438194444447</v>
      </c>
      <c r="W2047" t="s">
        <v>4598</v>
      </c>
      <c r="X2047" t="s">
        <v>4599</v>
      </c>
      <c r="Y2047" t="str">
        <f>"0402121658"</f>
        <v>0402121658</v>
      </c>
      <c r="Z2047" t="s">
        <v>123</v>
      </c>
      <c r="AB2047" t="s">
        <v>4596</v>
      </c>
      <c r="AC2047" t="s">
        <v>4600</v>
      </c>
      <c r="AD2047" t="s">
        <v>168</v>
      </c>
      <c r="AE2047" t="s">
        <v>384</v>
      </c>
      <c r="AF2047">
        <v>5000</v>
      </c>
      <c r="AG2047" t="s">
        <v>1025</v>
      </c>
      <c r="AI2047" t="s">
        <v>59</v>
      </c>
      <c r="AL2047" t="s">
        <v>4601</v>
      </c>
      <c r="AN2047" s="3">
        <v>46072.353472222225</v>
      </c>
      <c r="AO2047" t="s">
        <v>231</v>
      </c>
    </row>
    <row r="2048" spans="1:41" x14ac:dyDescent="0.3">
      <c r="A2048" t="s">
        <v>41</v>
      </c>
      <c r="B2048" t="s">
        <v>1452</v>
      </c>
      <c r="D2048" t="s">
        <v>246</v>
      </c>
      <c r="E2048" s="1">
        <v>46073</v>
      </c>
      <c r="F2048" t="s">
        <v>2113</v>
      </c>
      <c r="G2048" t="s">
        <v>45</v>
      </c>
      <c r="H2048" s="2">
        <v>0.29166666666666669</v>
      </c>
      <c r="I2048" s="2">
        <v>0.64583333333333337</v>
      </c>
      <c r="J2048" t="s">
        <v>296</v>
      </c>
      <c r="L2048" t="s">
        <v>1453</v>
      </c>
      <c r="M2048" t="s">
        <v>1454</v>
      </c>
      <c r="N2048" t="s">
        <v>1455</v>
      </c>
      <c r="O2048">
        <v>5951941</v>
      </c>
      <c r="Q2048" t="s">
        <v>1456</v>
      </c>
      <c r="R2048" t="s">
        <v>1457</v>
      </c>
      <c r="S2048" t="s">
        <v>52</v>
      </c>
      <c r="T2048" t="s">
        <v>252</v>
      </c>
      <c r="U2048">
        <v>891624</v>
      </c>
      <c r="V2048" s="3">
        <v>46077.590277777781</v>
      </c>
      <c r="W2048" t="s">
        <v>1457</v>
      </c>
      <c r="X2048" t="s">
        <v>1458</v>
      </c>
      <c r="Y2048" t="str">
        <f>"0413847722"</f>
        <v>0413847722</v>
      </c>
      <c r="Z2048" t="s">
        <v>366</v>
      </c>
      <c r="AA2048" s="1">
        <v>46097</v>
      </c>
      <c r="AB2048" t="s">
        <v>1459</v>
      </c>
      <c r="AD2048" t="s">
        <v>41</v>
      </c>
      <c r="AE2048" t="s">
        <v>1460</v>
      </c>
      <c r="AF2048">
        <v>4740</v>
      </c>
      <c r="AG2048" t="s">
        <v>4001</v>
      </c>
      <c r="AI2048" t="s">
        <v>59</v>
      </c>
      <c r="AJ2048" t="str">
        <f>"0050076628"</f>
        <v>0050076628</v>
      </c>
      <c r="AN2048" s="3">
        <v>46077.590277777781</v>
      </c>
      <c r="AO2048" t="s">
        <v>1457</v>
      </c>
    </row>
    <row r="2049" spans="1:41" x14ac:dyDescent="0.3">
      <c r="A2049" t="s">
        <v>61</v>
      </c>
      <c r="B2049" t="s">
        <v>1937</v>
      </c>
      <c r="C2049" t="s">
        <v>4602</v>
      </c>
      <c r="D2049" t="s">
        <v>184</v>
      </c>
      <c r="E2049" s="1">
        <v>46073</v>
      </c>
      <c r="F2049" t="s">
        <v>2113</v>
      </c>
      <c r="G2049" t="s">
        <v>45</v>
      </c>
      <c r="H2049" s="2">
        <v>0.29166666666666669</v>
      </c>
      <c r="I2049" s="2">
        <v>0.8125</v>
      </c>
      <c r="J2049" t="s">
        <v>590</v>
      </c>
      <c r="L2049" t="s">
        <v>487</v>
      </c>
      <c r="M2049" t="s">
        <v>1463</v>
      </c>
      <c r="N2049" t="s">
        <v>1464</v>
      </c>
      <c r="O2049">
        <v>22756</v>
      </c>
      <c r="Q2049" t="s">
        <v>4603</v>
      </c>
      <c r="R2049" t="s">
        <v>1248</v>
      </c>
      <c r="S2049" t="s">
        <v>52</v>
      </c>
      <c r="U2049">
        <v>891301</v>
      </c>
      <c r="V2049" s="3">
        <v>46072.682638888888</v>
      </c>
      <c r="W2049" t="s">
        <v>1466</v>
      </c>
      <c r="X2049" t="s">
        <v>1467</v>
      </c>
      <c r="Y2049" t="str">
        <f>"0416856891"</f>
        <v>0416856891</v>
      </c>
      <c r="Z2049" t="s">
        <v>70</v>
      </c>
      <c r="AA2049" s="1">
        <v>46073</v>
      </c>
      <c r="AB2049" t="s">
        <v>1942</v>
      </c>
      <c r="AD2049" t="s">
        <v>61</v>
      </c>
      <c r="AE2049" t="s">
        <v>1943</v>
      </c>
      <c r="AF2049">
        <v>2065</v>
      </c>
      <c r="AG2049" t="s">
        <v>4161</v>
      </c>
      <c r="AI2049" t="s">
        <v>59</v>
      </c>
      <c r="AL2049" t="s">
        <v>4604</v>
      </c>
      <c r="AN2049" s="3">
        <v>46073.845138888886</v>
      </c>
      <c r="AO2049" t="s">
        <v>1466</v>
      </c>
    </row>
    <row r="2050" spans="1:41" x14ac:dyDescent="0.3">
      <c r="A2050" t="s">
        <v>61</v>
      </c>
      <c r="B2050" t="s">
        <v>62</v>
      </c>
      <c r="C2050" t="s">
        <v>43</v>
      </c>
      <c r="D2050" t="s">
        <v>63</v>
      </c>
      <c r="E2050" s="1">
        <v>46073</v>
      </c>
      <c r="F2050" t="s">
        <v>2113</v>
      </c>
      <c r="G2050" t="s">
        <v>45</v>
      </c>
      <c r="H2050" s="2">
        <v>0.29166666666666669</v>
      </c>
      <c r="I2050" s="2">
        <v>0.99861111111111112</v>
      </c>
      <c r="J2050" t="s">
        <v>101</v>
      </c>
      <c r="L2050" t="s">
        <v>159</v>
      </c>
      <c r="M2050" t="s">
        <v>1746</v>
      </c>
      <c r="N2050" t="s">
        <v>1747</v>
      </c>
      <c r="O2050">
        <v>20760</v>
      </c>
      <c r="Q2050" t="s">
        <v>66</v>
      </c>
      <c r="R2050" t="s">
        <v>67</v>
      </c>
      <c r="S2050" t="s">
        <v>52</v>
      </c>
      <c r="U2050">
        <v>891259</v>
      </c>
      <c r="V2050" s="3">
        <v>46062.550694444442</v>
      </c>
      <c r="W2050" t="s">
        <v>1748</v>
      </c>
      <c r="X2050" t="s">
        <v>1749</v>
      </c>
      <c r="Y2050" t="str">
        <f>"0433858379"</f>
        <v>0433858379</v>
      </c>
      <c r="Z2050" t="s">
        <v>2276</v>
      </c>
      <c r="AB2050" t="s">
        <v>71</v>
      </c>
      <c r="AD2050" t="s">
        <v>61</v>
      </c>
      <c r="AE2050" t="s">
        <v>72</v>
      </c>
      <c r="AF2050">
        <v>2747</v>
      </c>
      <c r="AG2050" t="s">
        <v>73</v>
      </c>
      <c r="AI2050" t="s">
        <v>59</v>
      </c>
      <c r="AL2050" t="s">
        <v>4586</v>
      </c>
      <c r="AN2050" s="3">
        <v>46073.586805555555</v>
      </c>
      <c r="AO2050" t="s">
        <v>1748</v>
      </c>
    </row>
    <row r="2051" spans="1:41" x14ac:dyDescent="0.3">
      <c r="A2051" t="s">
        <v>41</v>
      </c>
      <c r="B2051" t="s">
        <v>965</v>
      </c>
      <c r="C2051" t="s">
        <v>43</v>
      </c>
      <c r="D2051" t="s">
        <v>966</v>
      </c>
      <c r="E2051" s="1">
        <v>46073</v>
      </c>
      <c r="F2051" t="s">
        <v>2113</v>
      </c>
      <c r="G2051" t="s">
        <v>45</v>
      </c>
      <c r="H2051" s="2">
        <v>0.29166666666666669</v>
      </c>
      <c r="I2051" s="2">
        <v>0.64583333333333337</v>
      </c>
      <c r="J2051" t="s">
        <v>101</v>
      </c>
      <c r="L2051" t="s">
        <v>967</v>
      </c>
      <c r="M2051" t="s">
        <v>968</v>
      </c>
      <c r="N2051" t="s">
        <v>969</v>
      </c>
      <c r="O2051">
        <v>5952467</v>
      </c>
      <c r="Q2051" t="s">
        <v>1471</v>
      </c>
      <c r="R2051" t="s">
        <v>1472</v>
      </c>
      <c r="S2051" t="s">
        <v>52</v>
      </c>
      <c r="U2051">
        <v>891289</v>
      </c>
      <c r="V2051" s="3">
        <v>46063.439583333333</v>
      </c>
      <c r="W2051" t="s">
        <v>970</v>
      </c>
      <c r="X2051" t="s">
        <v>971</v>
      </c>
      <c r="Y2051" t="str">
        <f>"0433979184"</f>
        <v>0433979184</v>
      </c>
      <c r="Z2051" t="s">
        <v>2531</v>
      </c>
      <c r="AB2051" t="s">
        <v>972</v>
      </c>
      <c r="AD2051" t="s">
        <v>41</v>
      </c>
      <c r="AE2051" t="s">
        <v>973</v>
      </c>
      <c r="AF2051">
        <v>4068</v>
      </c>
      <c r="AG2051" t="s">
        <v>1471</v>
      </c>
      <c r="AI2051" t="s">
        <v>59</v>
      </c>
      <c r="AL2051" t="s">
        <v>3513</v>
      </c>
      <c r="AN2051" s="3">
        <v>46073.786111111112</v>
      </c>
      <c r="AO2051" t="s">
        <v>970</v>
      </c>
    </row>
    <row r="2052" spans="1:41" x14ac:dyDescent="0.3">
      <c r="A2052" t="s">
        <v>168</v>
      </c>
      <c r="B2052" t="s">
        <v>376</v>
      </c>
      <c r="C2052" t="s">
        <v>43</v>
      </c>
      <c r="D2052" t="s">
        <v>127</v>
      </c>
      <c r="E2052" s="1">
        <v>46073</v>
      </c>
      <c r="F2052" t="s">
        <v>2113</v>
      </c>
      <c r="G2052" t="s">
        <v>45</v>
      </c>
      <c r="H2052" s="2">
        <v>0.29166666666666669</v>
      </c>
      <c r="I2052" s="2">
        <v>0.54166666666666663</v>
      </c>
      <c r="J2052" t="s">
        <v>185</v>
      </c>
      <c r="K2052" t="s">
        <v>2136</v>
      </c>
      <c r="L2052" t="s">
        <v>186</v>
      </c>
      <c r="M2052" t="s">
        <v>835</v>
      </c>
      <c r="N2052" t="s">
        <v>836</v>
      </c>
      <c r="O2052">
        <v>22947</v>
      </c>
      <c r="Q2052" t="s">
        <v>670</v>
      </c>
      <c r="R2052" t="s">
        <v>231</v>
      </c>
      <c r="S2052" t="s">
        <v>52</v>
      </c>
      <c r="U2052">
        <v>891249</v>
      </c>
      <c r="V2052" s="3">
        <v>46044.392361111109</v>
      </c>
      <c r="W2052" t="s">
        <v>837</v>
      </c>
      <c r="X2052" t="s">
        <v>838</v>
      </c>
      <c r="Y2052" t="str">
        <f>"0415626656"</f>
        <v>0415626656</v>
      </c>
      <c r="Z2052" t="s">
        <v>70</v>
      </c>
      <c r="AA2052" s="1">
        <v>46073</v>
      </c>
      <c r="AB2052" t="s">
        <v>383</v>
      </c>
      <c r="AD2052" t="s">
        <v>168</v>
      </c>
      <c r="AE2052" t="s">
        <v>384</v>
      </c>
      <c r="AF2052">
        <v>5000</v>
      </c>
      <c r="AG2052" t="s">
        <v>2997</v>
      </c>
      <c r="AI2052" t="s">
        <v>59</v>
      </c>
      <c r="AL2052" t="s">
        <v>4605</v>
      </c>
      <c r="AN2052" s="3">
        <v>46073.481944444444</v>
      </c>
      <c r="AO2052" t="s">
        <v>837</v>
      </c>
    </row>
    <row r="2053" spans="1:41" x14ac:dyDescent="0.3">
      <c r="A2053" t="s">
        <v>61</v>
      </c>
      <c r="B2053" t="s">
        <v>1079</v>
      </c>
      <c r="C2053" t="s">
        <v>43</v>
      </c>
      <c r="D2053" t="s">
        <v>63</v>
      </c>
      <c r="E2053" s="1">
        <v>46073</v>
      </c>
      <c r="F2053" t="s">
        <v>2113</v>
      </c>
      <c r="G2053" t="s">
        <v>45</v>
      </c>
      <c r="H2053" s="2">
        <v>0.29166666666666669</v>
      </c>
      <c r="I2053" s="2">
        <v>0.5625</v>
      </c>
      <c r="J2053" t="s">
        <v>101</v>
      </c>
      <c r="L2053" t="s">
        <v>159</v>
      </c>
      <c r="M2053" t="s">
        <v>1126</v>
      </c>
      <c r="N2053" t="s">
        <v>1127</v>
      </c>
      <c r="O2053">
        <v>21552</v>
      </c>
      <c r="Q2053" t="s">
        <v>3578</v>
      </c>
      <c r="R2053" t="s">
        <v>67</v>
      </c>
      <c r="S2053" t="s">
        <v>52</v>
      </c>
      <c r="U2053">
        <v>891248</v>
      </c>
      <c r="V2053" s="3">
        <v>46056.394444444442</v>
      </c>
      <c r="W2053" t="s">
        <v>1129</v>
      </c>
      <c r="X2053" t="s">
        <v>1130</v>
      </c>
      <c r="Y2053" t="str">
        <f>"0401723179"</f>
        <v>0401723179</v>
      </c>
      <c r="Z2053" t="s">
        <v>234</v>
      </c>
      <c r="AA2053" s="1">
        <v>46073</v>
      </c>
      <c r="AB2053" t="s">
        <v>1085</v>
      </c>
      <c r="AD2053" t="s">
        <v>61</v>
      </c>
      <c r="AE2053" t="s">
        <v>1086</v>
      </c>
      <c r="AF2053">
        <v>2031</v>
      </c>
      <c r="AG2053" t="s">
        <v>353</v>
      </c>
      <c r="AI2053" t="s">
        <v>59</v>
      </c>
      <c r="AL2053" t="s">
        <v>4586</v>
      </c>
      <c r="AN2053" s="3">
        <v>46073.46875</v>
      </c>
      <c r="AO2053" t="s">
        <v>1129</v>
      </c>
    </row>
    <row r="2054" spans="1:41" x14ac:dyDescent="0.3">
      <c r="A2054" t="s">
        <v>306</v>
      </c>
      <c r="B2054" t="s">
        <v>1751</v>
      </c>
      <c r="C2054" t="s">
        <v>2947</v>
      </c>
      <c r="D2054" t="s">
        <v>184</v>
      </c>
      <c r="E2054" s="1">
        <v>46073</v>
      </c>
      <c r="F2054" t="s">
        <v>2113</v>
      </c>
      <c r="G2054" t="s">
        <v>45</v>
      </c>
      <c r="H2054" s="2">
        <v>0.29166666666666669</v>
      </c>
      <c r="I2054" s="2">
        <v>0.625</v>
      </c>
      <c r="J2054" t="s">
        <v>296</v>
      </c>
      <c r="L2054" t="s">
        <v>1753</v>
      </c>
      <c r="M2054" t="s">
        <v>1754</v>
      </c>
      <c r="N2054" t="s">
        <v>1755</v>
      </c>
      <c r="O2054">
        <v>20486</v>
      </c>
      <c r="Q2054" t="s">
        <v>705</v>
      </c>
      <c r="R2054" t="s">
        <v>1248</v>
      </c>
      <c r="S2054" t="s">
        <v>52</v>
      </c>
      <c r="U2054">
        <v>891264</v>
      </c>
      <c r="V2054" s="3">
        <v>46072.890277777777</v>
      </c>
      <c r="W2054" t="s">
        <v>1757</v>
      </c>
      <c r="X2054" t="s">
        <v>1758</v>
      </c>
      <c r="Y2054" t="str">
        <f>"0432381966"</f>
        <v>0432381966</v>
      </c>
      <c r="Z2054" t="s">
        <v>70</v>
      </c>
      <c r="AA2054" s="1">
        <v>46073</v>
      </c>
      <c r="AB2054" t="s">
        <v>1759</v>
      </c>
      <c r="AD2054" t="s">
        <v>306</v>
      </c>
      <c r="AE2054" t="s">
        <v>1760</v>
      </c>
      <c r="AF2054">
        <v>3199</v>
      </c>
      <c r="AI2054" t="s">
        <v>59</v>
      </c>
      <c r="AL2054" t="s">
        <v>4606</v>
      </c>
      <c r="AM2054" t="s">
        <v>4607</v>
      </c>
      <c r="AN2054" s="3">
        <v>46073.621527777781</v>
      </c>
      <c r="AO2054" t="s">
        <v>1757</v>
      </c>
    </row>
    <row r="2055" spans="1:41" x14ac:dyDescent="0.3">
      <c r="A2055" t="s">
        <v>61</v>
      </c>
      <c r="B2055" t="s">
        <v>620</v>
      </c>
      <c r="C2055" t="s">
        <v>43</v>
      </c>
      <c r="D2055" t="s">
        <v>63</v>
      </c>
      <c r="E2055" s="1">
        <v>46073</v>
      </c>
      <c r="F2055" t="s">
        <v>2113</v>
      </c>
      <c r="G2055" t="s">
        <v>45</v>
      </c>
      <c r="H2055" s="2">
        <v>0.29166666666666669</v>
      </c>
      <c r="I2055" s="2">
        <v>0.5</v>
      </c>
      <c r="J2055" t="s">
        <v>185</v>
      </c>
      <c r="L2055" t="s">
        <v>186</v>
      </c>
      <c r="M2055" t="s">
        <v>622</v>
      </c>
      <c r="N2055" t="s">
        <v>623</v>
      </c>
      <c r="O2055">
        <v>20720</v>
      </c>
      <c r="Q2055" t="s">
        <v>4608</v>
      </c>
      <c r="R2055" t="s">
        <v>132</v>
      </c>
      <c r="S2055" t="s">
        <v>52</v>
      </c>
      <c r="U2055">
        <v>891252</v>
      </c>
      <c r="V2055" s="3">
        <v>46059.34097222222</v>
      </c>
      <c r="W2055" t="s">
        <v>625</v>
      </c>
      <c r="X2055" t="s">
        <v>626</v>
      </c>
      <c r="Y2055" t="str">
        <f>"0469365147"</f>
        <v>0469365147</v>
      </c>
      <c r="Z2055" t="s">
        <v>3171</v>
      </c>
      <c r="AA2055" s="1">
        <v>46073</v>
      </c>
      <c r="AB2055" t="s">
        <v>628</v>
      </c>
      <c r="AD2055" t="s">
        <v>61</v>
      </c>
      <c r="AE2055" t="s">
        <v>629</v>
      </c>
      <c r="AF2055">
        <v>2305</v>
      </c>
      <c r="AG2055" t="s">
        <v>630</v>
      </c>
      <c r="AI2055" t="s">
        <v>59</v>
      </c>
      <c r="AL2055" t="s">
        <v>4609</v>
      </c>
      <c r="AN2055" s="3">
        <v>46073.506944444445</v>
      </c>
      <c r="AO2055" t="s">
        <v>625</v>
      </c>
    </row>
    <row r="2056" spans="1:41" x14ac:dyDescent="0.3">
      <c r="A2056" t="s">
        <v>61</v>
      </c>
      <c r="B2056" t="s">
        <v>1462</v>
      </c>
      <c r="C2056" t="s">
        <v>43</v>
      </c>
      <c r="D2056" t="s">
        <v>90</v>
      </c>
      <c r="E2056" s="1">
        <v>46073</v>
      </c>
      <c r="F2056" t="s">
        <v>2113</v>
      </c>
      <c r="G2056" t="s">
        <v>45</v>
      </c>
      <c r="H2056" s="2">
        <v>0.29166666666666669</v>
      </c>
      <c r="I2056" s="2">
        <v>0.47916666666666669</v>
      </c>
      <c r="J2056" t="s">
        <v>46</v>
      </c>
      <c r="L2056" t="s">
        <v>47</v>
      </c>
      <c r="M2056" t="s">
        <v>1080</v>
      </c>
      <c r="N2056" t="s">
        <v>1081</v>
      </c>
      <c r="O2056">
        <v>5951255</v>
      </c>
      <c r="Q2056" t="s">
        <v>4610</v>
      </c>
      <c r="R2056" t="s">
        <v>208</v>
      </c>
      <c r="S2056" t="s">
        <v>52</v>
      </c>
      <c r="U2056">
        <v>891250</v>
      </c>
      <c r="V2056" s="3">
        <v>46072.779166666667</v>
      </c>
      <c r="W2056" t="s">
        <v>1083</v>
      </c>
      <c r="X2056" t="s">
        <v>1084</v>
      </c>
      <c r="Y2056" t="str">
        <f>"0451307044"</f>
        <v>0451307044</v>
      </c>
      <c r="Z2056" t="s">
        <v>70</v>
      </c>
      <c r="AA2056" s="1">
        <v>46073</v>
      </c>
      <c r="AB2056" t="s">
        <v>1468</v>
      </c>
      <c r="AD2056" t="s">
        <v>61</v>
      </c>
      <c r="AE2056" t="s">
        <v>1469</v>
      </c>
      <c r="AF2056">
        <v>2060</v>
      </c>
      <c r="AG2056" t="s">
        <v>1465</v>
      </c>
      <c r="AI2056" t="s">
        <v>59</v>
      </c>
      <c r="AL2056" t="s">
        <v>4611</v>
      </c>
      <c r="AN2056" s="3">
        <v>46073.481944444444</v>
      </c>
      <c r="AO2056" t="s">
        <v>1083</v>
      </c>
    </row>
    <row r="2057" spans="1:41" x14ac:dyDescent="0.3">
      <c r="A2057" t="s">
        <v>41</v>
      </c>
      <c r="B2057" t="s">
        <v>1557</v>
      </c>
      <c r="C2057" t="s">
        <v>3390</v>
      </c>
      <c r="D2057" t="s">
        <v>63</v>
      </c>
      <c r="E2057" s="1">
        <v>46073</v>
      </c>
      <c r="F2057" t="s">
        <v>2113</v>
      </c>
      <c r="G2057" t="s">
        <v>45</v>
      </c>
      <c r="H2057" s="2">
        <v>0.29166666666666669</v>
      </c>
      <c r="I2057" s="2">
        <v>0.45833333333333331</v>
      </c>
      <c r="J2057" t="s">
        <v>296</v>
      </c>
      <c r="L2057" t="s">
        <v>1453</v>
      </c>
      <c r="M2057" t="s">
        <v>3743</v>
      </c>
      <c r="N2057" t="s">
        <v>3744</v>
      </c>
      <c r="O2057">
        <v>5952466</v>
      </c>
      <c r="Q2057" t="s">
        <v>2098</v>
      </c>
      <c r="R2057" t="s">
        <v>51</v>
      </c>
      <c r="S2057" t="s">
        <v>52</v>
      </c>
      <c r="U2057">
        <v>891262</v>
      </c>
      <c r="V2057" s="3">
        <v>46063.474305555559</v>
      </c>
      <c r="W2057" t="s">
        <v>3746</v>
      </c>
      <c r="X2057" t="s">
        <v>3747</v>
      </c>
      <c r="Y2057" t="str">
        <f>"0494605432"</f>
        <v>0494605432</v>
      </c>
      <c r="Z2057" t="s">
        <v>2036</v>
      </c>
      <c r="AA2057" s="1">
        <v>46073</v>
      </c>
      <c r="AB2057" t="s">
        <v>1562</v>
      </c>
      <c r="AD2057" t="s">
        <v>41</v>
      </c>
      <c r="AE2057" t="s">
        <v>1563</v>
      </c>
      <c r="AF2057">
        <v>4109</v>
      </c>
      <c r="AG2057" t="s">
        <v>2098</v>
      </c>
      <c r="AI2057" t="s">
        <v>59</v>
      </c>
      <c r="AL2057" t="s">
        <v>4612</v>
      </c>
      <c r="AN2057" s="3">
        <v>46073.614583333336</v>
      </c>
      <c r="AO2057" t="s">
        <v>3746</v>
      </c>
    </row>
    <row r="2058" spans="1:41" x14ac:dyDescent="0.3">
      <c r="A2058" t="s">
        <v>61</v>
      </c>
      <c r="B2058" t="s">
        <v>768</v>
      </c>
      <c r="C2058" t="s">
        <v>296</v>
      </c>
      <c r="D2058" t="s">
        <v>769</v>
      </c>
      <c r="E2058" s="1">
        <v>46073</v>
      </c>
      <c r="F2058" t="s">
        <v>2113</v>
      </c>
      <c r="G2058" t="s">
        <v>45</v>
      </c>
      <c r="H2058" s="2">
        <v>0.3125</v>
      </c>
      <c r="I2058" s="2">
        <v>0.625</v>
      </c>
      <c r="J2058" t="s">
        <v>296</v>
      </c>
      <c r="L2058" t="s">
        <v>298</v>
      </c>
      <c r="M2058" t="s">
        <v>770</v>
      </c>
      <c r="N2058" t="s">
        <v>771</v>
      </c>
      <c r="O2058">
        <v>5952291</v>
      </c>
      <c r="Q2058" t="s">
        <v>772</v>
      </c>
      <c r="R2058" t="s">
        <v>132</v>
      </c>
      <c r="S2058" t="s">
        <v>52</v>
      </c>
      <c r="U2058">
        <v>891265</v>
      </c>
      <c r="V2058" s="3">
        <v>46064.392361111109</v>
      </c>
      <c r="W2058" t="s">
        <v>773</v>
      </c>
      <c r="X2058" t="s">
        <v>774</v>
      </c>
      <c r="Y2058" t="str">
        <f>"0432174467"</f>
        <v>0432174467</v>
      </c>
      <c r="Z2058" t="s">
        <v>375</v>
      </c>
      <c r="AA2058" s="1">
        <v>46073</v>
      </c>
      <c r="AB2058" t="s">
        <v>775</v>
      </c>
      <c r="AD2058" t="s">
        <v>61</v>
      </c>
      <c r="AE2058" t="s">
        <v>776</v>
      </c>
      <c r="AF2058">
        <v>2076</v>
      </c>
      <c r="AG2058" t="s">
        <v>772</v>
      </c>
      <c r="AI2058" t="s">
        <v>59</v>
      </c>
      <c r="AL2058" t="s">
        <v>4586</v>
      </c>
      <c r="AN2058" s="3">
        <v>46073.624305555553</v>
      </c>
      <c r="AO2058" t="s">
        <v>773</v>
      </c>
    </row>
    <row r="2059" spans="1:41" x14ac:dyDescent="0.3">
      <c r="A2059" t="s">
        <v>306</v>
      </c>
      <c r="B2059" t="s">
        <v>820</v>
      </c>
      <c r="C2059" t="s">
        <v>100</v>
      </c>
      <c r="D2059" t="s">
        <v>127</v>
      </c>
      <c r="E2059" s="1">
        <v>46073</v>
      </c>
      <c r="F2059" t="s">
        <v>2113</v>
      </c>
      <c r="G2059" t="s">
        <v>45</v>
      </c>
      <c r="H2059" s="2">
        <v>0.3125</v>
      </c>
      <c r="I2059" s="2">
        <v>0.58333333333333337</v>
      </c>
      <c r="J2059" t="s">
        <v>451</v>
      </c>
      <c r="L2059" t="s">
        <v>452</v>
      </c>
      <c r="M2059" t="s">
        <v>821</v>
      </c>
      <c r="N2059" t="s">
        <v>822</v>
      </c>
      <c r="O2059">
        <v>20712</v>
      </c>
      <c r="Q2059" t="s">
        <v>823</v>
      </c>
      <c r="R2059" t="s">
        <v>476</v>
      </c>
      <c r="S2059" t="s">
        <v>52</v>
      </c>
      <c r="U2059">
        <v>891254</v>
      </c>
      <c r="V2059" s="3">
        <v>46070.481944444444</v>
      </c>
      <c r="W2059" t="s">
        <v>824</v>
      </c>
      <c r="X2059" t="s">
        <v>825</v>
      </c>
      <c r="Y2059" t="str">
        <f>"0439419256"</f>
        <v>0439419256</v>
      </c>
      <c r="Z2059" t="s">
        <v>70</v>
      </c>
      <c r="AA2059" s="1">
        <v>46073</v>
      </c>
      <c r="AB2059" t="s">
        <v>826</v>
      </c>
      <c r="AD2059" t="s">
        <v>306</v>
      </c>
      <c r="AE2059" t="s">
        <v>827</v>
      </c>
      <c r="AF2059">
        <v>3181</v>
      </c>
      <c r="AG2059" t="s">
        <v>823</v>
      </c>
      <c r="AI2059" t="s">
        <v>59</v>
      </c>
      <c r="AL2059" t="s">
        <v>87</v>
      </c>
      <c r="AN2059" s="3">
        <v>46073.520138888889</v>
      </c>
      <c r="AO2059" t="s">
        <v>824</v>
      </c>
    </row>
    <row r="2060" spans="1:41" x14ac:dyDescent="0.3">
      <c r="A2060" t="s">
        <v>168</v>
      </c>
      <c r="B2060" t="s">
        <v>689</v>
      </c>
      <c r="C2060" t="s">
        <v>43</v>
      </c>
      <c r="D2060" t="s">
        <v>268</v>
      </c>
      <c r="E2060" s="1">
        <v>46073</v>
      </c>
      <c r="F2060" t="s">
        <v>2113</v>
      </c>
      <c r="G2060" t="s">
        <v>45</v>
      </c>
      <c r="H2060" s="2">
        <v>0.3125</v>
      </c>
      <c r="I2060" s="2">
        <v>0.66666666666666663</v>
      </c>
      <c r="J2060" t="s">
        <v>101</v>
      </c>
      <c r="L2060" t="s">
        <v>159</v>
      </c>
      <c r="M2060" t="s">
        <v>690</v>
      </c>
      <c r="N2060" t="s">
        <v>691</v>
      </c>
      <c r="O2060">
        <v>5950774</v>
      </c>
      <c r="P2060" t="s">
        <v>249</v>
      </c>
      <c r="Q2060" t="s">
        <v>692</v>
      </c>
      <c r="R2060" t="s">
        <v>693</v>
      </c>
      <c r="S2060" t="s">
        <v>52</v>
      </c>
      <c r="T2060" t="s">
        <v>252</v>
      </c>
      <c r="U2060">
        <v>891402</v>
      </c>
      <c r="V2060" s="3">
        <v>46075.970138888886</v>
      </c>
      <c r="W2060" t="s">
        <v>693</v>
      </c>
      <c r="X2060" t="s">
        <v>694</v>
      </c>
      <c r="Y2060" t="str">
        <f>"0404019300"</f>
        <v>0404019300</v>
      </c>
      <c r="Z2060" t="s">
        <v>375</v>
      </c>
      <c r="AA2060" s="1">
        <v>46117</v>
      </c>
      <c r="AB2060" t="s">
        <v>695</v>
      </c>
      <c r="AD2060" t="s">
        <v>168</v>
      </c>
      <c r="AE2060" t="s">
        <v>696</v>
      </c>
      <c r="AF2060">
        <v>5606</v>
      </c>
      <c r="AG2060" t="s">
        <v>3023</v>
      </c>
      <c r="AI2060" t="s">
        <v>59</v>
      </c>
      <c r="AJ2060" t="str">
        <f>"0020188040"</f>
        <v>0020188040</v>
      </c>
      <c r="AM2060" t="s">
        <v>3024</v>
      </c>
      <c r="AN2060" s="3">
        <v>46075.970138888886</v>
      </c>
      <c r="AO2060" t="s">
        <v>693</v>
      </c>
    </row>
    <row r="2061" spans="1:41" x14ac:dyDescent="0.3">
      <c r="A2061" t="s">
        <v>168</v>
      </c>
      <c r="B2061" t="s">
        <v>441</v>
      </c>
      <c r="C2061" t="s">
        <v>202</v>
      </c>
      <c r="E2061" s="1">
        <v>46073</v>
      </c>
      <c r="F2061" t="s">
        <v>2113</v>
      </c>
      <c r="G2061" t="s">
        <v>45</v>
      </c>
      <c r="H2061" s="2">
        <v>0.3125</v>
      </c>
      <c r="I2061" s="2">
        <v>0.64583333333333337</v>
      </c>
      <c r="J2061" t="s">
        <v>46</v>
      </c>
      <c r="L2061" t="s">
        <v>47</v>
      </c>
      <c r="M2061" t="s">
        <v>1161</v>
      </c>
      <c r="N2061" t="s">
        <v>1162</v>
      </c>
      <c r="O2061">
        <v>22168</v>
      </c>
      <c r="Q2061" t="s">
        <v>944</v>
      </c>
      <c r="R2061" t="s">
        <v>556</v>
      </c>
      <c r="S2061" t="s">
        <v>52</v>
      </c>
      <c r="U2061">
        <v>891253</v>
      </c>
      <c r="V2061" s="3">
        <v>46050.938194444447</v>
      </c>
      <c r="W2061" t="s">
        <v>1163</v>
      </c>
      <c r="X2061" t="s">
        <v>1164</v>
      </c>
      <c r="Y2061" t="str">
        <f>"0421462931"</f>
        <v>0421462931</v>
      </c>
      <c r="Z2061" t="s">
        <v>70</v>
      </c>
      <c r="AB2061" t="s">
        <v>448</v>
      </c>
      <c r="AD2061" t="s">
        <v>168</v>
      </c>
      <c r="AE2061" t="s">
        <v>180</v>
      </c>
      <c r="AF2061">
        <v>5063</v>
      </c>
      <c r="AG2061" t="s">
        <v>944</v>
      </c>
      <c r="AI2061" t="s">
        <v>59</v>
      </c>
      <c r="AL2061" t="s">
        <v>1121</v>
      </c>
      <c r="AN2061" s="3">
        <v>46073.517361111109</v>
      </c>
      <c r="AO2061" t="s">
        <v>1163</v>
      </c>
    </row>
    <row r="2062" spans="1:41" x14ac:dyDescent="0.3">
      <c r="A2062" t="s">
        <v>61</v>
      </c>
      <c r="B2062" t="s">
        <v>62</v>
      </c>
      <c r="C2062" t="s">
        <v>43</v>
      </c>
      <c r="D2062" t="s">
        <v>63</v>
      </c>
      <c r="E2062" s="1">
        <v>46073</v>
      </c>
      <c r="F2062" t="s">
        <v>2113</v>
      </c>
      <c r="G2062" t="s">
        <v>45</v>
      </c>
      <c r="H2062" s="2">
        <v>0.3125</v>
      </c>
      <c r="I2062" s="2">
        <v>0.99861111111111112</v>
      </c>
      <c r="J2062" t="s">
        <v>185</v>
      </c>
      <c r="L2062" t="s">
        <v>790</v>
      </c>
      <c r="M2062" t="s">
        <v>791</v>
      </c>
      <c r="N2062" t="s">
        <v>792</v>
      </c>
      <c r="O2062">
        <v>5952334</v>
      </c>
      <c r="Q2062" t="s">
        <v>4310</v>
      </c>
      <c r="R2062" t="s">
        <v>67</v>
      </c>
      <c r="S2062" t="s">
        <v>52</v>
      </c>
      <c r="U2062">
        <v>891287</v>
      </c>
      <c r="V2062" s="3">
        <v>46066.414583333331</v>
      </c>
      <c r="W2062" t="s">
        <v>793</v>
      </c>
      <c r="X2062" t="s">
        <v>794</v>
      </c>
      <c r="Y2062" t="str">
        <f>"0422273393"</f>
        <v>0422273393</v>
      </c>
      <c r="Z2062" t="s">
        <v>545</v>
      </c>
      <c r="AA2062" s="1">
        <v>46073</v>
      </c>
      <c r="AB2062" t="s">
        <v>71</v>
      </c>
      <c r="AD2062" t="s">
        <v>61</v>
      </c>
      <c r="AE2062" t="s">
        <v>72</v>
      </c>
      <c r="AF2062">
        <v>2747</v>
      </c>
      <c r="AG2062" t="s">
        <v>73</v>
      </c>
      <c r="AI2062" t="s">
        <v>59</v>
      </c>
      <c r="AL2062" t="s">
        <v>4613</v>
      </c>
      <c r="AN2062" s="3">
        <v>46073.765972222223</v>
      </c>
      <c r="AO2062" t="s">
        <v>793</v>
      </c>
    </row>
    <row r="2063" spans="1:41" x14ac:dyDescent="0.3">
      <c r="A2063" t="s">
        <v>61</v>
      </c>
      <c r="B2063" t="s">
        <v>1441</v>
      </c>
      <c r="C2063" t="s">
        <v>43</v>
      </c>
      <c r="D2063" t="s">
        <v>127</v>
      </c>
      <c r="E2063" s="1">
        <v>46073</v>
      </c>
      <c r="F2063" t="s">
        <v>2113</v>
      </c>
      <c r="G2063" t="s">
        <v>45</v>
      </c>
      <c r="H2063" s="2">
        <v>0.3125</v>
      </c>
      <c r="I2063" s="2">
        <v>0.625</v>
      </c>
      <c r="J2063" t="s">
        <v>46</v>
      </c>
      <c r="L2063" t="s">
        <v>47</v>
      </c>
      <c r="M2063" t="s">
        <v>91</v>
      </c>
      <c r="N2063" t="s">
        <v>92</v>
      </c>
      <c r="O2063">
        <v>5950650</v>
      </c>
      <c r="P2063">
        <v>514399</v>
      </c>
      <c r="Q2063" t="s">
        <v>4614</v>
      </c>
      <c r="R2063" t="s">
        <v>67</v>
      </c>
      <c r="S2063" t="s">
        <v>52</v>
      </c>
      <c r="U2063">
        <v>891261</v>
      </c>
      <c r="V2063" s="3">
        <v>46071.506944444445</v>
      </c>
      <c r="W2063" t="s">
        <v>94</v>
      </c>
      <c r="X2063" t="s">
        <v>95</v>
      </c>
      <c r="Y2063" t="str">
        <f>"0493332534"</f>
        <v>0493332534</v>
      </c>
      <c r="Z2063" t="s">
        <v>70</v>
      </c>
      <c r="AA2063" s="1">
        <v>46073</v>
      </c>
      <c r="AB2063" t="s">
        <v>1444</v>
      </c>
      <c r="AD2063" t="s">
        <v>61</v>
      </c>
      <c r="AE2063" t="s">
        <v>1445</v>
      </c>
      <c r="AF2063">
        <v>2100</v>
      </c>
      <c r="AG2063" t="s">
        <v>4614</v>
      </c>
      <c r="AI2063" t="s">
        <v>59</v>
      </c>
      <c r="AL2063" t="s">
        <v>4615</v>
      </c>
      <c r="AN2063" s="3">
        <v>46073.60833333333</v>
      </c>
      <c r="AO2063" t="s">
        <v>94</v>
      </c>
    </row>
    <row r="2064" spans="1:41" x14ac:dyDescent="0.3">
      <c r="A2064" t="s">
        <v>61</v>
      </c>
      <c r="B2064" t="s">
        <v>350</v>
      </c>
      <c r="C2064" t="s">
        <v>202</v>
      </c>
      <c r="D2064" t="s">
        <v>63</v>
      </c>
      <c r="E2064" s="1">
        <v>46073</v>
      </c>
      <c r="F2064" t="s">
        <v>2113</v>
      </c>
      <c r="G2064" t="s">
        <v>45</v>
      </c>
      <c r="H2064" s="2">
        <v>0.3125</v>
      </c>
      <c r="I2064" s="2">
        <v>0.98958333333333337</v>
      </c>
      <c r="J2064" t="s">
        <v>46</v>
      </c>
      <c r="L2064" t="s">
        <v>47</v>
      </c>
      <c r="M2064" t="s">
        <v>610</v>
      </c>
      <c r="N2064" t="s">
        <v>3184</v>
      </c>
      <c r="O2064">
        <v>5950775</v>
      </c>
      <c r="Q2064" t="s">
        <v>369</v>
      </c>
      <c r="R2064" t="s">
        <v>67</v>
      </c>
      <c r="S2064" t="s">
        <v>52</v>
      </c>
      <c r="U2064">
        <v>891267</v>
      </c>
      <c r="V2064" s="3">
        <v>46069.586111111108</v>
      </c>
      <c r="W2064" t="s">
        <v>3185</v>
      </c>
      <c r="X2064" t="s">
        <v>3186</v>
      </c>
      <c r="Y2064" t="str">
        <f>"0406883932"</f>
        <v>0406883932</v>
      </c>
      <c r="Z2064" t="s">
        <v>55</v>
      </c>
      <c r="AA2064" s="1">
        <v>46073</v>
      </c>
      <c r="AB2064" t="s">
        <v>356</v>
      </c>
      <c r="AD2064" t="s">
        <v>61</v>
      </c>
      <c r="AE2064" t="s">
        <v>357</v>
      </c>
      <c r="AF2064">
        <v>2153</v>
      </c>
      <c r="AG2064" t="s">
        <v>369</v>
      </c>
      <c r="AI2064" t="s">
        <v>59</v>
      </c>
      <c r="AL2064" t="s">
        <v>4586</v>
      </c>
      <c r="AN2064" s="3">
        <v>46073.645138888889</v>
      </c>
      <c r="AO2064" t="s">
        <v>3185</v>
      </c>
    </row>
    <row r="2065" spans="1:41" x14ac:dyDescent="0.3">
      <c r="A2065" t="s">
        <v>168</v>
      </c>
      <c r="B2065" t="s">
        <v>689</v>
      </c>
      <c r="C2065" t="s">
        <v>1496</v>
      </c>
      <c r="D2065" t="s">
        <v>268</v>
      </c>
      <c r="E2065" s="1">
        <v>46073</v>
      </c>
      <c r="F2065" t="s">
        <v>2113</v>
      </c>
      <c r="G2065" t="s">
        <v>45</v>
      </c>
      <c r="H2065" s="2">
        <v>0.3125</v>
      </c>
      <c r="I2065" s="2">
        <v>0.66666666666666663</v>
      </c>
      <c r="J2065" t="s">
        <v>46</v>
      </c>
      <c r="L2065" t="s">
        <v>47</v>
      </c>
      <c r="M2065" t="s">
        <v>1497</v>
      </c>
      <c r="N2065" t="s">
        <v>465</v>
      </c>
      <c r="O2065">
        <v>5950806</v>
      </c>
      <c r="P2065" t="s">
        <v>249</v>
      </c>
      <c r="Q2065" t="s">
        <v>692</v>
      </c>
      <c r="R2065" t="s">
        <v>1498</v>
      </c>
      <c r="S2065" t="s">
        <v>52</v>
      </c>
      <c r="T2065" t="s">
        <v>252</v>
      </c>
      <c r="U2065">
        <v>891452</v>
      </c>
      <c r="V2065" s="3">
        <v>46076.447222222225</v>
      </c>
      <c r="W2065" t="s">
        <v>1498</v>
      </c>
      <c r="X2065" t="s">
        <v>1499</v>
      </c>
      <c r="Y2065" t="str">
        <f>"0425332962"</f>
        <v>0425332962</v>
      </c>
      <c r="Z2065" t="s">
        <v>395</v>
      </c>
      <c r="AA2065" s="1">
        <v>46117</v>
      </c>
      <c r="AB2065" t="s">
        <v>695</v>
      </c>
      <c r="AD2065" t="s">
        <v>168</v>
      </c>
      <c r="AE2065" t="s">
        <v>696</v>
      </c>
      <c r="AF2065">
        <v>5606</v>
      </c>
      <c r="AG2065" t="s">
        <v>866</v>
      </c>
      <c r="AI2065" t="s">
        <v>59</v>
      </c>
      <c r="AJ2065" t="str">
        <f>"0020188039"</f>
        <v>0020188039</v>
      </c>
      <c r="AN2065" s="3">
        <v>46076.447222222225</v>
      </c>
      <c r="AO2065" t="s">
        <v>1498</v>
      </c>
    </row>
    <row r="2066" spans="1:41" x14ac:dyDescent="0.3">
      <c r="A2066" t="s">
        <v>41</v>
      </c>
      <c r="B2066" t="s">
        <v>426</v>
      </c>
      <c r="C2066" t="s">
        <v>43</v>
      </c>
      <c r="D2066" t="s">
        <v>246</v>
      </c>
      <c r="E2066" s="1">
        <v>46073</v>
      </c>
      <c r="F2066" t="s">
        <v>2113</v>
      </c>
      <c r="G2066" t="s">
        <v>45</v>
      </c>
      <c r="H2066" s="2">
        <v>0.32291666666666669</v>
      </c>
      <c r="I2066" s="2">
        <v>0.71875</v>
      </c>
      <c r="J2066" t="s">
        <v>185</v>
      </c>
      <c r="K2066" t="s">
        <v>427</v>
      </c>
      <c r="L2066" t="s">
        <v>815</v>
      </c>
      <c r="M2066" t="s">
        <v>816</v>
      </c>
      <c r="N2066" t="s">
        <v>817</v>
      </c>
      <c r="O2066">
        <v>22501</v>
      </c>
      <c r="Q2066" t="s">
        <v>249</v>
      </c>
      <c r="R2066" t="s">
        <v>51</v>
      </c>
      <c r="S2066" t="s">
        <v>52</v>
      </c>
      <c r="U2066">
        <v>891285</v>
      </c>
      <c r="V2066" s="3">
        <v>46059.572916666664</v>
      </c>
      <c r="W2066" t="s">
        <v>818</v>
      </c>
      <c r="X2066" t="s">
        <v>819</v>
      </c>
      <c r="Y2066" t="str">
        <f>"0432588228"</f>
        <v>0432588228</v>
      </c>
      <c r="Z2066" t="s">
        <v>4244</v>
      </c>
      <c r="AA2066" s="1">
        <v>46073</v>
      </c>
      <c r="AB2066" t="s">
        <v>434</v>
      </c>
      <c r="AD2066" t="s">
        <v>41</v>
      </c>
      <c r="AE2066" t="s">
        <v>435</v>
      </c>
      <c r="AF2066">
        <v>4163</v>
      </c>
      <c r="AG2066" t="s">
        <v>249</v>
      </c>
      <c r="AI2066" t="s">
        <v>59</v>
      </c>
      <c r="AL2066" t="s">
        <v>249</v>
      </c>
      <c r="AN2066" s="3">
        <v>46073.760416666664</v>
      </c>
      <c r="AO2066" t="s">
        <v>818</v>
      </c>
    </row>
    <row r="2067" spans="1:41" x14ac:dyDescent="0.3">
      <c r="A2067" t="s">
        <v>61</v>
      </c>
      <c r="B2067" t="s">
        <v>1079</v>
      </c>
      <c r="C2067" t="s">
        <v>43</v>
      </c>
      <c r="D2067" t="s">
        <v>63</v>
      </c>
      <c r="E2067" s="1">
        <v>46073</v>
      </c>
      <c r="F2067" t="s">
        <v>2113</v>
      </c>
      <c r="G2067" t="s">
        <v>45</v>
      </c>
      <c r="H2067" s="2">
        <v>0.33333333333333331</v>
      </c>
      <c r="I2067" s="2">
        <v>0.6875</v>
      </c>
      <c r="J2067" t="s">
        <v>46</v>
      </c>
      <c r="L2067" t="s">
        <v>298</v>
      </c>
      <c r="M2067" t="s">
        <v>960</v>
      </c>
      <c r="N2067" t="s">
        <v>961</v>
      </c>
      <c r="O2067">
        <v>5952208</v>
      </c>
      <c r="Q2067" t="s">
        <v>1087</v>
      </c>
      <c r="R2067" t="s">
        <v>67</v>
      </c>
      <c r="S2067" t="s">
        <v>52</v>
      </c>
      <c r="U2067">
        <v>891269</v>
      </c>
      <c r="V2067" s="3">
        <v>46071.386805555558</v>
      </c>
      <c r="W2067" t="s">
        <v>962</v>
      </c>
      <c r="X2067" t="s">
        <v>963</v>
      </c>
      <c r="Y2067" t="str">
        <f>"0427301257"</f>
        <v>0427301257</v>
      </c>
      <c r="Z2067" t="s">
        <v>70</v>
      </c>
      <c r="AA2067" s="1">
        <v>46073</v>
      </c>
      <c r="AB2067" t="s">
        <v>1085</v>
      </c>
      <c r="AD2067" t="s">
        <v>61</v>
      </c>
      <c r="AE2067" t="s">
        <v>1086</v>
      </c>
      <c r="AF2067">
        <v>2031</v>
      </c>
      <c r="AG2067" t="s">
        <v>2242</v>
      </c>
      <c r="AI2067" t="s">
        <v>59</v>
      </c>
      <c r="AL2067" t="s">
        <v>4586</v>
      </c>
      <c r="AN2067" s="3">
        <v>46073.657638888886</v>
      </c>
      <c r="AO2067" t="s">
        <v>962</v>
      </c>
    </row>
    <row r="2068" spans="1:41" x14ac:dyDescent="0.3">
      <c r="A2068" t="s">
        <v>168</v>
      </c>
      <c r="B2068" t="s">
        <v>282</v>
      </c>
      <c r="C2068" t="s">
        <v>170</v>
      </c>
      <c r="D2068" t="s">
        <v>283</v>
      </c>
      <c r="E2068" s="1">
        <v>46073</v>
      </c>
      <c r="F2068" t="s">
        <v>2113</v>
      </c>
      <c r="G2068" t="s">
        <v>45</v>
      </c>
      <c r="H2068" s="2">
        <v>0.33333333333333331</v>
      </c>
      <c r="I2068" s="2">
        <v>0.5</v>
      </c>
      <c r="J2068" t="s">
        <v>170</v>
      </c>
      <c r="K2068" t="s">
        <v>77</v>
      </c>
      <c r="L2068" t="s">
        <v>204</v>
      </c>
      <c r="M2068" t="s">
        <v>205</v>
      </c>
      <c r="N2068" t="s">
        <v>206</v>
      </c>
      <c r="O2068">
        <v>21706</v>
      </c>
      <c r="Q2068" t="s">
        <v>287</v>
      </c>
      <c r="R2068" t="s">
        <v>176</v>
      </c>
      <c r="S2068" t="s">
        <v>52</v>
      </c>
      <c r="U2068">
        <v>891255</v>
      </c>
      <c r="V2068" s="3">
        <v>46070.38958333333</v>
      </c>
      <c r="W2068" t="s">
        <v>209</v>
      </c>
      <c r="X2068" t="s">
        <v>210</v>
      </c>
      <c r="Y2068" t="str">
        <f>"0415862070"</f>
        <v>0415862070</v>
      </c>
      <c r="Z2068" t="s">
        <v>345</v>
      </c>
      <c r="AB2068" t="s">
        <v>291</v>
      </c>
      <c r="AC2068" t="s">
        <v>292</v>
      </c>
      <c r="AD2068" t="s">
        <v>168</v>
      </c>
      <c r="AE2068" t="s">
        <v>293</v>
      </c>
      <c r="AF2068">
        <v>5037</v>
      </c>
      <c r="AG2068" t="s">
        <v>287</v>
      </c>
      <c r="AI2068" t="s">
        <v>59</v>
      </c>
      <c r="AL2068" t="s">
        <v>4616</v>
      </c>
      <c r="AN2068" s="3">
        <v>46073.524305555555</v>
      </c>
      <c r="AO2068" t="s">
        <v>209</v>
      </c>
    </row>
    <row r="2069" spans="1:41" x14ac:dyDescent="0.3">
      <c r="A2069" t="s">
        <v>168</v>
      </c>
      <c r="B2069" t="s">
        <v>4617</v>
      </c>
      <c r="C2069" t="s">
        <v>226</v>
      </c>
      <c r="D2069" t="s">
        <v>127</v>
      </c>
      <c r="E2069" s="1">
        <v>46073</v>
      </c>
      <c r="F2069" t="s">
        <v>2113</v>
      </c>
      <c r="G2069" t="s">
        <v>45</v>
      </c>
      <c r="H2069" s="2">
        <v>0.33333333333333331</v>
      </c>
      <c r="I2069" s="2">
        <v>0.58333333333333337</v>
      </c>
      <c r="J2069" t="s">
        <v>101</v>
      </c>
      <c r="L2069" t="s">
        <v>159</v>
      </c>
      <c r="M2069" t="s">
        <v>217</v>
      </c>
      <c r="N2069" t="s">
        <v>218</v>
      </c>
      <c r="O2069">
        <v>32</v>
      </c>
      <c r="Q2069" t="s">
        <v>4618</v>
      </c>
      <c r="R2069" t="s">
        <v>176</v>
      </c>
      <c r="S2069" t="s">
        <v>52</v>
      </c>
      <c r="U2069">
        <v>891266</v>
      </c>
      <c r="V2069" s="3">
        <v>46071.665972222225</v>
      </c>
      <c r="W2069" t="s">
        <v>220</v>
      </c>
      <c r="X2069" t="s">
        <v>221</v>
      </c>
      <c r="Y2069" t="str">
        <f>"0426797353"</f>
        <v>0426797353</v>
      </c>
      <c r="Z2069" t="s">
        <v>70</v>
      </c>
      <c r="AA2069" s="1">
        <v>46073</v>
      </c>
      <c r="AB2069" t="s">
        <v>4619</v>
      </c>
      <c r="AD2069" t="s">
        <v>168</v>
      </c>
      <c r="AE2069" t="s">
        <v>4620</v>
      </c>
      <c r="AF2069">
        <v>5065</v>
      </c>
      <c r="AG2069" t="s">
        <v>4618</v>
      </c>
      <c r="AI2069" t="s">
        <v>59</v>
      </c>
      <c r="AL2069" t="s">
        <v>4621</v>
      </c>
      <c r="AN2069" s="3">
        <v>46073.626388888886</v>
      </c>
      <c r="AO2069" t="s">
        <v>220</v>
      </c>
    </row>
    <row r="2070" spans="1:41" x14ac:dyDescent="0.3">
      <c r="A2070" t="s">
        <v>61</v>
      </c>
      <c r="B2070" t="s">
        <v>4622</v>
      </c>
      <c r="C2070" t="s">
        <v>43</v>
      </c>
      <c r="D2070" t="s">
        <v>4623</v>
      </c>
      <c r="E2070" s="1">
        <v>46073</v>
      </c>
      <c r="F2070" t="s">
        <v>2113</v>
      </c>
      <c r="G2070" t="s">
        <v>45</v>
      </c>
      <c r="H2070" s="2">
        <v>0.33333333333333331</v>
      </c>
      <c r="I2070" s="2">
        <v>0.99861111111111112</v>
      </c>
      <c r="J2070" t="s">
        <v>101</v>
      </c>
      <c r="K2070" t="s">
        <v>4624</v>
      </c>
      <c r="L2070" t="s">
        <v>159</v>
      </c>
      <c r="M2070" t="s">
        <v>1004</v>
      </c>
      <c r="N2070" t="s">
        <v>1005</v>
      </c>
      <c r="O2070">
        <v>5952129</v>
      </c>
      <c r="Q2070" t="s">
        <v>4625</v>
      </c>
      <c r="R2070" t="s">
        <v>500</v>
      </c>
      <c r="S2070" t="s">
        <v>52</v>
      </c>
      <c r="U2070">
        <v>891263</v>
      </c>
      <c r="V2070" s="3">
        <v>46071.915972222225</v>
      </c>
      <c r="W2070" t="s">
        <v>1007</v>
      </c>
      <c r="X2070" t="s">
        <v>1008</v>
      </c>
      <c r="Y2070" t="str">
        <f>"0422263194"</f>
        <v>0422263194</v>
      </c>
      <c r="Z2070" t="s">
        <v>70</v>
      </c>
      <c r="AA2070" s="1">
        <v>46073</v>
      </c>
      <c r="AB2070" t="s">
        <v>4626</v>
      </c>
      <c r="AD2070" t="s">
        <v>61</v>
      </c>
      <c r="AE2070" t="s">
        <v>4627</v>
      </c>
      <c r="AF2070">
        <v>2015</v>
      </c>
      <c r="AG2070" t="s">
        <v>4628</v>
      </c>
      <c r="AI2070" t="s">
        <v>59</v>
      </c>
      <c r="AL2070" t="s">
        <v>2355</v>
      </c>
      <c r="AM2070" t="s">
        <v>4629</v>
      </c>
      <c r="AN2070" s="3">
        <v>46073.621527777781</v>
      </c>
      <c r="AO2070" t="s">
        <v>1007</v>
      </c>
    </row>
    <row r="2071" spans="1:41" x14ac:dyDescent="0.3">
      <c r="A2071" t="s">
        <v>168</v>
      </c>
      <c r="B2071" t="s">
        <v>1958</v>
      </c>
      <c r="C2071" t="s">
        <v>216</v>
      </c>
      <c r="D2071" t="s">
        <v>309</v>
      </c>
      <c r="E2071" s="1">
        <v>46073</v>
      </c>
      <c r="F2071" t="s">
        <v>2113</v>
      </c>
      <c r="G2071" t="s">
        <v>45</v>
      </c>
      <c r="H2071" s="2">
        <v>0.33333333333333331</v>
      </c>
      <c r="I2071" s="2">
        <v>0.66666666666666663</v>
      </c>
      <c r="J2071" t="s">
        <v>101</v>
      </c>
      <c r="K2071" t="s">
        <v>750</v>
      </c>
      <c r="L2071" t="s">
        <v>743</v>
      </c>
      <c r="M2071" t="s">
        <v>1886</v>
      </c>
      <c r="N2071" t="s">
        <v>1887</v>
      </c>
      <c r="O2071">
        <v>5952367</v>
      </c>
      <c r="Q2071" t="s">
        <v>1864</v>
      </c>
      <c r="R2071" t="s">
        <v>476</v>
      </c>
      <c r="S2071" t="s">
        <v>52</v>
      </c>
      <c r="U2071">
        <v>891258</v>
      </c>
      <c r="V2071" s="3">
        <v>46073.230555555558</v>
      </c>
      <c r="W2071" t="s">
        <v>1888</v>
      </c>
      <c r="X2071" t="s">
        <v>1889</v>
      </c>
      <c r="Y2071" t="str">
        <f>"0468596772"</f>
        <v>0468596772</v>
      </c>
      <c r="Z2071" t="s">
        <v>70</v>
      </c>
      <c r="AA2071" s="1">
        <v>46073</v>
      </c>
      <c r="AB2071" t="s">
        <v>1961</v>
      </c>
      <c r="AD2071" t="s">
        <v>168</v>
      </c>
      <c r="AE2071" t="s">
        <v>856</v>
      </c>
      <c r="AF2071">
        <v>5112</v>
      </c>
      <c r="AG2071" t="s">
        <v>3282</v>
      </c>
      <c r="AI2071" t="s">
        <v>59</v>
      </c>
      <c r="AL2071" t="s">
        <v>87</v>
      </c>
      <c r="AN2071" s="3">
        <v>46073.5625</v>
      </c>
      <c r="AO2071" t="s">
        <v>1888</v>
      </c>
    </row>
    <row r="2072" spans="1:41" x14ac:dyDescent="0.3">
      <c r="A2072" t="s">
        <v>61</v>
      </c>
      <c r="B2072" t="s">
        <v>158</v>
      </c>
      <c r="C2072" t="s">
        <v>43</v>
      </c>
      <c r="D2072" t="s">
        <v>127</v>
      </c>
      <c r="E2072" s="1">
        <v>46073</v>
      </c>
      <c r="F2072" t="s">
        <v>2113</v>
      </c>
      <c r="G2072" t="s">
        <v>45</v>
      </c>
      <c r="H2072" s="2">
        <v>0.33333333333333331</v>
      </c>
      <c r="I2072" s="2">
        <v>0.99861111111111112</v>
      </c>
      <c r="J2072" t="s">
        <v>101</v>
      </c>
      <c r="L2072" t="s">
        <v>159</v>
      </c>
      <c r="M2072" t="s">
        <v>1502</v>
      </c>
      <c r="N2072" t="s">
        <v>1503</v>
      </c>
      <c r="O2072">
        <v>21662</v>
      </c>
      <c r="Q2072" t="s">
        <v>162</v>
      </c>
      <c r="R2072" t="s">
        <v>208</v>
      </c>
      <c r="S2072" t="s">
        <v>52</v>
      </c>
      <c r="U2072">
        <v>891281</v>
      </c>
      <c r="V2072" s="3">
        <v>46070.693749999999</v>
      </c>
      <c r="W2072" t="s">
        <v>1504</v>
      </c>
      <c r="X2072" t="s">
        <v>1505</v>
      </c>
      <c r="Y2072" t="str">
        <f>"0424896869"</f>
        <v>0424896869</v>
      </c>
      <c r="Z2072" t="s">
        <v>55</v>
      </c>
      <c r="AA2072" s="1">
        <v>46073</v>
      </c>
      <c r="AB2072" t="s">
        <v>166</v>
      </c>
      <c r="AD2072" t="s">
        <v>61</v>
      </c>
      <c r="AE2072" t="s">
        <v>167</v>
      </c>
      <c r="AF2072">
        <v>2011</v>
      </c>
      <c r="AG2072" t="s">
        <v>3450</v>
      </c>
      <c r="AI2072" t="s">
        <v>59</v>
      </c>
      <c r="AL2072" t="s">
        <v>4630</v>
      </c>
      <c r="AN2072" s="3">
        <v>46073.73333333333</v>
      </c>
      <c r="AO2072" t="s">
        <v>1504</v>
      </c>
    </row>
    <row r="2073" spans="1:41" x14ac:dyDescent="0.3">
      <c r="A2073" t="s">
        <v>168</v>
      </c>
      <c r="B2073" t="s">
        <v>847</v>
      </c>
      <c r="C2073" t="s">
        <v>848</v>
      </c>
      <c r="D2073" t="s">
        <v>268</v>
      </c>
      <c r="E2073" s="1">
        <v>46073</v>
      </c>
      <c r="F2073" t="s">
        <v>2113</v>
      </c>
      <c r="G2073" t="s">
        <v>45</v>
      </c>
      <c r="H2073" s="2">
        <v>0.35416666666666669</v>
      </c>
      <c r="I2073" s="2">
        <v>0.70833333333333337</v>
      </c>
      <c r="J2073" t="s">
        <v>101</v>
      </c>
      <c r="K2073" t="s">
        <v>849</v>
      </c>
      <c r="L2073" t="s">
        <v>159</v>
      </c>
      <c r="M2073" t="s">
        <v>1552</v>
      </c>
      <c r="N2073" t="s">
        <v>1553</v>
      </c>
      <c r="O2073">
        <v>5951790</v>
      </c>
      <c r="Q2073" t="s">
        <v>857</v>
      </c>
      <c r="R2073" t="s">
        <v>231</v>
      </c>
      <c r="S2073" t="s">
        <v>52</v>
      </c>
      <c r="U2073">
        <v>891280</v>
      </c>
      <c r="V2073" s="3">
        <v>46035.579861111109</v>
      </c>
      <c r="W2073" t="s">
        <v>1554</v>
      </c>
      <c r="X2073" t="s">
        <v>1555</v>
      </c>
      <c r="Y2073" t="str">
        <f>"0402115073"</f>
        <v>0402115073</v>
      </c>
      <c r="Z2073" t="s">
        <v>2036</v>
      </c>
      <c r="AA2073" s="1">
        <v>46073</v>
      </c>
      <c r="AB2073" t="s">
        <v>847</v>
      </c>
      <c r="AC2073" t="s">
        <v>855</v>
      </c>
      <c r="AD2073" t="s">
        <v>168</v>
      </c>
      <c r="AE2073" t="s">
        <v>856</v>
      </c>
      <c r="AF2073">
        <v>5112</v>
      </c>
      <c r="AG2073" t="s">
        <v>857</v>
      </c>
      <c r="AI2073" t="s">
        <v>59</v>
      </c>
      <c r="AL2073" t="s">
        <v>1556</v>
      </c>
      <c r="AN2073" s="3">
        <v>46073.71597222222</v>
      </c>
      <c r="AO2073" t="s">
        <v>1554</v>
      </c>
    </row>
    <row r="2074" spans="1:41" x14ac:dyDescent="0.3">
      <c r="A2074" t="s">
        <v>61</v>
      </c>
      <c r="B2074" t="s">
        <v>655</v>
      </c>
      <c r="C2074" t="s">
        <v>43</v>
      </c>
      <c r="D2074" t="s">
        <v>656</v>
      </c>
      <c r="E2074" s="1">
        <v>46073</v>
      </c>
      <c r="F2074" t="s">
        <v>2113</v>
      </c>
      <c r="G2074" t="s">
        <v>45</v>
      </c>
      <c r="H2074" s="2">
        <v>0.35416666666666669</v>
      </c>
      <c r="I2074" s="2">
        <v>0.99861111111111112</v>
      </c>
      <c r="J2074" t="s">
        <v>100</v>
      </c>
      <c r="L2074" t="s">
        <v>100</v>
      </c>
      <c r="M2074" t="s">
        <v>1566</v>
      </c>
      <c r="N2074" t="s">
        <v>1567</v>
      </c>
      <c r="O2074">
        <v>20900</v>
      </c>
      <c r="Q2074" t="s">
        <v>665</v>
      </c>
      <c r="R2074" t="s">
        <v>500</v>
      </c>
      <c r="S2074" t="s">
        <v>52</v>
      </c>
      <c r="U2074">
        <v>891272</v>
      </c>
      <c r="V2074" s="3">
        <v>46050.688194444447</v>
      </c>
      <c r="W2074" t="s">
        <v>1569</v>
      </c>
      <c r="X2074" t="s">
        <v>1570</v>
      </c>
      <c r="Y2074" t="str">
        <f>"0411393136"</f>
        <v>0411393136</v>
      </c>
      <c r="Z2074" t="s">
        <v>4631</v>
      </c>
      <c r="AB2074" t="s">
        <v>662</v>
      </c>
      <c r="AC2074" t="s">
        <v>663</v>
      </c>
      <c r="AD2074" t="s">
        <v>61</v>
      </c>
      <c r="AE2074" t="s">
        <v>664</v>
      </c>
      <c r="AF2074">
        <v>2067</v>
      </c>
      <c r="AG2074" t="s">
        <v>665</v>
      </c>
      <c r="AI2074" t="s">
        <v>59</v>
      </c>
      <c r="AL2074" t="s">
        <v>4586</v>
      </c>
      <c r="AN2074" s="3">
        <v>46073.663888888892</v>
      </c>
      <c r="AO2074" t="s">
        <v>1569</v>
      </c>
    </row>
    <row r="2075" spans="1:41" x14ac:dyDescent="0.3">
      <c r="A2075" t="s">
        <v>61</v>
      </c>
      <c r="B2075" t="s">
        <v>655</v>
      </c>
      <c r="C2075" t="s">
        <v>43</v>
      </c>
      <c r="D2075" t="s">
        <v>656</v>
      </c>
      <c r="E2075" s="1">
        <v>46073</v>
      </c>
      <c r="F2075" t="s">
        <v>2113</v>
      </c>
      <c r="G2075" t="s">
        <v>45</v>
      </c>
      <c r="H2075" s="2">
        <v>0.35416666666666669</v>
      </c>
      <c r="I2075" s="2">
        <v>0.99861111111111112</v>
      </c>
      <c r="J2075" t="s">
        <v>46</v>
      </c>
      <c r="L2075" t="s">
        <v>47</v>
      </c>
      <c r="M2075" t="s">
        <v>785</v>
      </c>
      <c r="N2075" t="s">
        <v>905</v>
      </c>
      <c r="O2075">
        <v>5950885</v>
      </c>
      <c r="Q2075" t="s">
        <v>665</v>
      </c>
      <c r="R2075" t="s">
        <v>67</v>
      </c>
      <c r="S2075" t="s">
        <v>52</v>
      </c>
      <c r="U2075">
        <v>891268</v>
      </c>
      <c r="V2075" s="3">
        <v>46042.432638888888</v>
      </c>
      <c r="W2075" t="s">
        <v>906</v>
      </c>
      <c r="X2075" t="s">
        <v>907</v>
      </c>
      <c r="Y2075" t="str">
        <f>"0421650139"</f>
        <v>0421650139</v>
      </c>
      <c r="Z2075" t="s">
        <v>2128</v>
      </c>
      <c r="AB2075" t="s">
        <v>662</v>
      </c>
      <c r="AC2075" t="s">
        <v>663</v>
      </c>
      <c r="AD2075" t="s">
        <v>61</v>
      </c>
      <c r="AE2075" t="s">
        <v>664</v>
      </c>
      <c r="AF2075">
        <v>2067</v>
      </c>
      <c r="AG2075" t="s">
        <v>665</v>
      </c>
      <c r="AI2075" t="s">
        <v>59</v>
      </c>
      <c r="AL2075" t="s">
        <v>4632</v>
      </c>
      <c r="AN2075" s="3">
        <v>46073.65625</v>
      </c>
      <c r="AO2075" t="s">
        <v>906</v>
      </c>
    </row>
    <row r="2076" spans="1:41" x14ac:dyDescent="0.3">
      <c r="A2076" t="s">
        <v>168</v>
      </c>
      <c r="B2076" t="s">
        <v>847</v>
      </c>
      <c r="C2076" t="s">
        <v>43</v>
      </c>
      <c r="D2076" t="s">
        <v>268</v>
      </c>
      <c r="E2076" s="1">
        <v>46073</v>
      </c>
      <c r="F2076" t="s">
        <v>2113</v>
      </c>
      <c r="G2076" t="s">
        <v>45</v>
      </c>
      <c r="H2076" s="2">
        <v>0.35416666666666669</v>
      </c>
      <c r="I2076" s="2">
        <v>0.70833333333333337</v>
      </c>
      <c r="J2076" t="s">
        <v>185</v>
      </c>
      <c r="L2076" t="s">
        <v>2243</v>
      </c>
      <c r="M2076" t="s">
        <v>2244</v>
      </c>
      <c r="N2076" t="s">
        <v>2245</v>
      </c>
      <c r="O2076">
        <v>22748</v>
      </c>
      <c r="Q2076" t="s">
        <v>857</v>
      </c>
      <c r="R2076" t="s">
        <v>231</v>
      </c>
      <c r="S2076" t="s">
        <v>52</v>
      </c>
      <c r="U2076">
        <v>891283</v>
      </c>
      <c r="V2076" s="3">
        <v>46063.612500000003</v>
      </c>
      <c r="W2076" t="s">
        <v>2246</v>
      </c>
      <c r="X2076" t="s">
        <v>2247</v>
      </c>
      <c r="Y2076" t="str">
        <f>"0423555385"</f>
        <v>0423555385</v>
      </c>
      <c r="Z2076" t="s">
        <v>395</v>
      </c>
      <c r="AB2076" t="s">
        <v>847</v>
      </c>
      <c r="AC2076" t="s">
        <v>855</v>
      </c>
      <c r="AD2076" t="s">
        <v>168</v>
      </c>
      <c r="AE2076" t="s">
        <v>856</v>
      </c>
      <c r="AF2076">
        <v>5112</v>
      </c>
      <c r="AG2076" t="s">
        <v>857</v>
      </c>
      <c r="AI2076" t="s">
        <v>59</v>
      </c>
      <c r="AL2076" t="s">
        <v>4633</v>
      </c>
      <c r="AN2076" s="3">
        <v>46073.738888888889</v>
      </c>
      <c r="AO2076" t="s">
        <v>2246</v>
      </c>
    </row>
    <row r="2077" spans="1:41" x14ac:dyDescent="0.3">
      <c r="A2077" t="s">
        <v>874</v>
      </c>
      <c r="B2077" t="s">
        <v>875</v>
      </c>
      <c r="D2077" t="s">
        <v>388</v>
      </c>
      <c r="E2077" s="1">
        <v>46073</v>
      </c>
      <c r="F2077" t="s">
        <v>2113</v>
      </c>
      <c r="G2077" t="s">
        <v>45</v>
      </c>
      <c r="H2077" s="2">
        <v>0.35416666666666669</v>
      </c>
      <c r="I2077" s="2">
        <v>0.70833333333333337</v>
      </c>
      <c r="J2077" t="s">
        <v>876</v>
      </c>
      <c r="L2077" t="s">
        <v>877</v>
      </c>
      <c r="M2077" t="s">
        <v>878</v>
      </c>
      <c r="N2077" t="s">
        <v>879</v>
      </c>
      <c r="O2077">
        <v>5951689</v>
      </c>
      <c r="P2077" t="s">
        <v>249</v>
      </c>
      <c r="Q2077" t="s">
        <v>880</v>
      </c>
      <c r="R2077" t="s">
        <v>392</v>
      </c>
      <c r="S2077" t="s">
        <v>52</v>
      </c>
      <c r="T2077" t="s">
        <v>252</v>
      </c>
      <c r="U2077">
        <v>891247</v>
      </c>
      <c r="V2077" s="3">
        <v>46073.466666666667</v>
      </c>
      <c r="W2077" t="s">
        <v>881</v>
      </c>
      <c r="X2077" t="s">
        <v>882</v>
      </c>
      <c r="Y2077" t="str">
        <f>"0474765680"</f>
        <v>0474765680</v>
      </c>
      <c r="Z2077" t="s">
        <v>375</v>
      </c>
      <c r="AA2077" s="1">
        <v>46110</v>
      </c>
      <c r="AB2077" t="s">
        <v>883</v>
      </c>
      <c r="AD2077" t="s">
        <v>397</v>
      </c>
      <c r="AE2077" t="s">
        <v>884</v>
      </c>
      <c r="AG2077" t="s">
        <v>880</v>
      </c>
      <c r="AI2077" t="s">
        <v>59</v>
      </c>
      <c r="AJ2077" t="str">
        <f>"0090000061"</f>
        <v>0090000061</v>
      </c>
      <c r="AN2077" s="3">
        <v>46073.466666666667</v>
      </c>
      <c r="AO2077" t="s">
        <v>392</v>
      </c>
    </row>
    <row r="2078" spans="1:41" x14ac:dyDescent="0.3">
      <c r="A2078" t="s">
        <v>75</v>
      </c>
      <c r="B2078" t="s">
        <v>895</v>
      </c>
      <c r="C2078" t="s">
        <v>896</v>
      </c>
      <c r="D2078" t="s">
        <v>184</v>
      </c>
      <c r="E2078" s="1">
        <v>46073</v>
      </c>
      <c r="F2078" t="s">
        <v>2113</v>
      </c>
      <c r="G2078" t="s">
        <v>45</v>
      </c>
      <c r="H2078" s="2">
        <v>0.375</v>
      </c>
      <c r="I2078" s="2">
        <v>0.58333333333333337</v>
      </c>
      <c r="J2078" t="s">
        <v>46</v>
      </c>
      <c r="L2078" t="s">
        <v>47</v>
      </c>
      <c r="M2078" t="s">
        <v>897</v>
      </c>
      <c r="N2078" t="s">
        <v>898</v>
      </c>
      <c r="O2078">
        <v>22938</v>
      </c>
      <c r="Q2078" t="s">
        <v>2159</v>
      </c>
      <c r="R2078" t="s">
        <v>500</v>
      </c>
      <c r="S2078" t="s">
        <v>52</v>
      </c>
      <c r="U2078">
        <v>891277</v>
      </c>
      <c r="V2078" s="3">
        <v>46042.95</v>
      </c>
      <c r="W2078" t="s">
        <v>900</v>
      </c>
      <c r="X2078" t="s">
        <v>901</v>
      </c>
      <c r="Y2078" t="str">
        <f>"0412336670"</f>
        <v>0412336670</v>
      </c>
      <c r="Z2078" t="s">
        <v>4175</v>
      </c>
      <c r="AB2078" t="s">
        <v>902</v>
      </c>
      <c r="AD2078" t="s">
        <v>75</v>
      </c>
      <c r="AE2078" t="s">
        <v>903</v>
      </c>
      <c r="AF2078">
        <v>6009</v>
      </c>
      <c r="AG2078" t="s">
        <v>2229</v>
      </c>
      <c r="AI2078" t="s">
        <v>59</v>
      </c>
      <c r="AL2078" t="s">
        <v>2258</v>
      </c>
      <c r="AN2078" s="3">
        <v>46073.7</v>
      </c>
      <c r="AO2078" t="s">
        <v>900</v>
      </c>
    </row>
    <row r="2079" spans="1:41" x14ac:dyDescent="0.3">
      <c r="A2079" t="s">
        <v>61</v>
      </c>
      <c r="B2079" t="s">
        <v>3031</v>
      </c>
      <c r="C2079" t="s">
        <v>43</v>
      </c>
      <c r="D2079" t="s">
        <v>127</v>
      </c>
      <c r="E2079" s="1">
        <v>46073</v>
      </c>
      <c r="F2079" t="s">
        <v>2113</v>
      </c>
      <c r="G2079" t="s">
        <v>45</v>
      </c>
      <c r="H2079" s="2">
        <v>0.375</v>
      </c>
      <c r="I2079" s="2">
        <v>0.8125</v>
      </c>
      <c r="J2079" t="s">
        <v>46</v>
      </c>
      <c r="L2079" t="s">
        <v>47</v>
      </c>
      <c r="M2079" t="s">
        <v>64</v>
      </c>
      <c r="N2079" t="s">
        <v>65</v>
      </c>
      <c r="O2079">
        <v>22580</v>
      </c>
      <c r="Q2079" t="s">
        <v>3032</v>
      </c>
      <c r="R2079" t="s">
        <v>132</v>
      </c>
      <c r="S2079" t="s">
        <v>52</v>
      </c>
      <c r="U2079">
        <v>891309</v>
      </c>
      <c r="V2079" s="3">
        <v>46069.388888888891</v>
      </c>
      <c r="W2079" t="s">
        <v>68</v>
      </c>
      <c r="X2079" t="s">
        <v>69</v>
      </c>
      <c r="Y2079" t="str">
        <f>"0414449015"</f>
        <v>0414449015</v>
      </c>
      <c r="Z2079" t="s">
        <v>545</v>
      </c>
      <c r="AA2079" s="1">
        <v>46073</v>
      </c>
      <c r="AB2079" t="s">
        <v>3033</v>
      </c>
      <c r="AD2079" t="s">
        <v>61</v>
      </c>
      <c r="AE2079" t="s">
        <v>3034</v>
      </c>
      <c r="AF2079">
        <v>2570</v>
      </c>
      <c r="AG2079" t="s">
        <v>3032</v>
      </c>
      <c r="AI2079" t="s">
        <v>59</v>
      </c>
      <c r="AL2079" t="s">
        <v>4586</v>
      </c>
      <c r="AN2079" s="3">
        <v>46073.878472222219</v>
      </c>
      <c r="AO2079" t="s">
        <v>68</v>
      </c>
    </row>
    <row r="2080" spans="1:41" x14ac:dyDescent="0.3">
      <c r="A2080" t="s">
        <v>41</v>
      </c>
      <c r="B2080" t="s">
        <v>244</v>
      </c>
      <c r="C2080" t="s">
        <v>245</v>
      </c>
      <c r="D2080" t="s">
        <v>246</v>
      </c>
      <c r="E2080" s="1">
        <v>46073</v>
      </c>
      <c r="F2080" t="s">
        <v>2113</v>
      </c>
      <c r="G2080" t="s">
        <v>45</v>
      </c>
      <c r="H2080" s="2">
        <v>0.375</v>
      </c>
      <c r="I2080" s="2">
        <v>0.72916666666666663</v>
      </c>
      <c r="J2080" t="s">
        <v>100</v>
      </c>
      <c r="L2080" t="s">
        <v>452</v>
      </c>
      <c r="M2080" t="s">
        <v>1122</v>
      </c>
      <c r="N2080" t="s">
        <v>1123</v>
      </c>
      <c r="O2080">
        <v>5951585</v>
      </c>
      <c r="P2080" t="s">
        <v>249</v>
      </c>
      <c r="Q2080" t="s">
        <v>250</v>
      </c>
      <c r="R2080" t="s">
        <v>1124</v>
      </c>
      <c r="S2080" t="s">
        <v>52</v>
      </c>
      <c r="T2080" t="s">
        <v>252</v>
      </c>
      <c r="U2080">
        <v>891478</v>
      </c>
      <c r="V2080" s="3">
        <v>46076.592361111114</v>
      </c>
      <c r="W2080" t="s">
        <v>1124</v>
      </c>
      <c r="X2080" t="s">
        <v>1125</v>
      </c>
      <c r="Y2080" t="str">
        <f>"0406622986"</f>
        <v>0406622986</v>
      </c>
      <c r="Z2080" t="s">
        <v>1375</v>
      </c>
      <c r="AA2080" s="1">
        <v>46082</v>
      </c>
      <c r="AB2080" t="s">
        <v>255</v>
      </c>
      <c r="AD2080" t="s">
        <v>41</v>
      </c>
      <c r="AE2080" t="s">
        <v>256</v>
      </c>
      <c r="AF2080">
        <v>4655</v>
      </c>
      <c r="AG2080" t="s">
        <v>3449</v>
      </c>
      <c r="AI2080" t="s">
        <v>59</v>
      </c>
      <c r="AJ2080" t="str">
        <f>"0050076953"</f>
        <v>0050076953</v>
      </c>
      <c r="AN2080" s="3">
        <v>46076.592361111114</v>
      </c>
      <c r="AO2080" t="s">
        <v>1124</v>
      </c>
    </row>
    <row r="2081" spans="1:41" x14ac:dyDescent="0.3">
      <c r="A2081" t="s">
        <v>168</v>
      </c>
      <c r="B2081" t="s">
        <v>441</v>
      </c>
      <c r="C2081" t="s">
        <v>43</v>
      </c>
      <c r="E2081" s="1">
        <v>46073</v>
      </c>
      <c r="F2081" t="s">
        <v>2113</v>
      </c>
      <c r="G2081" t="s">
        <v>45</v>
      </c>
      <c r="H2081" s="2">
        <v>0.375</v>
      </c>
      <c r="I2081" s="2">
        <v>0.625</v>
      </c>
      <c r="J2081" t="s">
        <v>185</v>
      </c>
      <c r="K2081" t="s">
        <v>284</v>
      </c>
      <c r="L2081" t="s">
        <v>784</v>
      </c>
      <c r="M2081" t="s">
        <v>1611</v>
      </c>
      <c r="N2081" t="s">
        <v>1612</v>
      </c>
      <c r="O2081">
        <v>22896</v>
      </c>
      <c r="Q2081" t="s">
        <v>944</v>
      </c>
      <c r="R2081" t="s">
        <v>556</v>
      </c>
      <c r="S2081" t="s">
        <v>52</v>
      </c>
      <c r="U2081">
        <v>891270</v>
      </c>
      <c r="V2081" s="3">
        <v>46051.089583333334</v>
      </c>
      <c r="W2081" t="s">
        <v>1613</v>
      </c>
      <c r="X2081" t="s">
        <v>1614</v>
      </c>
      <c r="Y2081" t="str">
        <f>"0417823460"</f>
        <v>0417823460</v>
      </c>
      <c r="Z2081" t="s">
        <v>70</v>
      </c>
      <c r="AA2081" s="1">
        <v>46073</v>
      </c>
      <c r="AB2081" t="s">
        <v>448</v>
      </c>
      <c r="AD2081" t="s">
        <v>168</v>
      </c>
      <c r="AE2081" t="s">
        <v>180</v>
      </c>
      <c r="AF2081">
        <v>5063</v>
      </c>
      <c r="AG2081" t="s">
        <v>944</v>
      </c>
      <c r="AI2081" t="s">
        <v>59</v>
      </c>
      <c r="AL2081" t="s">
        <v>4634</v>
      </c>
      <c r="AN2081" s="3">
        <v>46073.660416666666</v>
      </c>
      <c r="AO2081" t="s">
        <v>1613</v>
      </c>
    </row>
    <row r="2082" spans="1:41" x14ac:dyDescent="0.3">
      <c r="A2082" t="s">
        <v>75</v>
      </c>
      <c r="B2082" t="s">
        <v>3690</v>
      </c>
      <c r="C2082" t="s">
        <v>43</v>
      </c>
      <c r="D2082" t="s">
        <v>3691</v>
      </c>
      <c r="E2082" s="1">
        <v>46073</v>
      </c>
      <c r="F2082" t="s">
        <v>2113</v>
      </c>
      <c r="G2082" t="s">
        <v>45</v>
      </c>
      <c r="H2082" s="2">
        <v>0.375</v>
      </c>
      <c r="I2082" s="2">
        <v>0.70833333333333337</v>
      </c>
      <c r="J2082" t="s">
        <v>46</v>
      </c>
      <c r="L2082" t="s">
        <v>298</v>
      </c>
      <c r="M2082" t="s">
        <v>2773</v>
      </c>
      <c r="N2082" t="s">
        <v>2774</v>
      </c>
      <c r="O2082">
        <v>5950828</v>
      </c>
      <c r="Q2082" t="s">
        <v>3692</v>
      </c>
      <c r="R2082" t="s">
        <v>556</v>
      </c>
      <c r="S2082" t="s">
        <v>52</v>
      </c>
      <c r="U2082">
        <v>891291</v>
      </c>
      <c r="V2082" s="3">
        <v>46063.797222222223</v>
      </c>
      <c r="W2082" t="s">
        <v>2776</v>
      </c>
      <c r="X2082" t="s">
        <v>2777</v>
      </c>
      <c r="Y2082" t="str">
        <f>"0490930185"</f>
        <v>0490930185</v>
      </c>
      <c r="Z2082" t="s">
        <v>70</v>
      </c>
      <c r="AA2082" s="1">
        <v>46073</v>
      </c>
      <c r="AB2082" t="s">
        <v>3693</v>
      </c>
      <c r="AD2082" t="s">
        <v>75</v>
      </c>
      <c r="AE2082" t="s">
        <v>3694</v>
      </c>
      <c r="AF2082">
        <v>6056</v>
      </c>
      <c r="AG2082" t="s">
        <v>3695</v>
      </c>
      <c r="AI2082" t="s">
        <v>59</v>
      </c>
      <c r="AL2082" t="s">
        <v>87</v>
      </c>
      <c r="AN2082" s="3">
        <v>46073.807638888888</v>
      </c>
      <c r="AO2082" t="s">
        <v>2776</v>
      </c>
    </row>
    <row r="2083" spans="1:41" x14ac:dyDescent="0.3">
      <c r="A2083" t="s">
        <v>168</v>
      </c>
      <c r="B2083" t="s">
        <v>689</v>
      </c>
      <c r="C2083" t="s">
        <v>43</v>
      </c>
      <c r="D2083" t="s">
        <v>268</v>
      </c>
      <c r="E2083" s="1">
        <v>46073</v>
      </c>
      <c r="F2083" t="s">
        <v>2113</v>
      </c>
      <c r="G2083" t="s">
        <v>45</v>
      </c>
      <c r="H2083" s="2">
        <v>0.375</v>
      </c>
      <c r="I2083" s="2">
        <v>0.72916666666666663</v>
      </c>
      <c r="J2083" t="s">
        <v>100</v>
      </c>
      <c r="L2083" t="s">
        <v>100</v>
      </c>
      <c r="M2083" t="s">
        <v>862</v>
      </c>
      <c r="N2083" t="s">
        <v>863</v>
      </c>
      <c r="O2083">
        <v>5952375</v>
      </c>
      <c r="Q2083" t="s">
        <v>692</v>
      </c>
      <c r="R2083" t="s">
        <v>864</v>
      </c>
      <c r="S2083" t="s">
        <v>52</v>
      </c>
      <c r="T2083" t="s">
        <v>252</v>
      </c>
      <c r="U2083">
        <v>891427</v>
      </c>
      <c r="V2083" s="3">
        <v>46076.354166666664</v>
      </c>
      <c r="W2083" t="s">
        <v>864</v>
      </c>
      <c r="X2083" t="s">
        <v>865</v>
      </c>
      <c r="Y2083" t="str">
        <f>"0433092113"</f>
        <v>0433092113</v>
      </c>
      <c r="Z2083" t="s">
        <v>375</v>
      </c>
      <c r="AA2083" s="1">
        <v>46075</v>
      </c>
      <c r="AB2083" t="s">
        <v>695</v>
      </c>
      <c r="AD2083" t="s">
        <v>168</v>
      </c>
      <c r="AE2083" t="s">
        <v>696</v>
      </c>
      <c r="AF2083">
        <v>5606</v>
      </c>
      <c r="AG2083" t="s">
        <v>3045</v>
      </c>
      <c r="AI2083" t="s">
        <v>59</v>
      </c>
      <c r="AJ2083" t="str">
        <f>"0020187960"</f>
        <v>0020187960</v>
      </c>
      <c r="AN2083" s="3">
        <v>46076.354166666664</v>
      </c>
      <c r="AO2083" t="s">
        <v>864</v>
      </c>
    </row>
    <row r="2084" spans="1:41" x14ac:dyDescent="0.3">
      <c r="A2084" t="s">
        <v>75</v>
      </c>
      <c r="B2084" t="s">
        <v>76</v>
      </c>
      <c r="C2084" t="s">
        <v>43</v>
      </c>
      <c r="D2084" t="s">
        <v>63</v>
      </c>
      <c r="E2084" s="1">
        <v>46073</v>
      </c>
      <c r="F2084" t="s">
        <v>2113</v>
      </c>
      <c r="G2084" t="s">
        <v>45</v>
      </c>
      <c r="H2084" s="2">
        <v>0.39583333333333331</v>
      </c>
      <c r="I2084" s="2">
        <v>0.83333333333333337</v>
      </c>
      <c r="J2084" t="s">
        <v>46</v>
      </c>
      <c r="K2084" t="s">
        <v>77</v>
      </c>
      <c r="L2084" t="s">
        <v>47</v>
      </c>
      <c r="M2084" t="s">
        <v>954</v>
      </c>
      <c r="N2084" t="s">
        <v>955</v>
      </c>
      <c r="O2084">
        <v>5952037</v>
      </c>
      <c r="Q2084" t="s">
        <v>80</v>
      </c>
      <c r="R2084" t="s">
        <v>81</v>
      </c>
      <c r="S2084" t="s">
        <v>52</v>
      </c>
      <c r="U2084">
        <v>891319</v>
      </c>
      <c r="V2084" s="3">
        <v>46041.557638888888</v>
      </c>
      <c r="W2084" t="s">
        <v>957</v>
      </c>
      <c r="X2084" t="s">
        <v>958</v>
      </c>
      <c r="Y2084" t="str">
        <f>"0452457162"</f>
        <v>0452457162</v>
      </c>
      <c r="Z2084" t="s">
        <v>1635</v>
      </c>
      <c r="AA2084" s="1">
        <v>46073</v>
      </c>
      <c r="AB2084" t="s">
        <v>85</v>
      </c>
      <c r="AD2084" t="s">
        <v>75</v>
      </c>
      <c r="AE2084" t="s">
        <v>86</v>
      </c>
      <c r="AF2084">
        <v>6000</v>
      </c>
      <c r="AG2084" t="s">
        <v>80</v>
      </c>
      <c r="AI2084" t="s">
        <v>59</v>
      </c>
      <c r="AL2084" t="s">
        <v>87</v>
      </c>
      <c r="AN2084" s="3">
        <v>46073.956944444442</v>
      </c>
      <c r="AO2084" t="s">
        <v>957</v>
      </c>
    </row>
    <row r="2085" spans="1:41" x14ac:dyDescent="0.3">
      <c r="A2085" t="s">
        <v>75</v>
      </c>
      <c r="B2085" t="s">
        <v>895</v>
      </c>
      <c r="C2085" t="s">
        <v>896</v>
      </c>
      <c r="D2085" t="s">
        <v>184</v>
      </c>
      <c r="E2085" s="1">
        <v>46073</v>
      </c>
      <c r="F2085" t="s">
        <v>2113</v>
      </c>
      <c r="G2085" t="s">
        <v>45</v>
      </c>
      <c r="H2085" s="2">
        <v>0.41666666666666669</v>
      </c>
      <c r="I2085" s="2">
        <v>0.6875</v>
      </c>
      <c r="J2085" t="s">
        <v>46</v>
      </c>
      <c r="L2085" t="s">
        <v>47</v>
      </c>
      <c r="M2085" t="s">
        <v>195</v>
      </c>
      <c r="N2085" t="s">
        <v>196</v>
      </c>
      <c r="O2085">
        <v>5952397</v>
      </c>
      <c r="Q2085" t="s">
        <v>899</v>
      </c>
      <c r="R2085" t="s">
        <v>500</v>
      </c>
      <c r="S2085" t="s">
        <v>52</v>
      </c>
      <c r="U2085">
        <v>891278</v>
      </c>
      <c r="V2085" s="3">
        <v>46042.95</v>
      </c>
      <c r="W2085" t="s">
        <v>198</v>
      </c>
      <c r="X2085" t="s">
        <v>199</v>
      </c>
      <c r="Y2085" t="str">
        <f>"0405261641"</f>
        <v>0405261641</v>
      </c>
      <c r="Z2085" t="s">
        <v>846</v>
      </c>
      <c r="AB2085" t="s">
        <v>902</v>
      </c>
      <c r="AD2085" t="s">
        <v>75</v>
      </c>
      <c r="AE2085" t="s">
        <v>903</v>
      </c>
      <c r="AF2085">
        <v>6009</v>
      </c>
      <c r="AG2085" t="s">
        <v>2229</v>
      </c>
      <c r="AI2085" t="s">
        <v>59</v>
      </c>
      <c r="AL2085" t="s">
        <v>4635</v>
      </c>
      <c r="AN2085" s="3">
        <v>46073.707638888889</v>
      </c>
      <c r="AO2085" t="s">
        <v>198</v>
      </c>
    </row>
    <row r="2086" spans="1:41" x14ac:dyDescent="0.3">
      <c r="A2086" t="s">
        <v>41</v>
      </c>
      <c r="B2086" t="s">
        <v>1284</v>
      </c>
      <c r="C2086" t="s">
        <v>4636</v>
      </c>
      <c r="D2086" t="s">
        <v>1286</v>
      </c>
      <c r="E2086" s="1">
        <v>46073</v>
      </c>
      <c r="F2086" t="s">
        <v>2113</v>
      </c>
      <c r="G2086" t="s">
        <v>45</v>
      </c>
      <c r="H2086" s="2">
        <v>0.45833333333333331</v>
      </c>
      <c r="I2086" s="2">
        <v>0.8125</v>
      </c>
      <c r="J2086" t="s">
        <v>1314</v>
      </c>
      <c r="K2086" t="s">
        <v>4637</v>
      </c>
      <c r="L2086" t="s">
        <v>1453</v>
      </c>
      <c r="M2086" t="s">
        <v>2803</v>
      </c>
      <c r="N2086" t="s">
        <v>2804</v>
      </c>
      <c r="O2086">
        <v>5952445</v>
      </c>
      <c r="Q2086" t="s">
        <v>413</v>
      </c>
      <c r="R2086" t="s">
        <v>51</v>
      </c>
      <c r="S2086" t="s">
        <v>119</v>
      </c>
      <c r="T2086" t="s">
        <v>414</v>
      </c>
      <c r="U2086">
        <v>891519</v>
      </c>
      <c r="V2086" s="3">
        <v>46073.333333333336</v>
      </c>
      <c r="W2086" t="s">
        <v>2806</v>
      </c>
      <c r="X2086" t="s">
        <v>2807</v>
      </c>
      <c r="Y2086" t="str">
        <f>"0461578162"</f>
        <v>0461578162</v>
      </c>
      <c r="Z2086" t="s">
        <v>70</v>
      </c>
      <c r="AB2086" t="s">
        <v>1288</v>
      </c>
      <c r="AD2086" t="s">
        <v>41</v>
      </c>
      <c r="AE2086" t="s">
        <v>150</v>
      </c>
      <c r="AF2086">
        <v>4000</v>
      </c>
      <c r="AI2086" t="s">
        <v>59</v>
      </c>
      <c r="AL2086" t="s">
        <v>1068</v>
      </c>
      <c r="AM2086" t="s">
        <v>4638</v>
      </c>
      <c r="AN2086" s="3">
        <v>46073.337500000001</v>
      </c>
      <c r="AO2086" t="s">
        <v>51</v>
      </c>
    </row>
    <row r="2087" spans="1:41" x14ac:dyDescent="0.3">
      <c r="A2087" t="s">
        <v>61</v>
      </c>
      <c r="B2087" t="s">
        <v>62</v>
      </c>
      <c r="C2087" t="s">
        <v>43</v>
      </c>
      <c r="D2087" t="s">
        <v>63</v>
      </c>
      <c r="E2087" s="1">
        <v>46073</v>
      </c>
      <c r="F2087" t="s">
        <v>2113</v>
      </c>
      <c r="G2087" t="s">
        <v>128</v>
      </c>
      <c r="H2087" s="2">
        <v>0.5</v>
      </c>
      <c r="I2087" s="2">
        <v>0.99861111111111112</v>
      </c>
      <c r="J2087" t="s">
        <v>101</v>
      </c>
      <c r="L2087" t="s">
        <v>159</v>
      </c>
      <c r="M2087" t="s">
        <v>949</v>
      </c>
      <c r="N2087" t="s">
        <v>950</v>
      </c>
      <c r="O2087">
        <v>21975</v>
      </c>
      <c r="Q2087" t="s">
        <v>66</v>
      </c>
      <c r="R2087" t="s">
        <v>1248</v>
      </c>
      <c r="S2087" t="s">
        <v>52</v>
      </c>
      <c r="U2087">
        <v>891308</v>
      </c>
      <c r="V2087" s="3">
        <v>46072.71597222222</v>
      </c>
      <c r="W2087" t="s">
        <v>951</v>
      </c>
      <c r="X2087" t="s">
        <v>952</v>
      </c>
      <c r="Y2087" t="str">
        <f>"0412930014"</f>
        <v>0412930014</v>
      </c>
      <c r="Z2087" t="s">
        <v>70</v>
      </c>
      <c r="AA2087" s="1">
        <v>46073</v>
      </c>
      <c r="AB2087" t="s">
        <v>71</v>
      </c>
      <c r="AD2087" t="s">
        <v>61</v>
      </c>
      <c r="AE2087" t="s">
        <v>72</v>
      </c>
      <c r="AF2087">
        <v>2747</v>
      </c>
      <c r="AG2087" t="s">
        <v>73</v>
      </c>
      <c r="AI2087" t="s">
        <v>59</v>
      </c>
      <c r="AL2087" t="s">
        <v>4639</v>
      </c>
      <c r="AN2087" s="3">
        <v>46073.876388888886</v>
      </c>
      <c r="AO2087" t="s">
        <v>951</v>
      </c>
    </row>
    <row r="2088" spans="1:41" x14ac:dyDescent="0.3">
      <c r="A2088" t="s">
        <v>75</v>
      </c>
      <c r="B2088" t="s">
        <v>358</v>
      </c>
      <c r="C2088" t="s">
        <v>43</v>
      </c>
      <c r="D2088" t="s">
        <v>184</v>
      </c>
      <c r="E2088" s="1">
        <v>46073</v>
      </c>
      <c r="F2088" t="s">
        <v>2113</v>
      </c>
      <c r="G2088" t="s">
        <v>128</v>
      </c>
      <c r="H2088" s="2">
        <v>0.5</v>
      </c>
      <c r="I2088" s="2">
        <v>0.75</v>
      </c>
      <c r="J2088" t="s">
        <v>185</v>
      </c>
      <c r="L2088" t="s">
        <v>186</v>
      </c>
      <c r="M2088" t="s">
        <v>1070</v>
      </c>
      <c r="N2088" t="s">
        <v>1071</v>
      </c>
      <c r="O2088">
        <v>5951604</v>
      </c>
      <c r="Q2088" t="s">
        <v>4640</v>
      </c>
      <c r="R2088" t="s">
        <v>81</v>
      </c>
      <c r="S2088" t="s">
        <v>52</v>
      </c>
      <c r="U2088">
        <v>891299</v>
      </c>
      <c r="V2088" s="3">
        <v>46072.730555555558</v>
      </c>
      <c r="W2088" t="s">
        <v>1072</v>
      </c>
      <c r="X2088" t="s">
        <v>1073</v>
      </c>
      <c r="Y2088" t="str">
        <f>"0410139992"</f>
        <v>0410139992</v>
      </c>
      <c r="Z2088" t="s">
        <v>55</v>
      </c>
      <c r="AA2088" s="1">
        <v>46073</v>
      </c>
      <c r="AB2088" t="s">
        <v>367</v>
      </c>
      <c r="AD2088" t="s">
        <v>75</v>
      </c>
      <c r="AE2088" t="s">
        <v>368</v>
      </c>
      <c r="AF2088">
        <v>6027</v>
      </c>
      <c r="AG2088" t="s">
        <v>3862</v>
      </c>
      <c r="AI2088" t="s">
        <v>59</v>
      </c>
      <c r="AL2088" t="s">
        <v>4641</v>
      </c>
      <c r="AN2088" s="3">
        <v>46073.836805555555</v>
      </c>
      <c r="AO2088" t="s">
        <v>1072</v>
      </c>
    </row>
    <row r="2089" spans="1:41" x14ac:dyDescent="0.3">
      <c r="A2089" t="s">
        <v>168</v>
      </c>
      <c r="B2089" t="s">
        <v>215</v>
      </c>
      <c r="C2089" t="s">
        <v>43</v>
      </c>
      <c r="D2089" t="s">
        <v>127</v>
      </c>
      <c r="E2089" s="1">
        <v>46073</v>
      </c>
      <c r="F2089" t="s">
        <v>2113</v>
      </c>
      <c r="G2089" t="s">
        <v>128</v>
      </c>
      <c r="H2089" s="2">
        <v>0.52083333333333337</v>
      </c>
      <c r="I2089" s="2">
        <v>0.85416666666666663</v>
      </c>
      <c r="J2089" t="s">
        <v>258</v>
      </c>
      <c r="L2089" t="s">
        <v>186</v>
      </c>
      <c r="M2089" t="s">
        <v>1143</v>
      </c>
      <c r="N2089" t="s">
        <v>1144</v>
      </c>
      <c r="O2089">
        <v>5951229</v>
      </c>
      <c r="Q2089" t="s">
        <v>1137</v>
      </c>
      <c r="R2089" t="s">
        <v>231</v>
      </c>
      <c r="S2089" t="s">
        <v>52</v>
      </c>
      <c r="U2089">
        <v>891306</v>
      </c>
      <c r="V2089" s="3">
        <v>46073.488888888889</v>
      </c>
      <c r="W2089" t="s">
        <v>1146</v>
      </c>
      <c r="X2089" t="s">
        <v>1147</v>
      </c>
      <c r="Y2089" t="str">
        <f>"0405315721"</f>
        <v>0405315721</v>
      </c>
      <c r="Z2089" t="s">
        <v>70</v>
      </c>
      <c r="AA2089" s="1">
        <v>46073</v>
      </c>
      <c r="AB2089" t="s">
        <v>222</v>
      </c>
      <c r="AD2089" t="s">
        <v>168</v>
      </c>
      <c r="AE2089" t="s">
        <v>223</v>
      </c>
      <c r="AF2089">
        <v>5069</v>
      </c>
      <c r="AG2089" t="s">
        <v>1137</v>
      </c>
      <c r="AI2089" t="s">
        <v>59</v>
      </c>
      <c r="AL2089" t="s">
        <v>1149</v>
      </c>
      <c r="AN2089" s="3">
        <v>46073.868055555555</v>
      </c>
      <c r="AO2089" t="s">
        <v>1146</v>
      </c>
    </row>
    <row r="2090" spans="1:41" x14ac:dyDescent="0.3">
      <c r="A2090" t="s">
        <v>61</v>
      </c>
      <c r="B2090" t="s">
        <v>1079</v>
      </c>
      <c r="C2090" t="s">
        <v>2037</v>
      </c>
      <c r="D2090" t="s">
        <v>63</v>
      </c>
      <c r="E2090" s="1">
        <v>46073</v>
      </c>
      <c r="F2090" t="s">
        <v>2113</v>
      </c>
      <c r="G2090" t="s">
        <v>128</v>
      </c>
      <c r="H2090" s="2">
        <v>0.52083333333333337</v>
      </c>
      <c r="I2090" s="2">
        <v>0.875</v>
      </c>
      <c r="J2090" t="s">
        <v>46</v>
      </c>
      <c r="L2090" t="s">
        <v>47</v>
      </c>
      <c r="M2090" t="s">
        <v>1578</v>
      </c>
      <c r="N2090" t="s">
        <v>1803</v>
      </c>
      <c r="O2090">
        <v>5950668</v>
      </c>
      <c r="Q2090" t="s">
        <v>4642</v>
      </c>
      <c r="R2090" t="s">
        <v>67</v>
      </c>
      <c r="S2090" t="s">
        <v>52</v>
      </c>
      <c r="U2090">
        <v>891290</v>
      </c>
      <c r="V2090" s="3">
        <v>46071.504166666666</v>
      </c>
      <c r="W2090" t="s">
        <v>1804</v>
      </c>
      <c r="X2090" t="s">
        <v>1805</v>
      </c>
      <c r="Y2090" t="str">
        <f>"0429048174"</f>
        <v>0429048174</v>
      </c>
      <c r="Z2090" t="s">
        <v>70</v>
      </c>
      <c r="AA2090" s="1">
        <v>46073</v>
      </c>
      <c r="AB2090" t="s">
        <v>1085</v>
      </c>
      <c r="AD2090" t="s">
        <v>61</v>
      </c>
      <c r="AE2090" t="s">
        <v>1086</v>
      </c>
      <c r="AF2090">
        <v>2031</v>
      </c>
      <c r="AG2090" t="s">
        <v>2242</v>
      </c>
      <c r="AI2090" t="s">
        <v>59</v>
      </c>
      <c r="AL2090" t="s">
        <v>4643</v>
      </c>
      <c r="AN2090" s="3">
        <v>46073.792361111111</v>
      </c>
      <c r="AO2090" t="s">
        <v>1804</v>
      </c>
    </row>
    <row r="2091" spans="1:41" x14ac:dyDescent="0.3">
      <c r="A2091" t="s">
        <v>75</v>
      </c>
      <c r="B2091" t="s">
        <v>2822</v>
      </c>
      <c r="C2091" t="s">
        <v>43</v>
      </c>
      <c r="D2091" t="s">
        <v>719</v>
      </c>
      <c r="E2091" s="1">
        <v>46073</v>
      </c>
      <c r="F2091" t="s">
        <v>2113</v>
      </c>
      <c r="G2091" t="s">
        <v>128</v>
      </c>
      <c r="H2091" s="2">
        <v>0.52083333333333337</v>
      </c>
      <c r="I2091" s="2">
        <v>0.77083333333333337</v>
      </c>
      <c r="J2091" t="s">
        <v>101</v>
      </c>
      <c r="L2091" t="s">
        <v>159</v>
      </c>
      <c r="M2091" t="s">
        <v>187</v>
      </c>
      <c r="N2091" t="s">
        <v>1105</v>
      </c>
      <c r="O2091">
        <v>21727</v>
      </c>
      <c r="Q2091" t="s">
        <v>2823</v>
      </c>
      <c r="R2091" t="s">
        <v>145</v>
      </c>
      <c r="S2091" t="s">
        <v>52</v>
      </c>
      <c r="U2091">
        <v>891292</v>
      </c>
      <c r="V2091" s="3">
        <v>46037.954861111109</v>
      </c>
      <c r="W2091" t="s">
        <v>1107</v>
      </c>
      <c r="X2091" t="s">
        <v>1108</v>
      </c>
      <c r="Y2091" t="str">
        <f>"0407897784"</f>
        <v>0407897784</v>
      </c>
      <c r="Z2091" t="s">
        <v>4644</v>
      </c>
      <c r="AB2091" t="s">
        <v>2825</v>
      </c>
      <c r="AD2091" t="s">
        <v>75</v>
      </c>
      <c r="AE2091" t="s">
        <v>2826</v>
      </c>
      <c r="AF2091">
        <v>6005</v>
      </c>
      <c r="AG2091" t="s">
        <v>2827</v>
      </c>
      <c r="AI2091" t="s">
        <v>59</v>
      </c>
      <c r="AL2091" t="s">
        <v>2828</v>
      </c>
      <c r="AN2091" s="3">
        <v>46073.813194444447</v>
      </c>
      <c r="AO2091" t="s">
        <v>1107</v>
      </c>
    </row>
    <row r="2092" spans="1:41" x14ac:dyDescent="0.3">
      <c r="A2092" t="s">
        <v>61</v>
      </c>
      <c r="B2092" t="s">
        <v>62</v>
      </c>
      <c r="C2092" t="s">
        <v>43</v>
      </c>
      <c r="D2092" t="s">
        <v>63</v>
      </c>
      <c r="E2092" s="1">
        <v>46073</v>
      </c>
      <c r="F2092" t="s">
        <v>2113</v>
      </c>
      <c r="G2092" t="s">
        <v>128</v>
      </c>
      <c r="H2092" s="2">
        <v>0.52083333333333337</v>
      </c>
      <c r="I2092" s="2">
        <v>0.99861111111111112</v>
      </c>
      <c r="J2092" t="s">
        <v>185</v>
      </c>
      <c r="L2092" t="s">
        <v>186</v>
      </c>
      <c r="M2092" t="s">
        <v>1474</v>
      </c>
      <c r="N2092" t="s">
        <v>1475</v>
      </c>
      <c r="O2092">
        <v>22552</v>
      </c>
      <c r="Q2092" t="s">
        <v>66</v>
      </c>
      <c r="R2092" t="s">
        <v>67</v>
      </c>
      <c r="S2092" t="s">
        <v>52</v>
      </c>
      <c r="U2092">
        <v>891320</v>
      </c>
      <c r="V2092" s="3">
        <v>46062.550694444442</v>
      </c>
      <c r="W2092" t="s">
        <v>1476</v>
      </c>
      <c r="X2092" t="s">
        <v>1477</v>
      </c>
      <c r="Y2092" t="str">
        <f>"0421669341"</f>
        <v>0421669341</v>
      </c>
      <c r="Z2092" t="s">
        <v>2292</v>
      </c>
      <c r="AB2092" t="s">
        <v>71</v>
      </c>
      <c r="AD2092" t="s">
        <v>61</v>
      </c>
      <c r="AE2092" t="s">
        <v>72</v>
      </c>
      <c r="AF2092">
        <v>2747</v>
      </c>
      <c r="AG2092" t="s">
        <v>73</v>
      </c>
      <c r="AI2092" t="s">
        <v>59</v>
      </c>
      <c r="AL2092" t="s">
        <v>4645</v>
      </c>
      <c r="AN2092" s="3">
        <v>46073.96597222222</v>
      </c>
      <c r="AO2092" t="s">
        <v>1476</v>
      </c>
    </row>
    <row r="2093" spans="1:41" x14ac:dyDescent="0.3">
      <c r="A2093" t="s">
        <v>61</v>
      </c>
      <c r="B2093" t="s">
        <v>182</v>
      </c>
      <c r="C2093" t="s">
        <v>183</v>
      </c>
      <c r="D2093" t="s">
        <v>184</v>
      </c>
      <c r="E2093" s="1">
        <v>46073</v>
      </c>
      <c r="F2093" t="s">
        <v>2113</v>
      </c>
      <c r="G2093" t="s">
        <v>128</v>
      </c>
      <c r="H2093" s="2">
        <v>0.52083333333333337</v>
      </c>
      <c r="I2093" s="2">
        <v>0.99861111111111112</v>
      </c>
      <c r="J2093" t="s">
        <v>185</v>
      </c>
      <c r="L2093" t="s">
        <v>186</v>
      </c>
      <c r="M2093" t="s">
        <v>436</v>
      </c>
      <c r="N2093" t="s">
        <v>437</v>
      </c>
      <c r="O2093">
        <v>5951773</v>
      </c>
      <c r="Q2093" t="s">
        <v>2356</v>
      </c>
      <c r="R2093" t="s">
        <v>132</v>
      </c>
      <c r="S2093" t="s">
        <v>52</v>
      </c>
      <c r="U2093">
        <v>891307</v>
      </c>
      <c r="V2093" s="3">
        <v>46064.443055555559</v>
      </c>
      <c r="W2093" t="s">
        <v>438</v>
      </c>
      <c r="X2093" t="s">
        <v>439</v>
      </c>
      <c r="Y2093" t="str">
        <f>"0405762113"</f>
        <v>0405762113</v>
      </c>
      <c r="Z2093" t="s">
        <v>2477</v>
      </c>
      <c r="AA2093" s="1">
        <v>46073</v>
      </c>
      <c r="AB2093" t="s">
        <v>193</v>
      </c>
      <c r="AD2093" t="s">
        <v>61</v>
      </c>
      <c r="AE2093" t="s">
        <v>194</v>
      </c>
      <c r="AF2093">
        <v>2229</v>
      </c>
      <c r="AG2093" t="s">
        <v>189</v>
      </c>
      <c r="AI2093" t="s">
        <v>59</v>
      </c>
      <c r="AL2093" t="s">
        <v>4586</v>
      </c>
      <c r="AN2093" s="3">
        <v>46073.868055555555</v>
      </c>
      <c r="AO2093" t="s">
        <v>438</v>
      </c>
    </row>
    <row r="2094" spans="1:41" x14ac:dyDescent="0.3">
      <c r="A2094" t="s">
        <v>168</v>
      </c>
      <c r="B2094" t="s">
        <v>441</v>
      </c>
      <c r="C2094" t="s">
        <v>202</v>
      </c>
      <c r="E2094" s="1">
        <v>46073</v>
      </c>
      <c r="F2094" t="s">
        <v>2113</v>
      </c>
      <c r="G2094" t="s">
        <v>128</v>
      </c>
      <c r="H2094" s="2">
        <v>0.52083333333333337</v>
      </c>
      <c r="I2094" s="2">
        <v>0.85416666666666663</v>
      </c>
      <c r="J2094" t="s">
        <v>46</v>
      </c>
      <c r="L2094" t="s">
        <v>743</v>
      </c>
      <c r="M2094" t="s">
        <v>744</v>
      </c>
      <c r="N2094" t="s">
        <v>745</v>
      </c>
      <c r="O2094">
        <v>5951894</v>
      </c>
      <c r="Q2094" t="s">
        <v>944</v>
      </c>
      <c r="R2094" t="s">
        <v>556</v>
      </c>
      <c r="S2094" t="s">
        <v>52</v>
      </c>
      <c r="U2094">
        <v>891284</v>
      </c>
      <c r="V2094" s="3">
        <v>46050.947916666664</v>
      </c>
      <c r="W2094" t="s">
        <v>746</v>
      </c>
      <c r="X2094" t="s">
        <v>747</v>
      </c>
      <c r="Y2094" t="str">
        <f>"0420536678"</f>
        <v>0420536678</v>
      </c>
      <c r="Z2094" t="s">
        <v>70</v>
      </c>
      <c r="AB2094" t="s">
        <v>448</v>
      </c>
      <c r="AD2094" t="s">
        <v>168</v>
      </c>
      <c r="AE2094" t="s">
        <v>180</v>
      </c>
      <c r="AF2094">
        <v>5063</v>
      </c>
      <c r="AG2094" t="s">
        <v>944</v>
      </c>
      <c r="AI2094" t="s">
        <v>59</v>
      </c>
      <c r="AL2094" t="s">
        <v>4646</v>
      </c>
      <c r="AN2094" s="3">
        <v>46073.75</v>
      </c>
      <c r="AO2094" t="s">
        <v>746</v>
      </c>
    </row>
    <row r="2095" spans="1:41" x14ac:dyDescent="0.3">
      <c r="A2095" t="s">
        <v>168</v>
      </c>
      <c r="B2095" t="s">
        <v>215</v>
      </c>
      <c r="C2095" t="s">
        <v>43</v>
      </c>
      <c r="D2095" t="s">
        <v>127</v>
      </c>
      <c r="E2095" s="1">
        <v>46073</v>
      </c>
      <c r="F2095" t="s">
        <v>2113</v>
      </c>
      <c r="G2095" t="s">
        <v>128</v>
      </c>
      <c r="H2095" s="2">
        <v>0.52083333333333337</v>
      </c>
      <c r="I2095" s="2">
        <v>0.85416666666666663</v>
      </c>
      <c r="J2095" t="s">
        <v>258</v>
      </c>
      <c r="K2095" t="s">
        <v>259</v>
      </c>
      <c r="L2095" t="s">
        <v>186</v>
      </c>
      <c r="M2095" t="s">
        <v>260</v>
      </c>
      <c r="N2095" t="s">
        <v>261</v>
      </c>
      <c r="O2095">
        <v>5950997</v>
      </c>
      <c r="Q2095" t="s">
        <v>219</v>
      </c>
      <c r="R2095" t="s">
        <v>556</v>
      </c>
      <c r="S2095" t="s">
        <v>52</v>
      </c>
      <c r="U2095">
        <v>891293</v>
      </c>
      <c r="V2095" s="3">
        <v>46057.064583333333</v>
      </c>
      <c r="W2095" t="s">
        <v>262</v>
      </c>
      <c r="X2095" t="s">
        <v>263</v>
      </c>
      <c r="Y2095" t="str">
        <f>"0470174818"</f>
        <v>0470174818</v>
      </c>
      <c r="Z2095" t="s">
        <v>70</v>
      </c>
      <c r="AB2095" t="s">
        <v>222</v>
      </c>
      <c r="AD2095" t="s">
        <v>168</v>
      </c>
      <c r="AE2095" t="s">
        <v>223</v>
      </c>
      <c r="AF2095">
        <v>5069</v>
      </c>
      <c r="AG2095" t="s">
        <v>219</v>
      </c>
      <c r="AI2095" t="s">
        <v>59</v>
      </c>
      <c r="AL2095" t="s">
        <v>4647</v>
      </c>
      <c r="AN2095" s="3">
        <v>46073.81527777778</v>
      </c>
      <c r="AO2095" t="s">
        <v>262</v>
      </c>
    </row>
    <row r="2096" spans="1:41" x14ac:dyDescent="0.3">
      <c r="A2096" t="s">
        <v>168</v>
      </c>
      <c r="B2096" t="s">
        <v>215</v>
      </c>
      <c r="C2096" t="s">
        <v>43</v>
      </c>
      <c r="D2096" t="s">
        <v>127</v>
      </c>
      <c r="E2096" s="1">
        <v>46073</v>
      </c>
      <c r="F2096" t="s">
        <v>2113</v>
      </c>
      <c r="G2096" t="s">
        <v>128</v>
      </c>
      <c r="H2096" s="2">
        <v>0.52152777777777781</v>
      </c>
      <c r="I2096" s="2">
        <v>0.85416666666666663</v>
      </c>
      <c r="J2096" t="s">
        <v>258</v>
      </c>
      <c r="K2096" t="s">
        <v>259</v>
      </c>
      <c r="L2096" t="s">
        <v>186</v>
      </c>
      <c r="M2096" t="s">
        <v>651</v>
      </c>
      <c r="N2096" t="s">
        <v>412</v>
      </c>
      <c r="O2096">
        <v>21855</v>
      </c>
      <c r="Q2096" t="s">
        <v>219</v>
      </c>
      <c r="R2096" t="s">
        <v>556</v>
      </c>
      <c r="S2096" t="s">
        <v>52</v>
      </c>
      <c r="U2096">
        <v>891296</v>
      </c>
      <c r="V2096" s="3">
        <v>46057.055555555555</v>
      </c>
      <c r="W2096" t="s">
        <v>652</v>
      </c>
      <c r="X2096" t="s">
        <v>653</v>
      </c>
      <c r="Y2096" t="str">
        <f>"0407317111"</f>
        <v>0407317111</v>
      </c>
      <c r="Z2096" t="s">
        <v>70</v>
      </c>
      <c r="AA2096" s="1">
        <v>46073</v>
      </c>
      <c r="AB2096" t="s">
        <v>222</v>
      </c>
      <c r="AD2096" t="s">
        <v>168</v>
      </c>
      <c r="AE2096" t="s">
        <v>223</v>
      </c>
      <c r="AF2096">
        <v>5069</v>
      </c>
      <c r="AG2096" t="s">
        <v>219</v>
      </c>
      <c r="AI2096" t="s">
        <v>59</v>
      </c>
      <c r="AL2096" t="s">
        <v>4648</v>
      </c>
      <c r="AN2096" s="3">
        <v>46073.831250000003</v>
      </c>
      <c r="AO2096" t="s">
        <v>652</v>
      </c>
    </row>
    <row r="2097" spans="1:41" x14ac:dyDescent="0.3">
      <c r="A2097" t="s">
        <v>61</v>
      </c>
      <c r="B2097" t="s">
        <v>62</v>
      </c>
      <c r="C2097" t="s">
        <v>100</v>
      </c>
      <c r="D2097" t="s">
        <v>63</v>
      </c>
      <c r="E2097" s="1">
        <v>46073</v>
      </c>
      <c r="F2097" t="s">
        <v>2113</v>
      </c>
      <c r="G2097" t="s">
        <v>128</v>
      </c>
      <c r="H2097" s="2">
        <v>0.54166666666666663</v>
      </c>
      <c r="I2097" s="2">
        <v>0.89583333333333337</v>
      </c>
      <c r="J2097" t="s">
        <v>100</v>
      </c>
      <c r="L2097" t="s">
        <v>100</v>
      </c>
      <c r="M2097" t="s">
        <v>101</v>
      </c>
      <c r="N2097" t="s">
        <v>102</v>
      </c>
      <c r="O2097">
        <v>27</v>
      </c>
      <c r="Q2097" t="s">
        <v>1051</v>
      </c>
      <c r="R2097" t="s">
        <v>132</v>
      </c>
      <c r="S2097" t="s">
        <v>52</v>
      </c>
      <c r="U2097">
        <v>891486</v>
      </c>
      <c r="V2097" s="3">
        <v>46052.632638888892</v>
      </c>
      <c r="W2097" t="s">
        <v>104</v>
      </c>
      <c r="X2097" t="s">
        <v>105</v>
      </c>
      <c r="Y2097" t="str">
        <f>"0403748369"</f>
        <v>0403748369</v>
      </c>
      <c r="Z2097" t="s">
        <v>4153</v>
      </c>
      <c r="AB2097" t="s">
        <v>71</v>
      </c>
      <c r="AD2097" t="s">
        <v>61</v>
      </c>
      <c r="AE2097" t="s">
        <v>72</v>
      </c>
      <c r="AF2097">
        <v>2747</v>
      </c>
      <c r="AG2097" t="s">
        <v>1051</v>
      </c>
      <c r="AI2097" t="s">
        <v>59</v>
      </c>
      <c r="AL2097" t="s">
        <v>4649</v>
      </c>
      <c r="AN2097" s="3">
        <v>46076.65347222222</v>
      </c>
      <c r="AO2097" t="s">
        <v>104</v>
      </c>
    </row>
    <row r="2098" spans="1:41" x14ac:dyDescent="0.3">
      <c r="A2098" t="s">
        <v>168</v>
      </c>
      <c r="B2098" t="s">
        <v>441</v>
      </c>
      <c r="C2098" t="s">
        <v>101</v>
      </c>
      <c r="E2098" s="1">
        <v>46073</v>
      </c>
      <c r="F2098" t="s">
        <v>2113</v>
      </c>
      <c r="G2098" t="s">
        <v>128</v>
      </c>
      <c r="H2098" s="2">
        <v>0.54166666666666663</v>
      </c>
      <c r="I2098" s="2">
        <v>0.875</v>
      </c>
      <c r="J2098" t="s">
        <v>101</v>
      </c>
      <c r="L2098" t="s">
        <v>159</v>
      </c>
      <c r="M2098" t="s">
        <v>1430</v>
      </c>
      <c r="N2098" t="s">
        <v>1431</v>
      </c>
      <c r="O2098">
        <v>5951468</v>
      </c>
      <c r="Q2098" t="s">
        <v>944</v>
      </c>
      <c r="R2098" t="s">
        <v>556</v>
      </c>
      <c r="S2098" t="s">
        <v>52</v>
      </c>
      <c r="U2098">
        <v>891282</v>
      </c>
      <c r="V2098" s="3">
        <v>46050.947916666664</v>
      </c>
      <c r="W2098" t="s">
        <v>1432</v>
      </c>
      <c r="X2098" t="s">
        <v>1433</v>
      </c>
      <c r="Y2098" t="str">
        <f>"0476999212"</f>
        <v>0476999212</v>
      </c>
      <c r="Z2098" t="s">
        <v>70</v>
      </c>
      <c r="AB2098" t="s">
        <v>448</v>
      </c>
      <c r="AD2098" t="s">
        <v>168</v>
      </c>
      <c r="AE2098" t="s">
        <v>180</v>
      </c>
      <c r="AF2098">
        <v>5063</v>
      </c>
      <c r="AG2098" t="s">
        <v>944</v>
      </c>
      <c r="AI2098" t="s">
        <v>59</v>
      </c>
      <c r="AL2098" t="s">
        <v>1121</v>
      </c>
      <c r="AN2098" s="3">
        <v>46073.73541666667</v>
      </c>
      <c r="AO2098" t="s">
        <v>1432</v>
      </c>
    </row>
    <row r="2099" spans="1:41" x14ac:dyDescent="0.3">
      <c r="A2099" t="s">
        <v>61</v>
      </c>
      <c r="B2099" t="s">
        <v>768</v>
      </c>
      <c r="C2099" t="s">
        <v>2308</v>
      </c>
      <c r="D2099" t="s">
        <v>769</v>
      </c>
      <c r="E2099" s="1">
        <v>46073</v>
      </c>
      <c r="F2099" t="s">
        <v>2113</v>
      </c>
      <c r="G2099" t="s">
        <v>128</v>
      </c>
      <c r="H2099" s="2">
        <v>0.54166666666666663</v>
      </c>
      <c r="I2099" s="2">
        <v>0.875</v>
      </c>
      <c r="J2099" t="s">
        <v>185</v>
      </c>
      <c r="K2099" t="s">
        <v>678</v>
      </c>
      <c r="L2099" t="s">
        <v>186</v>
      </c>
      <c r="M2099" t="s">
        <v>3630</v>
      </c>
      <c r="N2099" t="s">
        <v>729</v>
      </c>
      <c r="O2099">
        <v>5951913</v>
      </c>
      <c r="Q2099" t="s">
        <v>2311</v>
      </c>
      <c r="R2099" t="s">
        <v>67</v>
      </c>
      <c r="S2099" t="s">
        <v>52</v>
      </c>
      <c r="U2099">
        <v>891294</v>
      </c>
      <c r="V2099" s="3">
        <v>46066.336805555555</v>
      </c>
      <c r="W2099" t="s">
        <v>3631</v>
      </c>
      <c r="X2099" t="s">
        <v>3632</v>
      </c>
      <c r="Y2099" t="str">
        <f>"0430277673"</f>
        <v>0430277673</v>
      </c>
      <c r="Z2099" t="s">
        <v>55</v>
      </c>
      <c r="AB2099" t="s">
        <v>775</v>
      </c>
      <c r="AD2099" t="s">
        <v>61</v>
      </c>
      <c r="AE2099" t="s">
        <v>776</v>
      </c>
      <c r="AF2099">
        <v>2076</v>
      </c>
      <c r="AG2099" t="s">
        <v>4650</v>
      </c>
      <c r="AI2099" t="s">
        <v>59</v>
      </c>
      <c r="AL2099" t="s">
        <v>4586</v>
      </c>
      <c r="AN2099" s="3">
        <v>46073.82708333333</v>
      </c>
      <c r="AO2099" t="s">
        <v>3631</v>
      </c>
    </row>
    <row r="2100" spans="1:41" x14ac:dyDescent="0.3">
      <c r="A2100" t="s">
        <v>61</v>
      </c>
      <c r="B2100" t="s">
        <v>88</v>
      </c>
      <c r="C2100" t="s">
        <v>1856</v>
      </c>
      <c r="D2100" t="s">
        <v>90</v>
      </c>
      <c r="E2100" s="1">
        <v>46073</v>
      </c>
      <c r="F2100" t="s">
        <v>2113</v>
      </c>
      <c r="G2100" t="s">
        <v>128</v>
      </c>
      <c r="H2100" s="2">
        <v>0.54166666666666663</v>
      </c>
      <c r="I2100" s="2">
        <v>0.89583333333333337</v>
      </c>
      <c r="J2100" t="s">
        <v>46</v>
      </c>
      <c r="L2100" t="s">
        <v>47</v>
      </c>
      <c r="M2100" t="s">
        <v>1080</v>
      </c>
      <c r="N2100" t="s">
        <v>1081</v>
      </c>
      <c r="O2100">
        <v>5951255</v>
      </c>
      <c r="P2100">
        <v>11702080</v>
      </c>
      <c r="Q2100" t="s">
        <v>1245</v>
      </c>
      <c r="R2100" t="s">
        <v>132</v>
      </c>
      <c r="S2100" t="s">
        <v>52</v>
      </c>
      <c r="U2100">
        <v>891305</v>
      </c>
      <c r="V2100" s="3">
        <v>46066.606249999997</v>
      </c>
      <c r="W2100" t="s">
        <v>1083</v>
      </c>
      <c r="X2100" t="s">
        <v>1084</v>
      </c>
      <c r="Y2100" t="str">
        <f>"0451307044"</f>
        <v>0451307044</v>
      </c>
      <c r="Z2100" t="s">
        <v>70</v>
      </c>
      <c r="AA2100" s="1">
        <v>46073</v>
      </c>
      <c r="AB2100" t="s">
        <v>96</v>
      </c>
      <c r="AD2100" t="s">
        <v>61</v>
      </c>
      <c r="AE2100" t="s">
        <v>97</v>
      </c>
      <c r="AF2100">
        <v>2010</v>
      </c>
      <c r="AG2100" t="s">
        <v>98</v>
      </c>
      <c r="AI2100" t="s">
        <v>59</v>
      </c>
      <c r="AL2100" t="s">
        <v>4615</v>
      </c>
      <c r="AN2100" s="3">
        <v>46073.86041666667</v>
      </c>
      <c r="AO2100" t="s">
        <v>1083</v>
      </c>
    </row>
    <row r="2101" spans="1:41" x14ac:dyDescent="0.3">
      <c r="A2101" t="s">
        <v>75</v>
      </c>
      <c r="B2101" t="s">
        <v>2822</v>
      </c>
      <c r="C2101" t="s">
        <v>43</v>
      </c>
      <c r="D2101" t="s">
        <v>719</v>
      </c>
      <c r="E2101" s="1">
        <v>46073</v>
      </c>
      <c r="F2101" t="s">
        <v>2113</v>
      </c>
      <c r="G2101" t="s">
        <v>128</v>
      </c>
      <c r="H2101" s="2">
        <v>0.54166666666666663</v>
      </c>
      <c r="I2101" s="2">
        <v>0.75</v>
      </c>
      <c r="J2101" t="s">
        <v>46</v>
      </c>
      <c r="K2101" t="s">
        <v>77</v>
      </c>
      <c r="L2101" t="s">
        <v>47</v>
      </c>
      <c r="M2101" t="s">
        <v>239</v>
      </c>
      <c r="N2101" t="s">
        <v>961</v>
      </c>
      <c r="O2101">
        <v>5952223</v>
      </c>
      <c r="Q2101" t="s">
        <v>4651</v>
      </c>
      <c r="R2101" t="s">
        <v>4652</v>
      </c>
      <c r="S2101" t="s">
        <v>52</v>
      </c>
      <c r="U2101">
        <v>891300</v>
      </c>
      <c r="V2101" s="3">
        <v>46072.647222222222</v>
      </c>
      <c r="W2101" t="s">
        <v>2223</v>
      </c>
      <c r="X2101" t="s">
        <v>2224</v>
      </c>
      <c r="Y2101" t="str">
        <f>"0460932692"</f>
        <v>0460932692</v>
      </c>
      <c r="Z2101" t="s">
        <v>70</v>
      </c>
      <c r="AA2101" s="1">
        <v>46073</v>
      </c>
      <c r="AB2101" t="s">
        <v>2825</v>
      </c>
      <c r="AD2101" t="s">
        <v>75</v>
      </c>
      <c r="AE2101" t="s">
        <v>2826</v>
      </c>
      <c r="AF2101">
        <v>6005</v>
      </c>
      <c r="AI2101" t="s">
        <v>59</v>
      </c>
      <c r="AL2101" t="s">
        <v>4653</v>
      </c>
      <c r="AN2101" s="3">
        <v>46073.844444444447</v>
      </c>
      <c r="AO2101" t="s">
        <v>2223</v>
      </c>
    </row>
    <row r="2102" spans="1:41" x14ac:dyDescent="0.3">
      <c r="A2102" t="s">
        <v>168</v>
      </c>
      <c r="B2102" t="s">
        <v>266</v>
      </c>
      <c r="D2102" t="s">
        <v>268</v>
      </c>
      <c r="E2102" s="1">
        <v>46073</v>
      </c>
      <c r="F2102" t="s">
        <v>2113</v>
      </c>
      <c r="G2102" t="s">
        <v>128</v>
      </c>
      <c r="H2102" s="2">
        <v>0.54166666666666663</v>
      </c>
      <c r="I2102" s="2">
        <v>0.89583333333333337</v>
      </c>
      <c r="J2102" t="s">
        <v>296</v>
      </c>
      <c r="K2102" t="s">
        <v>297</v>
      </c>
      <c r="L2102" t="s">
        <v>298</v>
      </c>
      <c r="M2102" t="s">
        <v>1194</v>
      </c>
      <c r="N2102" t="s">
        <v>1195</v>
      </c>
      <c r="O2102">
        <v>5951969</v>
      </c>
      <c r="Q2102" t="s">
        <v>274</v>
      </c>
      <c r="R2102" t="s">
        <v>176</v>
      </c>
      <c r="S2102" t="s">
        <v>52</v>
      </c>
      <c r="U2102">
        <v>891314</v>
      </c>
      <c r="V2102" s="3">
        <v>45993.429166666669</v>
      </c>
      <c r="W2102" t="s">
        <v>1196</v>
      </c>
      <c r="X2102" t="s">
        <v>1197</v>
      </c>
      <c r="Y2102" t="str">
        <f>"0431208028"</f>
        <v>0431208028</v>
      </c>
      <c r="Z2102" t="s">
        <v>4588</v>
      </c>
      <c r="AB2102" t="s">
        <v>277</v>
      </c>
      <c r="AC2102" t="s">
        <v>278</v>
      </c>
      <c r="AD2102" t="s">
        <v>168</v>
      </c>
      <c r="AE2102" t="s">
        <v>279</v>
      </c>
      <c r="AF2102">
        <v>5092</v>
      </c>
      <c r="AG2102" t="s">
        <v>274</v>
      </c>
      <c r="AI2102" t="s">
        <v>59</v>
      </c>
      <c r="AL2102" t="s">
        <v>4654</v>
      </c>
      <c r="AM2102" t="s">
        <v>281</v>
      </c>
      <c r="AN2102" s="3">
        <v>46073.918055555558</v>
      </c>
      <c r="AO2102" t="s">
        <v>1196</v>
      </c>
    </row>
    <row r="2103" spans="1:41" x14ac:dyDescent="0.3">
      <c r="A2103" t="s">
        <v>61</v>
      </c>
      <c r="B2103" t="s">
        <v>182</v>
      </c>
      <c r="C2103" t="s">
        <v>100</v>
      </c>
      <c r="D2103" t="s">
        <v>184</v>
      </c>
      <c r="E2103" s="1">
        <v>46073</v>
      </c>
      <c r="F2103" t="s">
        <v>2113</v>
      </c>
      <c r="G2103" t="s">
        <v>128</v>
      </c>
      <c r="H2103" s="2">
        <v>0.54166666666666663</v>
      </c>
      <c r="I2103" s="2">
        <v>0.89583333333333337</v>
      </c>
      <c r="J2103" t="s">
        <v>100</v>
      </c>
      <c r="L2103" t="s">
        <v>100</v>
      </c>
      <c r="M2103" t="s">
        <v>2327</v>
      </c>
      <c r="N2103" t="s">
        <v>2328</v>
      </c>
      <c r="O2103">
        <v>21018</v>
      </c>
      <c r="Q2103" t="s">
        <v>1045</v>
      </c>
      <c r="R2103" t="s">
        <v>67</v>
      </c>
      <c r="S2103" t="s">
        <v>52</v>
      </c>
      <c r="U2103">
        <v>891297</v>
      </c>
      <c r="V2103" s="3">
        <v>46044.34097222222</v>
      </c>
      <c r="W2103" t="s">
        <v>2329</v>
      </c>
      <c r="X2103" t="s">
        <v>2330</v>
      </c>
      <c r="Y2103" t="str">
        <f>"0470381674"</f>
        <v>0470381674</v>
      </c>
      <c r="Z2103" t="s">
        <v>4631</v>
      </c>
      <c r="AB2103" t="s">
        <v>193</v>
      </c>
      <c r="AD2103" t="s">
        <v>61</v>
      </c>
      <c r="AE2103" t="s">
        <v>194</v>
      </c>
      <c r="AF2103">
        <v>2229</v>
      </c>
      <c r="AG2103" t="s">
        <v>1045</v>
      </c>
      <c r="AI2103" t="s">
        <v>59</v>
      </c>
      <c r="AL2103" t="s">
        <v>4586</v>
      </c>
      <c r="AN2103" s="3">
        <v>46073.832638888889</v>
      </c>
      <c r="AO2103" t="s">
        <v>2329</v>
      </c>
    </row>
    <row r="2104" spans="1:41" x14ac:dyDescent="0.3">
      <c r="A2104" t="s">
        <v>61</v>
      </c>
      <c r="B2104" t="s">
        <v>1937</v>
      </c>
      <c r="C2104" t="s">
        <v>100</v>
      </c>
      <c r="D2104" t="s">
        <v>184</v>
      </c>
      <c r="E2104" s="1">
        <v>46073</v>
      </c>
      <c r="F2104" t="s">
        <v>2113</v>
      </c>
      <c r="G2104" t="s">
        <v>128</v>
      </c>
      <c r="H2104" s="2">
        <v>0.5625</v>
      </c>
      <c r="I2104" s="2">
        <v>0.91666666666666663</v>
      </c>
      <c r="J2104" t="s">
        <v>100</v>
      </c>
      <c r="L2104" t="s">
        <v>100</v>
      </c>
      <c r="M2104" t="s">
        <v>1938</v>
      </c>
      <c r="N2104" t="s">
        <v>1939</v>
      </c>
      <c r="O2104">
        <v>5951653</v>
      </c>
      <c r="Q2104" t="s">
        <v>2391</v>
      </c>
      <c r="R2104" t="s">
        <v>132</v>
      </c>
      <c r="S2104" t="s">
        <v>52</v>
      </c>
      <c r="U2104">
        <v>891317</v>
      </c>
      <c r="V2104" s="3">
        <v>46064.501388888886</v>
      </c>
      <c r="W2104" t="s">
        <v>1940</v>
      </c>
      <c r="X2104" t="s">
        <v>1941</v>
      </c>
      <c r="Y2104" t="str">
        <f>"0422928911"</f>
        <v>0422928911</v>
      </c>
      <c r="Z2104" t="s">
        <v>2801</v>
      </c>
      <c r="AB2104" t="s">
        <v>1942</v>
      </c>
      <c r="AD2104" t="s">
        <v>61</v>
      </c>
      <c r="AE2104" t="s">
        <v>1943</v>
      </c>
      <c r="AF2104">
        <v>2065</v>
      </c>
      <c r="AG2104" t="s">
        <v>2391</v>
      </c>
      <c r="AI2104" t="s">
        <v>59</v>
      </c>
      <c r="AL2104" t="s">
        <v>4586</v>
      </c>
      <c r="AN2104" s="3">
        <v>46073.930555555555</v>
      </c>
      <c r="AO2104" t="s">
        <v>1940</v>
      </c>
    </row>
    <row r="2105" spans="1:41" x14ac:dyDescent="0.3">
      <c r="A2105" t="s">
        <v>306</v>
      </c>
      <c r="B2105" t="s">
        <v>4655</v>
      </c>
      <c r="C2105" t="s">
        <v>100</v>
      </c>
      <c r="D2105" t="s">
        <v>127</v>
      </c>
      <c r="E2105" s="1">
        <v>46073</v>
      </c>
      <c r="F2105" t="s">
        <v>2113</v>
      </c>
      <c r="G2105" t="s">
        <v>128</v>
      </c>
      <c r="H2105" s="2">
        <v>0.58333333333333337</v>
      </c>
      <c r="I2105" s="2">
        <v>0.91666666666666663</v>
      </c>
      <c r="J2105" t="s">
        <v>451</v>
      </c>
      <c r="L2105" t="s">
        <v>452</v>
      </c>
      <c r="M2105" t="s">
        <v>1603</v>
      </c>
      <c r="N2105" t="s">
        <v>4656</v>
      </c>
      <c r="O2105">
        <v>21298</v>
      </c>
      <c r="Q2105" t="s">
        <v>4657</v>
      </c>
      <c r="R2105" t="s">
        <v>1248</v>
      </c>
      <c r="S2105" t="s">
        <v>52</v>
      </c>
      <c r="U2105">
        <v>891312</v>
      </c>
      <c r="V2105" s="3">
        <v>46072.673611111109</v>
      </c>
      <c r="W2105" t="s">
        <v>4658</v>
      </c>
      <c r="X2105" t="s">
        <v>4659</v>
      </c>
      <c r="Y2105" t="str">
        <f>"0400512521"</f>
        <v>0400512521</v>
      </c>
      <c r="Z2105" t="s">
        <v>70</v>
      </c>
      <c r="AA2105" s="1">
        <v>46073</v>
      </c>
      <c r="AB2105" t="s">
        <v>4660</v>
      </c>
      <c r="AD2105" t="s">
        <v>306</v>
      </c>
      <c r="AE2105" t="s">
        <v>4661</v>
      </c>
      <c r="AF2105">
        <v>3011</v>
      </c>
      <c r="AG2105" t="s">
        <v>4662</v>
      </c>
      <c r="AI2105" t="s">
        <v>59</v>
      </c>
      <c r="AL2105" t="s">
        <v>4663</v>
      </c>
      <c r="AN2105" s="3">
        <v>46073.90902777778</v>
      </c>
      <c r="AO2105" t="s">
        <v>4658</v>
      </c>
    </row>
    <row r="2106" spans="1:41" x14ac:dyDescent="0.3">
      <c r="A2106" t="s">
        <v>61</v>
      </c>
      <c r="B2106" t="s">
        <v>62</v>
      </c>
      <c r="C2106" t="s">
        <v>484</v>
      </c>
      <c r="D2106" t="s">
        <v>63</v>
      </c>
      <c r="E2106" s="1">
        <v>46073</v>
      </c>
      <c r="F2106" t="s">
        <v>2113</v>
      </c>
      <c r="G2106" t="s">
        <v>128</v>
      </c>
      <c r="H2106" s="2">
        <v>0.58333333333333337</v>
      </c>
      <c r="I2106" s="2">
        <v>0.91666666666666663</v>
      </c>
      <c r="J2106" t="s">
        <v>486</v>
      </c>
      <c r="L2106" t="s">
        <v>487</v>
      </c>
      <c r="M2106" t="s">
        <v>2064</v>
      </c>
      <c r="N2106" t="s">
        <v>2065</v>
      </c>
      <c r="O2106">
        <v>5952410</v>
      </c>
      <c r="Q2106" t="s">
        <v>4387</v>
      </c>
      <c r="R2106" t="s">
        <v>132</v>
      </c>
      <c r="S2106" t="s">
        <v>52</v>
      </c>
      <c r="U2106">
        <v>891313</v>
      </c>
      <c r="V2106" s="3">
        <v>46072.440972222219</v>
      </c>
      <c r="W2106" t="s">
        <v>2067</v>
      </c>
      <c r="X2106" t="s">
        <v>2068</v>
      </c>
      <c r="Y2106" t="str">
        <f>"0410100247"</f>
        <v>0410100247</v>
      </c>
      <c r="Z2106" t="s">
        <v>1375</v>
      </c>
      <c r="AA2106" s="1">
        <v>46073</v>
      </c>
      <c r="AB2106" t="s">
        <v>71</v>
      </c>
      <c r="AD2106" t="s">
        <v>61</v>
      </c>
      <c r="AE2106" t="s">
        <v>72</v>
      </c>
      <c r="AF2106">
        <v>2747</v>
      </c>
      <c r="AG2106" t="s">
        <v>4387</v>
      </c>
      <c r="AI2106" t="s">
        <v>59</v>
      </c>
      <c r="AL2106" t="s">
        <v>370</v>
      </c>
      <c r="AN2106" s="3">
        <v>46073.911111111112</v>
      </c>
      <c r="AO2106" t="s">
        <v>2067</v>
      </c>
    </row>
    <row r="2107" spans="1:41" x14ac:dyDescent="0.3">
      <c r="A2107" t="s">
        <v>168</v>
      </c>
      <c r="B2107" t="s">
        <v>376</v>
      </c>
      <c r="C2107" t="s">
        <v>100</v>
      </c>
      <c r="D2107" t="s">
        <v>127</v>
      </c>
      <c r="E2107" s="1">
        <v>46073</v>
      </c>
      <c r="F2107" t="s">
        <v>2113</v>
      </c>
      <c r="G2107" t="s">
        <v>128</v>
      </c>
      <c r="H2107" s="2">
        <v>0.58333333333333337</v>
      </c>
      <c r="I2107" s="2">
        <v>0.875</v>
      </c>
      <c r="J2107" t="s">
        <v>100</v>
      </c>
      <c r="L2107" t="s">
        <v>100</v>
      </c>
      <c r="M2107" t="s">
        <v>2288</v>
      </c>
      <c r="N2107" t="s">
        <v>2289</v>
      </c>
      <c r="O2107">
        <v>5951792</v>
      </c>
      <c r="Q2107" t="s">
        <v>2748</v>
      </c>
      <c r="R2107" t="s">
        <v>380</v>
      </c>
      <c r="S2107" t="s">
        <v>52</v>
      </c>
      <c r="U2107">
        <v>891303</v>
      </c>
      <c r="V2107" s="3">
        <v>46035.348611111112</v>
      </c>
      <c r="W2107" t="s">
        <v>2290</v>
      </c>
      <c r="X2107" t="s">
        <v>2291</v>
      </c>
      <c r="Y2107" t="str">
        <f>"0402715058"</f>
        <v>0402715058</v>
      </c>
      <c r="Z2107" t="s">
        <v>375</v>
      </c>
      <c r="AA2107" s="1">
        <v>46073</v>
      </c>
      <c r="AB2107" t="s">
        <v>383</v>
      </c>
      <c r="AD2107" t="s">
        <v>168</v>
      </c>
      <c r="AE2107" t="s">
        <v>384</v>
      </c>
      <c r="AF2107">
        <v>5000</v>
      </c>
      <c r="AI2107" t="s">
        <v>59</v>
      </c>
      <c r="AL2107" t="s">
        <v>385</v>
      </c>
      <c r="AM2107" t="s">
        <v>2749</v>
      </c>
      <c r="AN2107" s="3">
        <v>46073.853472222225</v>
      </c>
      <c r="AO2107" t="s">
        <v>2290</v>
      </c>
    </row>
    <row r="2108" spans="1:41" x14ac:dyDescent="0.3">
      <c r="A2108" t="s">
        <v>168</v>
      </c>
      <c r="B2108" t="s">
        <v>376</v>
      </c>
      <c r="C2108" t="s">
        <v>100</v>
      </c>
      <c r="D2108" t="s">
        <v>127</v>
      </c>
      <c r="E2108" s="1">
        <v>46073</v>
      </c>
      <c r="F2108" t="s">
        <v>2113</v>
      </c>
      <c r="G2108" t="s">
        <v>128</v>
      </c>
      <c r="H2108" s="2">
        <v>0.58333333333333337</v>
      </c>
      <c r="I2108" s="2">
        <v>0.91666666666666663</v>
      </c>
      <c r="J2108" t="s">
        <v>100</v>
      </c>
      <c r="L2108" t="s">
        <v>100</v>
      </c>
      <c r="M2108" t="s">
        <v>1253</v>
      </c>
      <c r="N2108" t="s">
        <v>1254</v>
      </c>
      <c r="O2108">
        <v>5951043</v>
      </c>
      <c r="Q2108" t="s">
        <v>379</v>
      </c>
      <c r="R2108" t="s">
        <v>380</v>
      </c>
      <c r="S2108" t="s">
        <v>52</v>
      </c>
      <c r="U2108">
        <v>891302</v>
      </c>
      <c r="V2108" s="3">
        <v>46035.347916666666</v>
      </c>
      <c r="W2108" t="s">
        <v>1256</v>
      </c>
      <c r="X2108" t="s">
        <v>1257</v>
      </c>
      <c r="Y2108" t="str">
        <f>"0431343551"</f>
        <v>0431343551</v>
      </c>
      <c r="Z2108" t="s">
        <v>375</v>
      </c>
      <c r="AA2108" s="1">
        <v>46073</v>
      </c>
      <c r="AB2108" t="s">
        <v>383</v>
      </c>
      <c r="AD2108" t="s">
        <v>168</v>
      </c>
      <c r="AE2108" t="s">
        <v>384</v>
      </c>
      <c r="AF2108">
        <v>5000</v>
      </c>
      <c r="AI2108" t="s">
        <v>59</v>
      </c>
      <c r="AL2108" t="s">
        <v>1258</v>
      </c>
      <c r="AN2108" s="3">
        <v>46073.852083333331</v>
      </c>
      <c r="AO2108" t="s">
        <v>1256</v>
      </c>
    </row>
    <row r="2109" spans="1:41" x14ac:dyDescent="0.3">
      <c r="A2109" t="s">
        <v>41</v>
      </c>
      <c r="B2109" t="s">
        <v>1284</v>
      </c>
      <c r="C2109" t="s">
        <v>4664</v>
      </c>
      <c r="D2109" t="s">
        <v>1286</v>
      </c>
      <c r="E2109" s="1">
        <v>46073</v>
      </c>
      <c r="F2109" t="s">
        <v>2113</v>
      </c>
      <c r="G2109" t="s">
        <v>128</v>
      </c>
      <c r="H2109" s="2">
        <v>0.59375</v>
      </c>
      <c r="I2109" s="2">
        <v>0.94791666666666663</v>
      </c>
      <c r="J2109" t="s">
        <v>1314</v>
      </c>
      <c r="L2109" t="s">
        <v>4391</v>
      </c>
      <c r="M2109" t="s">
        <v>4392</v>
      </c>
      <c r="N2109" t="s">
        <v>1939</v>
      </c>
      <c r="O2109">
        <v>5952473</v>
      </c>
      <c r="Q2109" t="s">
        <v>413</v>
      </c>
      <c r="R2109" t="s">
        <v>51</v>
      </c>
      <c r="S2109" t="s">
        <v>119</v>
      </c>
      <c r="T2109" t="s">
        <v>414</v>
      </c>
      <c r="U2109">
        <v>891518</v>
      </c>
      <c r="V2109" s="3">
        <v>46073.502083333333</v>
      </c>
      <c r="W2109" t="s">
        <v>4393</v>
      </c>
      <c r="X2109" t="s">
        <v>4394</v>
      </c>
      <c r="Y2109" t="str">
        <f>"0421830240"</f>
        <v>0421830240</v>
      </c>
      <c r="Z2109" t="s">
        <v>70</v>
      </c>
      <c r="AB2109" t="s">
        <v>1288</v>
      </c>
      <c r="AD2109" t="s">
        <v>41</v>
      </c>
      <c r="AE2109" t="s">
        <v>150</v>
      </c>
      <c r="AF2109">
        <v>4000</v>
      </c>
      <c r="AI2109" t="s">
        <v>59</v>
      </c>
      <c r="AL2109" t="s">
        <v>1361</v>
      </c>
      <c r="AM2109" t="s">
        <v>4665</v>
      </c>
      <c r="AN2109" s="3">
        <v>46073.504861111112</v>
      </c>
      <c r="AO2109" t="s">
        <v>51</v>
      </c>
    </row>
    <row r="2110" spans="1:41" x14ac:dyDescent="0.3">
      <c r="A2110" t="s">
        <v>306</v>
      </c>
      <c r="B2110" t="s">
        <v>528</v>
      </c>
      <c r="C2110" t="s">
        <v>1523</v>
      </c>
      <c r="D2110" t="s">
        <v>63</v>
      </c>
      <c r="E2110" s="1">
        <v>46073</v>
      </c>
      <c r="F2110" t="s">
        <v>2113</v>
      </c>
      <c r="G2110" t="s">
        <v>128</v>
      </c>
      <c r="H2110" s="2">
        <v>0.60416666666666663</v>
      </c>
      <c r="I2110" s="2">
        <v>0.91666666666666663</v>
      </c>
      <c r="J2110" t="s">
        <v>296</v>
      </c>
      <c r="L2110" t="s">
        <v>1260</v>
      </c>
      <c r="M2110" t="s">
        <v>239</v>
      </c>
      <c r="N2110" t="s">
        <v>1261</v>
      </c>
      <c r="O2110">
        <v>5952100</v>
      </c>
      <c r="Q2110" t="s">
        <v>2757</v>
      </c>
      <c r="R2110" t="s">
        <v>1248</v>
      </c>
      <c r="S2110" t="s">
        <v>52</v>
      </c>
      <c r="U2110">
        <v>891316</v>
      </c>
      <c r="V2110" s="3">
        <v>46067.318749999999</v>
      </c>
      <c r="W2110" t="s">
        <v>1262</v>
      </c>
      <c r="X2110" t="s">
        <v>1263</v>
      </c>
      <c r="Y2110" t="str">
        <f>"0420517034"</f>
        <v>0420517034</v>
      </c>
      <c r="Z2110" t="s">
        <v>70</v>
      </c>
      <c r="AA2110" s="1">
        <v>46073</v>
      </c>
      <c r="AB2110" t="s">
        <v>537</v>
      </c>
      <c r="AD2110" t="s">
        <v>306</v>
      </c>
      <c r="AE2110" t="s">
        <v>538</v>
      </c>
      <c r="AF2110">
        <v>3152</v>
      </c>
      <c r="AG2110" t="s">
        <v>2757</v>
      </c>
      <c r="AI2110" t="s">
        <v>59</v>
      </c>
      <c r="AL2110" t="s">
        <v>370</v>
      </c>
      <c r="AN2110" s="3">
        <v>46073.920138888891</v>
      </c>
      <c r="AO2110" t="s">
        <v>1262</v>
      </c>
    </row>
    <row r="2111" spans="1:41" x14ac:dyDescent="0.3">
      <c r="A2111" t="s">
        <v>75</v>
      </c>
      <c r="B2111" t="s">
        <v>895</v>
      </c>
      <c r="C2111" t="s">
        <v>896</v>
      </c>
      <c r="D2111" t="s">
        <v>184</v>
      </c>
      <c r="E2111" s="1">
        <v>46073</v>
      </c>
      <c r="F2111" t="s">
        <v>2113</v>
      </c>
      <c r="G2111" t="s">
        <v>128</v>
      </c>
      <c r="H2111" s="2">
        <v>0.625</v>
      </c>
      <c r="I2111" s="2">
        <v>0.83333333333333337</v>
      </c>
      <c r="J2111" t="s">
        <v>46</v>
      </c>
      <c r="L2111" t="s">
        <v>47</v>
      </c>
      <c r="M2111" t="s">
        <v>1206</v>
      </c>
      <c r="N2111" t="s">
        <v>2339</v>
      </c>
      <c r="O2111">
        <v>5950965</v>
      </c>
      <c r="Q2111" t="s">
        <v>2159</v>
      </c>
      <c r="R2111" t="s">
        <v>500</v>
      </c>
      <c r="S2111" t="s">
        <v>52</v>
      </c>
      <c r="U2111">
        <v>891310</v>
      </c>
      <c r="V2111" s="3">
        <v>46042.95</v>
      </c>
      <c r="W2111" t="s">
        <v>2340</v>
      </c>
      <c r="X2111" t="s">
        <v>2341</v>
      </c>
      <c r="Y2111" t="str">
        <f>"0417284000"</f>
        <v>0417284000</v>
      </c>
      <c r="Z2111" t="s">
        <v>3207</v>
      </c>
      <c r="AA2111" s="1">
        <v>46073</v>
      </c>
      <c r="AB2111" t="s">
        <v>902</v>
      </c>
      <c r="AD2111" t="s">
        <v>75</v>
      </c>
      <c r="AE2111" t="s">
        <v>903</v>
      </c>
      <c r="AF2111">
        <v>6009</v>
      </c>
      <c r="AG2111" t="s">
        <v>2229</v>
      </c>
      <c r="AI2111" t="s">
        <v>59</v>
      </c>
      <c r="AL2111" t="s">
        <v>4666</v>
      </c>
      <c r="AN2111" s="3">
        <v>46073.881249999999</v>
      </c>
      <c r="AO2111" t="s">
        <v>2340</v>
      </c>
    </row>
    <row r="2112" spans="1:41" x14ac:dyDescent="0.3">
      <c r="A2112" t="s">
        <v>61</v>
      </c>
      <c r="B2112" t="s">
        <v>1271</v>
      </c>
      <c r="C2112" t="s">
        <v>1272</v>
      </c>
      <c r="D2112" t="s">
        <v>184</v>
      </c>
      <c r="E2112" s="1">
        <v>46073</v>
      </c>
      <c r="F2112" t="s">
        <v>2113</v>
      </c>
      <c r="G2112" t="s">
        <v>128</v>
      </c>
      <c r="H2112" s="2">
        <v>0.625</v>
      </c>
      <c r="I2112" s="2">
        <v>0.97916666666666663</v>
      </c>
      <c r="J2112" t="s">
        <v>486</v>
      </c>
      <c r="L2112" t="s">
        <v>487</v>
      </c>
      <c r="M2112" t="s">
        <v>596</v>
      </c>
      <c r="N2112" t="s">
        <v>1280</v>
      </c>
      <c r="O2112">
        <v>5952187</v>
      </c>
      <c r="Q2112" t="s">
        <v>1190</v>
      </c>
      <c r="R2112" t="s">
        <v>132</v>
      </c>
      <c r="S2112" t="s">
        <v>52</v>
      </c>
      <c r="U2112">
        <v>891341</v>
      </c>
      <c r="V2112" s="3">
        <v>46057.565972222219</v>
      </c>
      <c r="W2112" t="s">
        <v>1281</v>
      </c>
      <c r="X2112" t="s">
        <v>1282</v>
      </c>
      <c r="Y2112" t="str">
        <f>"0417203844"</f>
        <v>0417203844</v>
      </c>
      <c r="Z2112" t="s">
        <v>4667</v>
      </c>
      <c r="AB2112" t="s">
        <v>1278</v>
      </c>
      <c r="AD2112" t="s">
        <v>61</v>
      </c>
      <c r="AE2112" t="s">
        <v>1279</v>
      </c>
      <c r="AF2112">
        <v>2145</v>
      </c>
      <c r="AG2112" t="s">
        <v>1190</v>
      </c>
      <c r="AI2112" t="s">
        <v>59</v>
      </c>
      <c r="AL2112" t="s">
        <v>4668</v>
      </c>
      <c r="AN2112" s="3">
        <v>46074.425694444442</v>
      </c>
      <c r="AO2112" t="s">
        <v>1281</v>
      </c>
    </row>
    <row r="2113" spans="1:41" x14ac:dyDescent="0.3">
      <c r="A2113" t="s">
        <v>306</v>
      </c>
      <c r="B2113" t="s">
        <v>450</v>
      </c>
      <c r="C2113" t="s">
        <v>100</v>
      </c>
      <c r="D2113" t="s">
        <v>63</v>
      </c>
      <c r="E2113" s="1">
        <v>46073</v>
      </c>
      <c r="F2113" t="s">
        <v>2113</v>
      </c>
      <c r="G2113" t="s">
        <v>128</v>
      </c>
      <c r="H2113" s="2">
        <v>0.625</v>
      </c>
      <c r="I2113" s="2">
        <v>0.91666666666666663</v>
      </c>
      <c r="J2113" t="s">
        <v>100</v>
      </c>
      <c r="L2113" t="s">
        <v>473</v>
      </c>
      <c r="M2113" t="s">
        <v>474</v>
      </c>
      <c r="N2113" t="s">
        <v>475</v>
      </c>
      <c r="O2113">
        <v>5950662</v>
      </c>
      <c r="Q2113" t="s">
        <v>3968</v>
      </c>
      <c r="R2113" t="s">
        <v>208</v>
      </c>
      <c r="S2113" t="s">
        <v>52</v>
      </c>
      <c r="U2113">
        <v>891315</v>
      </c>
      <c r="V2113" s="3">
        <v>46064.861111111109</v>
      </c>
      <c r="W2113" t="s">
        <v>477</v>
      </c>
      <c r="X2113" t="s">
        <v>478</v>
      </c>
      <c r="Y2113" t="str">
        <f>"0449808311"</f>
        <v>0449808311</v>
      </c>
      <c r="Z2113" t="s">
        <v>375</v>
      </c>
      <c r="AA2113" s="1">
        <v>46073</v>
      </c>
      <c r="AB2113" t="s">
        <v>459</v>
      </c>
      <c r="AD2113" t="s">
        <v>306</v>
      </c>
      <c r="AE2113" t="s">
        <v>460</v>
      </c>
      <c r="AF2113">
        <v>3058</v>
      </c>
      <c r="AG2113" t="s">
        <v>455</v>
      </c>
      <c r="AI2113" t="s">
        <v>59</v>
      </c>
      <c r="AL2113" t="s">
        <v>370</v>
      </c>
      <c r="AN2113" s="3">
        <v>46073.918055555558</v>
      </c>
      <c r="AO2113" t="s">
        <v>477</v>
      </c>
    </row>
    <row r="2114" spans="1:41" x14ac:dyDescent="0.3">
      <c r="A2114" t="s">
        <v>306</v>
      </c>
      <c r="B2114" t="s">
        <v>1060</v>
      </c>
      <c r="C2114" t="s">
        <v>100</v>
      </c>
      <c r="D2114" t="s">
        <v>184</v>
      </c>
      <c r="E2114" s="1">
        <v>46073</v>
      </c>
      <c r="F2114" t="s">
        <v>2113</v>
      </c>
      <c r="G2114" t="s">
        <v>128</v>
      </c>
      <c r="H2114" s="2">
        <v>0.625</v>
      </c>
      <c r="I2114" s="2">
        <v>4.1666666666666664E-2</v>
      </c>
      <c r="J2114" t="s">
        <v>451</v>
      </c>
      <c r="L2114" t="s">
        <v>452</v>
      </c>
      <c r="M2114" t="s">
        <v>1980</v>
      </c>
      <c r="N2114" t="s">
        <v>1981</v>
      </c>
      <c r="O2114">
        <v>21297</v>
      </c>
      <c r="Q2114" t="s">
        <v>413</v>
      </c>
      <c r="R2114" t="s">
        <v>759</v>
      </c>
      <c r="S2114" t="s">
        <v>119</v>
      </c>
      <c r="T2114" t="s">
        <v>760</v>
      </c>
      <c r="U2114" t="s">
        <v>4669</v>
      </c>
      <c r="V2114" s="3">
        <v>46090.579861111109</v>
      </c>
      <c r="W2114" t="s">
        <v>1983</v>
      </c>
      <c r="X2114" t="s">
        <v>1984</v>
      </c>
      <c r="Y2114" t="str">
        <f>"0434131195"</f>
        <v>0434131195</v>
      </c>
      <c r="Z2114" t="s">
        <v>70</v>
      </c>
      <c r="AB2114" t="s">
        <v>1066</v>
      </c>
      <c r="AD2114" t="s">
        <v>306</v>
      </c>
      <c r="AE2114" t="s">
        <v>1067</v>
      </c>
      <c r="AF2114">
        <v>3084</v>
      </c>
      <c r="AG2114" t="s">
        <v>413</v>
      </c>
      <c r="AI2114" t="s">
        <v>59</v>
      </c>
      <c r="AM2114" t="s">
        <v>4670</v>
      </c>
      <c r="AN2114" s="3">
        <v>46090.579861111109</v>
      </c>
      <c r="AO2114" t="s">
        <v>759</v>
      </c>
    </row>
    <row r="2115" spans="1:41" x14ac:dyDescent="0.3">
      <c r="A2115" t="s">
        <v>306</v>
      </c>
      <c r="B2115" t="s">
        <v>1060</v>
      </c>
      <c r="C2115" t="s">
        <v>100</v>
      </c>
      <c r="D2115" t="s">
        <v>184</v>
      </c>
      <c r="E2115" s="1">
        <v>46073</v>
      </c>
      <c r="F2115" t="s">
        <v>2113</v>
      </c>
      <c r="G2115" t="s">
        <v>128</v>
      </c>
      <c r="H2115" s="2">
        <v>0.625</v>
      </c>
      <c r="I2115" s="2">
        <v>4.1666666666666664E-2</v>
      </c>
      <c r="J2115" t="s">
        <v>451</v>
      </c>
      <c r="L2115" t="s">
        <v>452</v>
      </c>
      <c r="M2115" t="s">
        <v>1980</v>
      </c>
      <c r="N2115" t="s">
        <v>1981</v>
      </c>
      <c r="O2115">
        <v>21297</v>
      </c>
      <c r="Q2115" t="s">
        <v>413</v>
      </c>
      <c r="R2115" t="s">
        <v>759</v>
      </c>
      <c r="S2115" t="s">
        <v>119</v>
      </c>
      <c r="T2115" t="s">
        <v>760</v>
      </c>
      <c r="U2115" t="s">
        <v>4671</v>
      </c>
      <c r="V2115" s="3">
        <v>46090.579861111109</v>
      </c>
      <c r="W2115" t="s">
        <v>1983</v>
      </c>
      <c r="X2115" t="s">
        <v>1984</v>
      </c>
      <c r="Y2115" t="str">
        <f>"0434131195"</f>
        <v>0434131195</v>
      </c>
      <c r="Z2115" t="s">
        <v>70</v>
      </c>
      <c r="AB2115" t="s">
        <v>1066</v>
      </c>
      <c r="AD2115" t="s">
        <v>306</v>
      </c>
      <c r="AE2115" t="s">
        <v>1067</v>
      </c>
      <c r="AF2115">
        <v>3084</v>
      </c>
      <c r="AG2115" t="s">
        <v>413</v>
      </c>
      <c r="AI2115" t="s">
        <v>59</v>
      </c>
      <c r="AM2115" t="s">
        <v>4670</v>
      </c>
      <c r="AN2115" s="3">
        <v>46090.579861111109</v>
      </c>
      <c r="AO2115" t="s">
        <v>759</v>
      </c>
    </row>
    <row r="2116" spans="1:41" x14ac:dyDescent="0.3">
      <c r="A2116" t="s">
        <v>306</v>
      </c>
      <c r="B2116" t="s">
        <v>1060</v>
      </c>
      <c r="C2116" t="s">
        <v>100</v>
      </c>
      <c r="D2116" t="s">
        <v>184</v>
      </c>
      <c r="E2116" s="1">
        <v>46073</v>
      </c>
      <c r="F2116" t="s">
        <v>2113</v>
      </c>
      <c r="G2116" t="s">
        <v>128</v>
      </c>
      <c r="H2116" s="2">
        <v>0.625</v>
      </c>
      <c r="I2116" s="2">
        <v>4.1666666666666664E-2</v>
      </c>
      <c r="J2116" t="s">
        <v>1061</v>
      </c>
      <c r="L2116" t="s">
        <v>452</v>
      </c>
      <c r="M2116" t="s">
        <v>1980</v>
      </c>
      <c r="N2116" t="s">
        <v>1981</v>
      </c>
      <c r="O2116">
        <v>21297</v>
      </c>
      <c r="Q2116" t="s">
        <v>413</v>
      </c>
      <c r="R2116" t="s">
        <v>476</v>
      </c>
      <c r="S2116" t="s">
        <v>119</v>
      </c>
      <c r="T2116" t="s">
        <v>414</v>
      </c>
      <c r="U2116">
        <v>891552</v>
      </c>
      <c r="V2116" s="3">
        <v>46071.354166666664</v>
      </c>
      <c r="W2116" t="s">
        <v>1983</v>
      </c>
      <c r="X2116" t="s">
        <v>1984</v>
      </c>
      <c r="Y2116" t="str">
        <f>"0434131195"</f>
        <v>0434131195</v>
      </c>
      <c r="Z2116" t="s">
        <v>70</v>
      </c>
      <c r="AB2116" t="s">
        <v>1066</v>
      </c>
      <c r="AD2116" t="s">
        <v>306</v>
      </c>
      <c r="AE2116" t="s">
        <v>1067</v>
      </c>
      <c r="AF2116">
        <v>3084</v>
      </c>
      <c r="AI2116" t="s">
        <v>59</v>
      </c>
      <c r="AL2116" t="s">
        <v>1068</v>
      </c>
      <c r="AM2116" t="s">
        <v>4672</v>
      </c>
      <c r="AN2116" s="3">
        <v>46071.406944444447</v>
      </c>
      <c r="AO2116" t="s">
        <v>476</v>
      </c>
    </row>
    <row r="2117" spans="1:41" x14ac:dyDescent="0.3">
      <c r="A2117" t="s">
        <v>168</v>
      </c>
      <c r="B2117" t="s">
        <v>409</v>
      </c>
      <c r="C2117" t="s">
        <v>100</v>
      </c>
      <c r="D2117" t="s">
        <v>309</v>
      </c>
      <c r="E2117" s="1">
        <v>46073</v>
      </c>
      <c r="F2117" t="s">
        <v>2113</v>
      </c>
      <c r="G2117" t="s">
        <v>128</v>
      </c>
      <c r="H2117" s="2">
        <v>0.66666666666666663</v>
      </c>
      <c r="I2117" s="2">
        <v>0</v>
      </c>
      <c r="J2117" t="s">
        <v>410</v>
      </c>
      <c r="L2117" t="s">
        <v>100</v>
      </c>
      <c r="M2117" t="s">
        <v>411</v>
      </c>
      <c r="N2117" t="s">
        <v>412</v>
      </c>
      <c r="O2117">
        <v>228</v>
      </c>
      <c r="Q2117" t="s">
        <v>413</v>
      </c>
      <c r="R2117" t="s">
        <v>176</v>
      </c>
      <c r="S2117" t="s">
        <v>119</v>
      </c>
      <c r="T2117" t="s">
        <v>414</v>
      </c>
      <c r="U2117">
        <v>891435</v>
      </c>
      <c r="V2117" s="3">
        <v>46072.613888888889</v>
      </c>
      <c r="W2117" t="s">
        <v>415</v>
      </c>
      <c r="X2117" t="s">
        <v>416</v>
      </c>
      <c r="Y2117" t="str">
        <f>"0414869673"</f>
        <v>0414869673</v>
      </c>
      <c r="Z2117" t="s">
        <v>70</v>
      </c>
      <c r="AB2117" t="s">
        <v>417</v>
      </c>
      <c r="AD2117" t="s">
        <v>168</v>
      </c>
      <c r="AE2117" t="s">
        <v>384</v>
      </c>
      <c r="AF2117">
        <v>5000</v>
      </c>
      <c r="AI2117" t="s">
        <v>59</v>
      </c>
      <c r="AL2117" t="s">
        <v>4673</v>
      </c>
      <c r="AM2117" t="s">
        <v>4674</v>
      </c>
      <c r="AN2117" s="3">
        <v>46072.626388888886</v>
      </c>
      <c r="AO2117" t="s">
        <v>176</v>
      </c>
    </row>
    <row r="2118" spans="1:41" x14ac:dyDescent="0.3">
      <c r="A2118" t="s">
        <v>61</v>
      </c>
      <c r="B2118" t="s">
        <v>182</v>
      </c>
      <c r="C2118" t="s">
        <v>484</v>
      </c>
      <c r="D2118" t="s">
        <v>184</v>
      </c>
      <c r="E2118" s="1">
        <v>46073</v>
      </c>
      <c r="F2118" t="s">
        <v>2113</v>
      </c>
      <c r="G2118" t="s">
        <v>485</v>
      </c>
      <c r="H2118" s="2">
        <v>0.77083333333333337</v>
      </c>
      <c r="I2118" s="2">
        <v>0.29166666666666669</v>
      </c>
      <c r="J2118" t="s">
        <v>590</v>
      </c>
      <c r="L2118" t="s">
        <v>487</v>
      </c>
      <c r="M2118" t="s">
        <v>488</v>
      </c>
      <c r="N2118" t="s">
        <v>489</v>
      </c>
      <c r="O2118">
        <v>5951809</v>
      </c>
      <c r="Q2118" t="s">
        <v>490</v>
      </c>
      <c r="R2118" t="s">
        <v>67</v>
      </c>
      <c r="S2118" t="s">
        <v>52</v>
      </c>
      <c r="U2118">
        <v>891332</v>
      </c>
      <c r="V2118" s="3">
        <v>46051.534722222219</v>
      </c>
      <c r="W2118" t="s">
        <v>491</v>
      </c>
      <c r="X2118" t="s">
        <v>492</v>
      </c>
      <c r="Y2118" t="str">
        <f>"0431000508"</f>
        <v>0431000508</v>
      </c>
      <c r="Z2118" t="s">
        <v>649</v>
      </c>
      <c r="AB2118" t="s">
        <v>193</v>
      </c>
      <c r="AD2118" t="s">
        <v>61</v>
      </c>
      <c r="AE2118" t="s">
        <v>194</v>
      </c>
      <c r="AF2118">
        <v>2229</v>
      </c>
      <c r="AG2118" t="s">
        <v>129</v>
      </c>
      <c r="AI2118" t="s">
        <v>59</v>
      </c>
      <c r="AL2118" t="s">
        <v>4586</v>
      </c>
      <c r="AN2118" s="3">
        <v>46074.298611111109</v>
      </c>
      <c r="AO2118" t="s">
        <v>491</v>
      </c>
    </row>
    <row r="2119" spans="1:41" x14ac:dyDescent="0.3">
      <c r="A2119" t="s">
        <v>61</v>
      </c>
      <c r="B2119" t="s">
        <v>1937</v>
      </c>
      <c r="C2119" t="s">
        <v>1627</v>
      </c>
      <c r="D2119" t="s">
        <v>184</v>
      </c>
      <c r="E2119" s="1">
        <v>46073</v>
      </c>
      <c r="F2119" t="s">
        <v>2113</v>
      </c>
      <c r="G2119" t="s">
        <v>485</v>
      </c>
      <c r="H2119" s="2">
        <v>0.79166666666666663</v>
      </c>
      <c r="I2119" s="2">
        <v>0.3125</v>
      </c>
      <c r="J2119" t="s">
        <v>486</v>
      </c>
      <c r="L2119" t="s">
        <v>487</v>
      </c>
      <c r="M2119" t="s">
        <v>1645</v>
      </c>
      <c r="N2119" t="s">
        <v>1646</v>
      </c>
      <c r="O2119">
        <v>5951065</v>
      </c>
      <c r="Q2119" t="s">
        <v>3730</v>
      </c>
      <c r="R2119" t="s">
        <v>67</v>
      </c>
      <c r="S2119" t="s">
        <v>52</v>
      </c>
      <c r="U2119">
        <v>891335</v>
      </c>
      <c r="V2119" s="3">
        <v>46064.405555555553</v>
      </c>
      <c r="W2119" t="s">
        <v>1647</v>
      </c>
      <c r="X2119" t="s">
        <v>1648</v>
      </c>
      <c r="Y2119" t="str">
        <f>"0408979009"</f>
        <v>0408979009</v>
      </c>
      <c r="Z2119" t="s">
        <v>1013</v>
      </c>
      <c r="AB2119" t="s">
        <v>1942</v>
      </c>
      <c r="AD2119" t="s">
        <v>61</v>
      </c>
      <c r="AE2119" t="s">
        <v>1943</v>
      </c>
      <c r="AF2119">
        <v>2065</v>
      </c>
      <c r="AG2119" t="s">
        <v>1564</v>
      </c>
      <c r="AI2119" t="s">
        <v>59</v>
      </c>
      <c r="AL2119" t="s">
        <v>4675</v>
      </c>
      <c r="AN2119" s="3">
        <v>46074.311111111114</v>
      </c>
      <c r="AO2119" t="s">
        <v>1647</v>
      </c>
    </row>
    <row r="2120" spans="1:41" x14ac:dyDescent="0.3">
      <c r="A2120" t="s">
        <v>168</v>
      </c>
      <c r="B2120" t="s">
        <v>1312</v>
      </c>
      <c r="C2120" t="s">
        <v>1313</v>
      </c>
      <c r="D2120" t="s">
        <v>268</v>
      </c>
      <c r="E2120" s="1">
        <v>46073</v>
      </c>
      <c r="F2120" t="s">
        <v>2113</v>
      </c>
      <c r="G2120" t="s">
        <v>485</v>
      </c>
      <c r="H2120" s="2">
        <v>0.79166666666666663</v>
      </c>
      <c r="I2120" s="2">
        <v>0.3125</v>
      </c>
      <c r="J2120" t="s">
        <v>296</v>
      </c>
      <c r="K2120" t="s">
        <v>849</v>
      </c>
      <c r="L2120" t="s">
        <v>47</v>
      </c>
      <c r="M2120" t="s">
        <v>1315</v>
      </c>
      <c r="N2120" t="s">
        <v>1316</v>
      </c>
      <c r="O2120">
        <v>22278</v>
      </c>
      <c r="Q2120" t="s">
        <v>2314</v>
      </c>
      <c r="R2120" t="s">
        <v>231</v>
      </c>
      <c r="S2120" t="s">
        <v>52</v>
      </c>
      <c r="U2120">
        <v>891382</v>
      </c>
      <c r="V2120" s="3">
        <v>46072.399305555555</v>
      </c>
      <c r="W2120" t="s">
        <v>1317</v>
      </c>
      <c r="X2120" t="s">
        <v>1318</v>
      </c>
      <c r="Y2120" t="str">
        <f>"0413259096"</f>
        <v>0413259096</v>
      </c>
      <c r="Z2120" t="s">
        <v>70</v>
      </c>
      <c r="AA2120" s="1">
        <v>46073</v>
      </c>
      <c r="AB2120" t="s">
        <v>1312</v>
      </c>
      <c r="AC2120" t="s">
        <v>1319</v>
      </c>
      <c r="AD2120" t="s">
        <v>168</v>
      </c>
      <c r="AE2120" t="s">
        <v>1320</v>
      </c>
      <c r="AF2120">
        <v>5417</v>
      </c>
      <c r="AI2120" t="s">
        <v>59</v>
      </c>
      <c r="AL2120" t="s">
        <v>4676</v>
      </c>
      <c r="AM2120" t="s">
        <v>4676</v>
      </c>
      <c r="AN2120" s="3">
        <v>46075.655555555553</v>
      </c>
      <c r="AO2120" t="s">
        <v>1317</v>
      </c>
    </row>
    <row r="2121" spans="1:41" x14ac:dyDescent="0.3">
      <c r="A2121" t="s">
        <v>61</v>
      </c>
      <c r="B2121" t="s">
        <v>3025</v>
      </c>
      <c r="C2121" t="s">
        <v>529</v>
      </c>
      <c r="D2121" t="s">
        <v>184</v>
      </c>
      <c r="E2121" s="1">
        <v>46073</v>
      </c>
      <c r="F2121" t="s">
        <v>2113</v>
      </c>
      <c r="G2121" t="s">
        <v>485</v>
      </c>
      <c r="H2121" s="2">
        <v>0.79166666666666663</v>
      </c>
      <c r="I2121" s="2">
        <v>0.3125</v>
      </c>
      <c r="J2121" t="s">
        <v>529</v>
      </c>
      <c r="L2121" t="s">
        <v>47</v>
      </c>
      <c r="M2121" t="s">
        <v>3763</v>
      </c>
      <c r="N2121" t="s">
        <v>3764</v>
      </c>
      <c r="O2121">
        <v>21177</v>
      </c>
      <c r="Q2121" t="s">
        <v>4677</v>
      </c>
      <c r="R2121" t="s">
        <v>67</v>
      </c>
      <c r="S2121" t="s">
        <v>52</v>
      </c>
      <c r="U2121">
        <v>891333</v>
      </c>
      <c r="V2121" s="3">
        <v>46073.496527777781</v>
      </c>
      <c r="W2121" t="s">
        <v>3766</v>
      </c>
      <c r="X2121" t="s">
        <v>3767</v>
      </c>
      <c r="Y2121" t="str">
        <f>"0400582047"</f>
        <v>0400582047</v>
      </c>
      <c r="Z2121" t="s">
        <v>123</v>
      </c>
      <c r="AA2121" s="1">
        <v>46073</v>
      </c>
      <c r="AB2121" t="s">
        <v>3027</v>
      </c>
      <c r="AD2121" t="s">
        <v>61</v>
      </c>
      <c r="AE2121" t="s">
        <v>1848</v>
      </c>
      <c r="AF2121">
        <v>2217</v>
      </c>
      <c r="AG2121" t="s">
        <v>3061</v>
      </c>
      <c r="AI2121" t="s">
        <v>59</v>
      </c>
      <c r="AL2121" t="s">
        <v>4678</v>
      </c>
      <c r="AN2121" s="3">
        <v>46074.302083333336</v>
      </c>
      <c r="AO2121" t="s">
        <v>3766</v>
      </c>
    </row>
    <row r="2122" spans="1:41" x14ac:dyDescent="0.3">
      <c r="A2122" t="s">
        <v>61</v>
      </c>
      <c r="B2122" t="s">
        <v>1462</v>
      </c>
      <c r="C2122" t="s">
        <v>296</v>
      </c>
      <c r="D2122" t="s">
        <v>90</v>
      </c>
      <c r="E2122" s="1">
        <v>46073</v>
      </c>
      <c r="F2122" t="s">
        <v>2113</v>
      </c>
      <c r="G2122" t="s">
        <v>485</v>
      </c>
      <c r="H2122" s="2">
        <v>0.79166666666666663</v>
      </c>
      <c r="I2122" s="2">
        <v>0.3125</v>
      </c>
      <c r="J2122" t="s">
        <v>296</v>
      </c>
      <c r="L2122" t="s">
        <v>298</v>
      </c>
      <c r="M2122" t="s">
        <v>508</v>
      </c>
      <c r="N2122" t="s">
        <v>509</v>
      </c>
      <c r="O2122">
        <v>22014</v>
      </c>
      <c r="Q2122" t="s">
        <v>4679</v>
      </c>
      <c r="R2122" t="s">
        <v>67</v>
      </c>
      <c r="S2122" t="s">
        <v>52</v>
      </c>
      <c r="U2122">
        <v>891336</v>
      </c>
      <c r="V2122" s="3">
        <v>46071.590277777781</v>
      </c>
      <c r="W2122" t="s">
        <v>511</v>
      </c>
      <c r="X2122" t="s">
        <v>512</v>
      </c>
      <c r="Y2122" t="str">
        <f>"0430326260"</f>
        <v>0430326260</v>
      </c>
      <c r="Z2122" t="s">
        <v>70</v>
      </c>
      <c r="AB2122" t="s">
        <v>1468</v>
      </c>
      <c r="AD2122" t="s">
        <v>61</v>
      </c>
      <c r="AE2122" t="s">
        <v>1469</v>
      </c>
      <c r="AF2122">
        <v>2060</v>
      </c>
      <c r="AG2122" t="s">
        <v>2126</v>
      </c>
      <c r="AI2122" t="s">
        <v>59</v>
      </c>
      <c r="AL2122" t="s">
        <v>4680</v>
      </c>
      <c r="AN2122" s="3">
        <v>46074.313194444447</v>
      </c>
      <c r="AO2122" t="s">
        <v>511</v>
      </c>
    </row>
    <row r="2123" spans="1:41" x14ac:dyDescent="0.3">
      <c r="A2123" t="s">
        <v>168</v>
      </c>
      <c r="B2123" t="s">
        <v>336</v>
      </c>
      <c r="C2123" t="s">
        <v>4681</v>
      </c>
      <c r="D2123" t="s">
        <v>268</v>
      </c>
      <c r="E2123" s="1">
        <v>46073</v>
      </c>
      <c r="F2123" t="s">
        <v>2113</v>
      </c>
      <c r="G2123" t="s">
        <v>485</v>
      </c>
      <c r="H2123" s="2">
        <v>0.875</v>
      </c>
      <c r="I2123" s="2">
        <v>0.3125</v>
      </c>
      <c r="J2123" t="s">
        <v>296</v>
      </c>
      <c r="K2123" t="s">
        <v>270</v>
      </c>
      <c r="L2123" t="s">
        <v>47</v>
      </c>
      <c r="M2123" t="s">
        <v>517</v>
      </c>
      <c r="N2123" t="s">
        <v>518</v>
      </c>
      <c r="O2123">
        <v>5951368</v>
      </c>
      <c r="Q2123" t="s">
        <v>342</v>
      </c>
      <c r="R2123" t="s">
        <v>759</v>
      </c>
      <c r="S2123" t="s">
        <v>119</v>
      </c>
      <c r="T2123" t="s">
        <v>760</v>
      </c>
      <c r="U2123" t="s">
        <v>4682</v>
      </c>
      <c r="V2123" s="3">
        <v>46084.868055555555</v>
      </c>
      <c r="W2123" t="s">
        <v>519</v>
      </c>
      <c r="X2123" t="s">
        <v>520</v>
      </c>
      <c r="Y2123" t="str">
        <f>"0420208072"</f>
        <v>0420208072</v>
      </c>
      <c r="Z2123" t="s">
        <v>70</v>
      </c>
      <c r="AB2123" t="s">
        <v>346</v>
      </c>
      <c r="AD2123" t="s">
        <v>168</v>
      </c>
      <c r="AE2123" t="s">
        <v>347</v>
      </c>
      <c r="AF2123">
        <v>5042</v>
      </c>
      <c r="AG2123" t="s">
        <v>342</v>
      </c>
      <c r="AI2123" t="s">
        <v>59</v>
      </c>
      <c r="AM2123" t="s">
        <v>4683</v>
      </c>
      <c r="AN2123" s="3">
        <v>46084.868055555555</v>
      </c>
      <c r="AO2123" t="s">
        <v>759</v>
      </c>
    </row>
    <row r="2124" spans="1:41" x14ac:dyDescent="0.3">
      <c r="A2124" t="s">
        <v>168</v>
      </c>
      <c r="B2124" t="s">
        <v>336</v>
      </c>
      <c r="C2124" t="s">
        <v>4681</v>
      </c>
      <c r="D2124" t="s">
        <v>268</v>
      </c>
      <c r="E2124" s="1">
        <v>46073</v>
      </c>
      <c r="F2124" t="s">
        <v>2113</v>
      </c>
      <c r="G2124" t="s">
        <v>485</v>
      </c>
      <c r="H2124" s="2">
        <v>0.875</v>
      </c>
      <c r="I2124" s="2">
        <v>0.3125</v>
      </c>
      <c r="J2124" t="s">
        <v>296</v>
      </c>
      <c r="K2124" t="s">
        <v>270</v>
      </c>
      <c r="L2124" t="s">
        <v>47</v>
      </c>
      <c r="M2124" t="s">
        <v>517</v>
      </c>
      <c r="N2124" t="s">
        <v>518</v>
      </c>
      <c r="O2124">
        <v>5951368</v>
      </c>
      <c r="Q2124" t="s">
        <v>342</v>
      </c>
      <c r="R2124" t="s">
        <v>759</v>
      </c>
      <c r="S2124" t="s">
        <v>119</v>
      </c>
      <c r="T2124" t="s">
        <v>760</v>
      </c>
      <c r="U2124" t="s">
        <v>4684</v>
      </c>
      <c r="V2124" s="3">
        <v>46084.868055555555</v>
      </c>
      <c r="W2124" t="s">
        <v>519</v>
      </c>
      <c r="X2124" t="s">
        <v>520</v>
      </c>
      <c r="Y2124" t="str">
        <f>"0420208072"</f>
        <v>0420208072</v>
      </c>
      <c r="Z2124" t="s">
        <v>70</v>
      </c>
      <c r="AB2124" t="s">
        <v>346</v>
      </c>
      <c r="AD2124" t="s">
        <v>168</v>
      </c>
      <c r="AE2124" t="s">
        <v>347</v>
      </c>
      <c r="AF2124">
        <v>5042</v>
      </c>
      <c r="AG2124" t="s">
        <v>342</v>
      </c>
      <c r="AI2124" t="s">
        <v>59</v>
      </c>
      <c r="AM2124" t="s">
        <v>4683</v>
      </c>
      <c r="AN2124" s="3">
        <v>46084.868055555555</v>
      </c>
      <c r="AO2124" t="s">
        <v>759</v>
      </c>
    </row>
    <row r="2125" spans="1:41" x14ac:dyDescent="0.3">
      <c r="A2125" t="s">
        <v>168</v>
      </c>
      <c r="B2125" t="s">
        <v>336</v>
      </c>
      <c r="D2125" t="s">
        <v>268</v>
      </c>
      <c r="E2125" s="1">
        <v>46073</v>
      </c>
      <c r="F2125" t="s">
        <v>2113</v>
      </c>
      <c r="G2125" t="s">
        <v>485</v>
      </c>
      <c r="H2125" s="2">
        <v>0.875</v>
      </c>
      <c r="I2125" s="2">
        <v>0.3125</v>
      </c>
      <c r="J2125" t="s">
        <v>296</v>
      </c>
      <c r="K2125" t="s">
        <v>270</v>
      </c>
      <c r="L2125" t="s">
        <v>47</v>
      </c>
      <c r="M2125" t="s">
        <v>517</v>
      </c>
      <c r="N2125" t="s">
        <v>518</v>
      </c>
      <c r="O2125">
        <v>5951368</v>
      </c>
      <c r="Q2125" t="s">
        <v>342</v>
      </c>
      <c r="R2125" t="s">
        <v>176</v>
      </c>
      <c r="S2125" t="s">
        <v>52</v>
      </c>
      <c r="U2125">
        <v>891318</v>
      </c>
      <c r="V2125" s="3">
        <v>46052.443055555559</v>
      </c>
      <c r="W2125" t="s">
        <v>519</v>
      </c>
      <c r="X2125" t="s">
        <v>520</v>
      </c>
      <c r="Y2125" t="str">
        <f>"0420208072"</f>
        <v>0420208072</v>
      </c>
      <c r="Z2125" t="s">
        <v>1540</v>
      </c>
      <c r="AB2125" t="s">
        <v>346</v>
      </c>
      <c r="AD2125" t="s">
        <v>168</v>
      </c>
      <c r="AE2125" t="s">
        <v>347</v>
      </c>
      <c r="AF2125">
        <v>5042</v>
      </c>
      <c r="AG2125" t="s">
        <v>342</v>
      </c>
      <c r="AI2125" t="s">
        <v>59</v>
      </c>
      <c r="AL2125" t="s">
        <v>4595</v>
      </c>
      <c r="AM2125" t="s">
        <v>349</v>
      </c>
      <c r="AN2125" s="3">
        <v>46073.938194444447</v>
      </c>
      <c r="AO2125" t="s">
        <v>519</v>
      </c>
    </row>
    <row r="2126" spans="1:41" x14ac:dyDescent="0.3">
      <c r="A2126" t="s">
        <v>168</v>
      </c>
      <c r="B2126" t="s">
        <v>336</v>
      </c>
      <c r="D2126" t="s">
        <v>268</v>
      </c>
      <c r="E2126" s="1">
        <v>46073</v>
      </c>
      <c r="F2126" t="s">
        <v>2113</v>
      </c>
      <c r="G2126" t="s">
        <v>485</v>
      </c>
      <c r="H2126" s="2">
        <v>0.875</v>
      </c>
      <c r="I2126" s="2">
        <v>0.3125</v>
      </c>
      <c r="J2126" t="s">
        <v>296</v>
      </c>
      <c r="K2126" t="s">
        <v>270</v>
      </c>
      <c r="L2126" t="s">
        <v>2455</v>
      </c>
      <c r="M2126" t="s">
        <v>4685</v>
      </c>
      <c r="N2126" t="s">
        <v>4686</v>
      </c>
      <c r="O2126">
        <v>21295</v>
      </c>
      <c r="P2126" t="s">
        <v>270</v>
      </c>
      <c r="Q2126" t="s">
        <v>342</v>
      </c>
      <c r="R2126" t="s">
        <v>176</v>
      </c>
      <c r="S2126" t="s">
        <v>52</v>
      </c>
      <c r="U2126">
        <v>891338</v>
      </c>
      <c r="V2126" s="3">
        <v>46052.443055555559</v>
      </c>
      <c r="W2126" t="s">
        <v>4687</v>
      </c>
      <c r="X2126" t="s">
        <v>4688</v>
      </c>
      <c r="Y2126" t="str">
        <f>"0425743237"</f>
        <v>0425743237</v>
      </c>
      <c r="Z2126" t="s">
        <v>2567</v>
      </c>
      <c r="AA2126" s="1">
        <v>46073</v>
      </c>
      <c r="AB2126" t="s">
        <v>346</v>
      </c>
      <c r="AD2126" t="s">
        <v>168</v>
      </c>
      <c r="AE2126" t="s">
        <v>347</v>
      </c>
      <c r="AF2126">
        <v>5042</v>
      </c>
      <c r="AG2126" t="s">
        <v>342</v>
      </c>
      <c r="AI2126" t="s">
        <v>59</v>
      </c>
      <c r="AL2126" t="s">
        <v>4595</v>
      </c>
      <c r="AM2126" t="s">
        <v>349</v>
      </c>
      <c r="AN2126" s="3">
        <v>46074.334027777775</v>
      </c>
      <c r="AO2126" t="s">
        <v>4687</v>
      </c>
    </row>
    <row r="2127" spans="1:41" x14ac:dyDescent="0.3">
      <c r="A2127" t="s">
        <v>168</v>
      </c>
      <c r="B2127" t="s">
        <v>336</v>
      </c>
      <c r="D2127" t="s">
        <v>268</v>
      </c>
      <c r="E2127" s="1">
        <v>46073</v>
      </c>
      <c r="F2127" t="s">
        <v>2113</v>
      </c>
      <c r="G2127" t="s">
        <v>485</v>
      </c>
      <c r="H2127" s="2">
        <v>0.875</v>
      </c>
      <c r="I2127" s="2">
        <v>0.3125</v>
      </c>
      <c r="J2127" t="s">
        <v>296</v>
      </c>
      <c r="K2127" t="s">
        <v>338</v>
      </c>
      <c r="L2127" t="s">
        <v>339</v>
      </c>
      <c r="M2127" t="s">
        <v>806</v>
      </c>
      <c r="N2127" t="s">
        <v>1671</v>
      </c>
      <c r="O2127">
        <v>5951069</v>
      </c>
      <c r="P2127" t="s">
        <v>338</v>
      </c>
      <c r="Q2127" t="s">
        <v>342</v>
      </c>
      <c r="R2127" t="s">
        <v>176</v>
      </c>
      <c r="S2127" t="s">
        <v>52</v>
      </c>
      <c r="U2127">
        <v>891311</v>
      </c>
      <c r="V2127" s="3">
        <v>46052.443749999999</v>
      </c>
      <c r="W2127" t="s">
        <v>1672</v>
      </c>
      <c r="X2127" t="s">
        <v>1673</v>
      </c>
      <c r="Y2127" t="str">
        <f>"0402344127"</f>
        <v>0402344127</v>
      </c>
      <c r="Z2127" t="s">
        <v>234</v>
      </c>
      <c r="AA2127" s="1">
        <v>46073</v>
      </c>
      <c r="AB2127" t="s">
        <v>346</v>
      </c>
      <c r="AD2127" t="s">
        <v>168</v>
      </c>
      <c r="AE2127" t="s">
        <v>347</v>
      </c>
      <c r="AF2127">
        <v>5042</v>
      </c>
      <c r="AG2127" t="s">
        <v>342</v>
      </c>
      <c r="AI2127" t="s">
        <v>59</v>
      </c>
      <c r="AL2127" t="s">
        <v>4689</v>
      </c>
      <c r="AM2127" t="s">
        <v>349</v>
      </c>
      <c r="AN2127" s="3">
        <v>46073.897222222222</v>
      </c>
      <c r="AO2127" t="s">
        <v>1672</v>
      </c>
    </row>
    <row r="2128" spans="1:41" x14ac:dyDescent="0.3">
      <c r="A2128" t="s">
        <v>61</v>
      </c>
      <c r="B2128" t="s">
        <v>1462</v>
      </c>
      <c r="C2128" t="s">
        <v>484</v>
      </c>
      <c r="D2128" t="s">
        <v>90</v>
      </c>
      <c r="E2128" s="1">
        <v>46073</v>
      </c>
      <c r="F2128" t="s">
        <v>2113</v>
      </c>
      <c r="G2128" t="s">
        <v>485</v>
      </c>
      <c r="H2128" s="2">
        <v>0.89583333333333337</v>
      </c>
      <c r="I2128" s="2">
        <v>0.3125</v>
      </c>
      <c r="J2128" t="s">
        <v>486</v>
      </c>
      <c r="L2128" t="s">
        <v>487</v>
      </c>
      <c r="M2128" t="s">
        <v>1578</v>
      </c>
      <c r="N2128" t="s">
        <v>3786</v>
      </c>
      <c r="O2128">
        <v>5951273</v>
      </c>
      <c r="Q2128" t="s">
        <v>541</v>
      </c>
      <c r="R2128" t="s">
        <v>132</v>
      </c>
      <c r="S2128" t="s">
        <v>52</v>
      </c>
      <c r="U2128">
        <v>891334</v>
      </c>
      <c r="V2128" s="3">
        <v>46073.480555555558</v>
      </c>
      <c r="W2128" t="s">
        <v>3787</v>
      </c>
      <c r="X2128" t="s">
        <v>3788</v>
      </c>
      <c r="Y2128" t="str">
        <f>"0413492261"</f>
        <v>0413492261</v>
      </c>
      <c r="Z2128" t="s">
        <v>123</v>
      </c>
      <c r="AB2128" t="s">
        <v>1468</v>
      </c>
      <c r="AD2128" t="s">
        <v>61</v>
      </c>
      <c r="AE2128" t="s">
        <v>1469</v>
      </c>
      <c r="AF2128">
        <v>2060</v>
      </c>
      <c r="AG2128" t="s">
        <v>541</v>
      </c>
      <c r="AI2128" t="s">
        <v>59</v>
      </c>
      <c r="AL2128" t="s">
        <v>4690</v>
      </c>
      <c r="AN2128" s="3">
        <v>46074.304861111108</v>
      </c>
      <c r="AO2128" t="s">
        <v>3787</v>
      </c>
    </row>
    <row r="2129" spans="1:41" x14ac:dyDescent="0.3">
      <c r="A2129" t="s">
        <v>306</v>
      </c>
      <c r="B2129" t="s">
        <v>528</v>
      </c>
      <c r="C2129" t="s">
        <v>1523</v>
      </c>
      <c r="D2129" t="s">
        <v>63</v>
      </c>
      <c r="E2129" s="1">
        <v>46073</v>
      </c>
      <c r="F2129" t="s">
        <v>2113</v>
      </c>
      <c r="G2129" t="s">
        <v>485</v>
      </c>
      <c r="H2129" s="2">
        <v>0.89583333333333337</v>
      </c>
      <c r="I2129" s="2">
        <v>0.3125</v>
      </c>
      <c r="J2129" t="s">
        <v>296</v>
      </c>
      <c r="L2129" t="s">
        <v>310</v>
      </c>
      <c r="M2129" t="s">
        <v>311</v>
      </c>
      <c r="N2129" t="s">
        <v>312</v>
      </c>
      <c r="O2129">
        <v>5952174</v>
      </c>
      <c r="Q2129" t="s">
        <v>4691</v>
      </c>
      <c r="R2129" t="s">
        <v>1248</v>
      </c>
      <c r="S2129" t="s">
        <v>52</v>
      </c>
      <c r="U2129">
        <v>891337</v>
      </c>
      <c r="V2129" s="3">
        <v>46067.319444444445</v>
      </c>
      <c r="W2129" t="s">
        <v>315</v>
      </c>
      <c r="X2129" t="s">
        <v>316</v>
      </c>
      <c r="Y2129" t="str">
        <f>"0452621529"</f>
        <v>0452621529</v>
      </c>
      <c r="Z2129" t="s">
        <v>70</v>
      </c>
      <c r="AA2129" s="1">
        <v>46073</v>
      </c>
      <c r="AB2129" t="s">
        <v>537</v>
      </c>
      <c r="AD2129" t="s">
        <v>306</v>
      </c>
      <c r="AE2129" t="s">
        <v>538</v>
      </c>
      <c r="AF2129">
        <v>3152</v>
      </c>
      <c r="AG2129" t="s">
        <v>2757</v>
      </c>
      <c r="AI2129" t="s">
        <v>59</v>
      </c>
      <c r="AL2129" t="s">
        <v>370</v>
      </c>
      <c r="AN2129" s="3">
        <v>46074.318055555559</v>
      </c>
      <c r="AO2129" t="s">
        <v>315</v>
      </c>
    </row>
    <row r="2130" spans="1:41" x14ac:dyDescent="0.3">
      <c r="A2130" t="s">
        <v>75</v>
      </c>
      <c r="B2130" t="s">
        <v>76</v>
      </c>
      <c r="C2130" t="s">
        <v>43</v>
      </c>
      <c r="D2130" t="s">
        <v>63</v>
      </c>
      <c r="E2130" s="1">
        <v>46063</v>
      </c>
      <c r="F2130" t="s">
        <v>1376</v>
      </c>
      <c r="G2130" t="s">
        <v>45</v>
      </c>
      <c r="H2130" s="2">
        <v>0.3125</v>
      </c>
      <c r="I2130" s="2">
        <v>0.75</v>
      </c>
      <c r="J2130" t="s">
        <v>101</v>
      </c>
      <c r="L2130" t="s">
        <v>159</v>
      </c>
      <c r="M2130" t="s">
        <v>250</v>
      </c>
      <c r="N2130" t="s">
        <v>2302</v>
      </c>
      <c r="O2130">
        <v>5952443</v>
      </c>
      <c r="Q2130" t="s">
        <v>80</v>
      </c>
      <c r="R2130" t="s">
        <v>926</v>
      </c>
      <c r="S2130" t="s">
        <v>52</v>
      </c>
      <c r="U2130">
        <v>890074</v>
      </c>
      <c r="V2130" s="3">
        <v>46059.499305555553</v>
      </c>
      <c r="W2130" t="s">
        <v>2304</v>
      </c>
      <c r="X2130" t="s">
        <v>2305</v>
      </c>
      <c r="Y2130" t="str">
        <f>"0402925703"</f>
        <v>0402925703</v>
      </c>
      <c r="Z2130" t="s">
        <v>70</v>
      </c>
      <c r="AA2130" s="1">
        <v>46063</v>
      </c>
      <c r="AB2130" t="s">
        <v>85</v>
      </c>
      <c r="AD2130" t="s">
        <v>75</v>
      </c>
      <c r="AE2130" t="s">
        <v>86</v>
      </c>
      <c r="AF2130">
        <v>6000</v>
      </c>
      <c r="AG2130" t="s">
        <v>80</v>
      </c>
      <c r="AI2130" t="s">
        <v>59</v>
      </c>
      <c r="AL2130" t="s">
        <v>4692</v>
      </c>
      <c r="AN2130" s="3">
        <v>46063.876388888886</v>
      </c>
      <c r="AO2130" t="s">
        <v>2304</v>
      </c>
    </row>
    <row r="2131" spans="1:41" x14ac:dyDescent="0.3">
      <c r="A2131" t="s">
        <v>41</v>
      </c>
      <c r="B2131" t="s">
        <v>426</v>
      </c>
      <c r="C2131" t="s">
        <v>43</v>
      </c>
      <c r="D2131" t="s">
        <v>246</v>
      </c>
      <c r="E2131" s="1">
        <v>46063</v>
      </c>
      <c r="F2131" t="s">
        <v>1376</v>
      </c>
      <c r="G2131" t="s">
        <v>45</v>
      </c>
      <c r="H2131" s="2">
        <v>0.32291666666666669</v>
      </c>
      <c r="I2131" s="2">
        <v>0.71875</v>
      </c>
      <c r="J2131" t="s">
        <v>185</v>
      </c>
      <c r="K2131" t="s">
        <v>427</v>
      </c>
      <c r="L2131" t="s">
        <v>815</v>
      </c>
      <c r="M2131" t="s">
        <v>816</v>
      </c>
      <c r="N2131" t="s">
        <v>817</v>
      </c>
      <c r="O2131">
        <v>22501</v>
      </c>
      <c r="Q2131" t="s">
        <v>249</v>
      </c>
      <c r="R2131" t="s">
        <v>51</v>
      </c>
      <c r="S2131" t="s">
        <v>52</v>
      </c>
      <c r="U2131">
        <v>890025</v>
      </c>
      <c r="V2131" s="3">
        <v>46059.572916666664</v>
      </c>
      <c r="W2131" t="s">
        <v>818</v>
      </c>
      <c r="X2131" t="s">
        <v>819</v>
      </c>
      <c r="Y2131" t="str">
        <f>"0432588228"</f>
        <v>0432588228</v>
      </c>
      <c r="Z2131" t="s">
        <v>748</v>
      </c>
      <c r="AB2131" t="s">
        <v>434</v>
      </c>
      <c r="AD2131" t="s">
        <v>41</v>
      </c>
      <c r="AE2131" t="s">
        <v>435</v>
      </c>
      <c r="AF2131">
        <v>4163</v>
      </c>
      <c r="AG2131" t="s">
        <v>249</v>
      </c>
      <c r="AI2131" t="s">
        <v>59</v>
      </c>
      <c r="AL2131" t="s">
        <v>249</v>
      </c>
      <c r="AN2131" s="3">
        <v>46063.763888888891</v>
      </c>
      <c r="AO2131" t="s">
        <v>818</v>
      </c>
    </row>
    <row r="2132" spans="1:41" x14ac:dyDescent="0.3">
      <c r="A2132" t="s">
        <v>41</v>
      </c>
      <c r="B2132" t="s">
        <v>4693</v>
      </c>
      <c r="C2132" t="s">
        <v>1850</v>
      </c>
      <c r="E2132" s="1">
        <v>46063</v>
      </c>
      <c r="F2132" t="s">
        <v>1376</v>
      </c>
      <c r="G2132" t="s">
        <v>45</v>
      </c>
      <c r="H2132" s="2">
        <v>0.33333333333333331</v>
      </c>
      <c r="I2132" s="2">
        <v>0.6875</v>
      </c>
      <c r="J2132" t="s">
        <v>4694</v>
      </c>
      <c r="L2132" t="s">
        <v>141</v>
      </c>
      <c r="M2132" t="s">
        <v>142</v>
      </c>
      <c r="N2132" t="s">
        <v>143</v>
      </c>
      <c r="O2132">
        <v>22649</v>
      </c>
      <c r="Q2132" t="s">
        <v>4437</v>
      </c>
      <c r="R2132" t="s">
        <v>51</v>
      </c>
      <c r="S2132" t="s">
        <v>52</v>
      </c>
      <c r="U2132">
        <v>890016</v>
      </c>
      <c r="V2132" s="3">
        <v>46059.495833333334</v>
      </c>
      <c r="W2132" t="s">
        <v>146</v>
      </c>
      <c r="X2132" t="s">
        <v>147</v>
      </c>
      <c r="Y2132" t="str">
        <f>"0407039143"</f>
        <v>0407039143</v>
      </c>
      <c r="Z2132" t="s">
        <v>70</v>
      </c>
      <c r="AA2132" s="1">
        <v>46063</v>
      </c>
      <c r="AB2132" t="s">
        <v>811</v>
      </c>
      <c r="AC2132" t="s">
        <v>4695</v>
      </c>
      <c r="AD2132" t="s">
        <v>41</v>
      </c>
      <c r="AE2132" t="s">
        <v>150</v>
      </c>
      <c r="AF2132">
        <v>4000</v>
      </c>
      <c r="AG2132" t="s">
        <v>4440</v>
      </c>
      <c r="AI2132" t="s">
        <v>59</v>
      </c>
      <c r="AL2132" t="s">
        <v>87</v>
      </c>
      <c r="AN2132" s="3">
        <v>46063.727777777778</v>
      </c>
      <c r="AO2132" t="s">
        <v>146</v>
      </c>
    </row>
    <row r="2133" spans="1:41" x14ac:dyDescent="0.3">
      <c r="A2133" t="s">
        <v>168</v>
      </c>
      <c r="B2133" t="s">
        <v>282</v>
      </c>
      <c r="C2133" t="s">
        <v>170</v>
      </c>
      <c r="D2133" t="s">
        <v>283</v>
      </c>
      <c r="E2133" s="1">
        <v>46063</v>
      </c>
      <c r="F2133" t="s">
        <v>1376</v>
      </c>
      <c r="G2133" t="s">
        <v>45</v>
      </c>
      <c r="H2133" s="2">
        <v>0.33333333333333331</v>
      </c>
      <c r="I2133" s="2">
        <v>0.5</v>
      </c>
      <c r="J2133" t="s">
        <v>170</v>
      </c>
      <c r="K2133" t="s">
        <v>77</v>
      </c>
      <c r="L2133" t="s">
        <v>204</v>
      </c>
      <c r="M2133" t="s">
        <v>205</v>
      </c>
      <c r="N2133" t="s">
        <v>206</v>
      </c>
      <c r="O2133">
        <v>21706</v>
      </c>
      <c r="Q2133" t="s">
        <v>294</v>
      </c>
      <c r="R2133" t="s">
        <v>231</v>
      </c>
      <c r="S2133" t="s">
        <v>52</v>
      </c>
      <c r="U2133">
        <v>889971</v>
      </c>
      <c r="V2133" s="3">
        <v>46062.604861111111</v>
      </c>
      <c r="W2133" t="s">
        <v>209</v>
      </c>
      <c r="X2133" t="s">
        <v>210</v>
      </c>
      <c r="Y2133" t="str">
        <f>"0415862070"</f>
        <v>0415862070</v>
      </c>
      <c r="Z2133" t="s">
        <v>366</v>
      </c>
      <c r="AB2133" t="s">
        <v>291</v>
      </c>
      <c r="AC2133" t="s">
        <v>292</v>
      </c>
      <c r="AD2133" t="s">
        <v>168</v>
      </c>
      <c r="AE2133" t="s">
        <v>293</v>
      </c>
      <c r="AF2133">
        <v>5037</v>
      </c>
      <c r="AG2133" t="s">
        <v>294</v>
      </c>
      <c r="AI2133" t="s">
        <v>59</v>
      </c>
      <c r="AL2133" t="s">
        <v>4696</v>
      </c>
      <c r="AN2133" s="3">
        <v>46063.520833333336</v>
      </c>
      <c r="AO2133" t="s">
        <v>209</v>
      </c>
    </row>
    <row r="2134" spans="1:41" x14ac:dyDescent="0.3">
      <c r="A2134" t="s">
        <v>168</v>
      </c>
      <c r="B2134" t="s">
        <v>607</v>
      </c>
      <c r="C2134" t="s">
        <v>267</v>
      </c>
      <c r="D2134" t="s">
        <v>268</v>
      </c>
      <c r="E2134" s="1">
        <v>46063</v>
      </c>
      <c r="F2134" t="s">
        <v>1376</v>
      </c>
      <c r="G2134" t="s">
        <v>45</v>
      </c>
      <c r="H2134" s="2">
        <v>0.33333333333333331</v>
      </c>
      <c r="I2134" s="2">
        <v>0.85416666666666663</v>
      </c>
      <c r="J2134" t="s">
        <v>269</v>
      </c>
      <c r="K2134" t="s">
        <v>608</v>
      </c>
      <c r="L2134" t="s">
        <v>609</v>
      </c>
      <c r="M2134" t="s">
        <v>610</v>
      </c>
      <c r="N2134" t="s">
        <v>611</v>
      </c>
      <c r="O2134">
        <v>5952121</v>
      </c>
      <c r="P2134" t="s">
        <v>249</v>
      </c>
      <c r="Q2134" t="s">
        <v>612</v>
      </c>
      <c r="R2134" t="s">
        <v>613</v>
      </c>
      <c r="S2134" t="s">
        <v>52</v>
      </c>
      <c r="T2134" t="s">
        <v>252</v>
      </c>
      <c r="U2134">
        <v>890618</v>
      </c>
      <c r="V2134" s="3">
        <v>46069.460416666669</v>
      </c>
      <c r="W2134" t="s">
        <v>613</v>
      </c>
      <c r="X2134" t="s">
        <v>614</v>
      </c>
      <c r="Y2134" t="str">
        <f>"0412297150"</f>
        <v>0412297150</v>
      </c>
      <c r="Z2134" t="s">
        <v>395</v>
      </c>
      <c r="AA2134" s="1">
        <v>46077</v>
      </c>
      <c r="AB2134" t="s">
        <v>615</v>
      </c>
      <c r="AC2134" t="s">
        <v>616</v>
      </c>
      <c r="AD2134" t="s">
        <v>168</v>
      </c>
      <c r="AE2134" t="s">
        <v>617</v>
      </c>
      <c r="AF2134">
        <v>5290</v>
      </c>
      <c r="AG2134" t="s">
        <v>618</v>
      </c>
      <c r="AI2134" t="s">
        <v>59</v>
      </c>
      <c r="AJ2134" t="str">
        <f>"0020171780"</f>
        <v>0020171780</v>
      </c>
      <c r="AN2134" s="3">
        <v>46069.460416666669</v>
      </c>
      <c r="AO2134" t="s">
        <v>613</v>
      </c>
    </row>
    <row r="2135" spans="1:41" x14ac:dyDescent="0.3">
      <c r="A2135" t="s">
        <v>61</v>
      </c>
      <c r="B2135" t="s">
        <v>126</v>
      </c>
      <c r="C2135" t="s">
        <v>43</v>
      </c>
      <c r="D2135" t="s">
        <v>127</v>
      </c>
      <c r="E2135" s="1">
        <v>46063</v>
      </c>
      <c r="F2135" t="s">
        <v>1376</v>
      </c>
      <c r="G2135" t="s">
        <v>45</v>
      </c>
      <c r="H2135" s="2">
        <v>0.33333333333333331</v>
      </c>
      <c r="I2135" s="2">
        <v>0.99861111111111112</v>
      </c>
      <c r="J2135" t="s">
        <v>100</v>
      </c>
      <c r="L2135" t="s">
        <v>100</v>
      </c>
      <c r="M2135" t="s">
        <v>153</v>
      </c>
      <c r="N2135" t="s">
        <v>154</v>
      </c>
      <c r="O2135">
        <v>21936</v>
      </c>
      <c r="Q2135" t="s">
        <v>131</v>
      </c>
      <c r="R2135" t="s">
        <v>132</v>
      </c>
      <c r="S2135" t="s">
        <v>52</v>
      </c>
      <c r="U2135">
        <v>889967</v>
      </c>
      <c r="V2135" s="3">
        <v>46042.632638888892</v>
      </c>
      <c r="W2135" t="s">
        <v>155</v>
      </c>
      <c r="X2135" t="s">
        <v>156</v>
      </c>
      <c r="Y2135" t="str">
        <f>"0425175454"</f>
        <v>0425175454</v>
      </c>
      <c r="Z2135" t="s">
        <v>264</v>
      </c>
      <c r="AB2135" t="s">
        <v>136</v>
      </c>
      <c r="AD2135" t="s">
        <v>61</v>
      </c>
      <c r="AE2135" t="s">
        <v>137</v>
      </c>
      <c r="AF2135">
        <v>2032</v>
      </c>
      <c r="AG2135" t="s">
        <v>131</v>
      </c>
      <c r="AI2135" t="s">
        <v>59</v>
      </c>
      <c r="AL2135" t="s">
        <v>4697</v>
      </c>
      <c r="AN2135" s="3">
        <v>46063.463194444441</v>
      </c>
      <c r="AO2135" t="s">
        <v>155</v>
      </c>
    </row>
    <row r="2136" spans="1:41" x14ac:dyDescent="0.3">
      <c r="A2136" t="s">
        <v>61</v>
      </c>
      <c r="B2136" t="s">
        <v>507</v>
      </c>
      <c r="C2136" t="s">
        <v>202</v>
      </c>
      <c r="D2136" t="s">
        <v>63</v>
      </c>
      <c r="E2136" s="1">
        <v>46063</v>
      </c>
      <c r="F2136" t="s">
        <v>1376</v>
      </c>
      <c r="G2136" t="s">
        <v>45</v>
      </c>
      <c r="H2136" s="2">
        <v>0.33333333333333331</v>
      </c>
      <c r="I2136" s="2">
        <v>0.5</v>
      </c>
      <c r="J2136" t="s">
        <v>46</v>
      </c>
      <c r="L2136" t="s">
        <v>47</v>
      </c>
      <c r="M2136" t="s">
        <v>351</v>
      </c>
      <c r="N2136" t="s">
        <v>352</v>
      </c>
      <c r="O2136">
        <v>5951965</v>
      </c>
      <c r="Q2136" t="s">
        <v>4698</v>
      </c>
      <c r="R2136" t="s">
        <v>132</v>
      </c>
      <c r="S2136" t="s">
        <v>52</v>
      </c>
      <c r="U2136">
        <v>889969</v>
      </c>
      <c r="V2136" s="3">
        <v>46062.351388888892</v>
      </c>
      <c r="W2136" t="s">
        <v>354</v>
      </c>
      <c r="X2136" t="s">
        <v>355</v>
      </c>
      <c r="Y2136" t="str">
        <f>"0430083393"</f>
        <v>0430083393</v>
      </c>
      <c r="Z2136" t="s">
        <v>70</v>
      </c>
      <c r="AA2136" s="1">
        <v>46063</v>
      </c>
      <c r="AB2136" t="s">
        <v>514</v>
      </c>
      <c r="AD2136" t="s">
        <v>61</v>
      </c>
      <c r="AE2136" t="s">
        <v>515</v>
      </c>
      <c r="AF2136">
        <v>2086</v>
      </c>
      <c r="AG2136" t="s">
        <v>4699</v>
      </c>
      <c r="AI2136" t="s">
        <v>59</v>
      </c>
      <c r="AL2136" t="s">
        <v>4700</v>
      </c>
      <c r="AN2136" s="3">
        <v>46063.498611111114</v>
      </c>
      <c r="AO2136" t="s">
        <v>354</v>
      </c>
    </row>
    <row r="2137" spans="1:41" x14ac:dyDescent="0.3">
      <c r="A2137" t="s">
        <v>168</v>
      </c>
      <c r="B2137" t="s">
        <v>689</v>
      </c>
      <c r="C2137" t="s">
        <v>43</v>
      </c>
      <c r="D2137" t="s">
        <v>268</v>
      </c>
      <c r="E2137" s="1">
        <v>46063</v>
      </c>
      <c r="F2137" t="s">
        <v>1376</v>
      </c>
      <c r="G2137" t="s">
        <v>45</v>
      </c>
      <c r="H2137" s="2">
        <v>0.33333333333333331</v>
      </c>
      <c r="I2137" s="2">
        <v>0.6875</v>
      </c>
      <c r="J2137" t="s">
        <v>100</v>
      </c>
      <c r="L2137" t="s">
        <v>100</v>
      </c>
      <c r="M2137" t="s">
        <v>862</v>
      </c>
      <c r="N2137" t="s">
        <v>863</v>
      </c>
      <c r="O2137">
        <v>5952375</v>
      </c>
      <c r="Q2137" t="s">
        <v>692</v>
      </c>
      <c r="R2137" t="s">
        <v>864</v>
      </c>
      <c r="S2137" t="s">
        <v>52</v>
      </c>
      <c r="T2137" t="s">
        <v>252</v>
      </c>
      <c r="U2137">
        <v>890107</v>
      </c>
      <c r="V2137" s="3">
        <v>46064.509027777778</v>
      </c>
      <c r="W2137" t="s">
        <v>864</v>
      </c>
      <c r="X2137" t="s">
        <v>865</v>
      </c>
      <c r="Y2137" t="str">
        <f>"0433092113"</f>
        <v>0433092113</v>
      </c>
      <c r="Z2137" t="s">
        <v>55</v>
      </c>
      <c r="AA2137" s="1">
        <v>46075</v>
      </c>
      <c r="AB2137" t="s">
        <v>695</v>
      </c>
      <c r="AD2137" t="s">
        <v>168</v>
      </c>
      <c r="AE2137" t="s">
        <v>696</v>
      </c>
      <c r="AF2137">
        <v>5606</v>
      </c>
      <c r="AG2137" t="s">
        <v>866</v>
      </c>
      <c r="AI2137" t="s">
        <v>59</v>
      </c>
      <c r="AJ2137" t="str">
        <f>"0020187960"</f>
        <v>0020187960</v>
      </c>
      <c r="AN2137" s="3">
        <v>46064.509027777778</v>
      </c>
      <c r="AO2137" t="s">
        <v>864</v>
      </c>
    </row>
    <row r="2138" spans="1:41" x14ac:dyDescent="0.3">
      <c r="A2138" t="s">
        <v>168</v>
      </c>
      <c r="B2138" t="s">
        <v>376</v>
      </c>
      <c r="C2138" t="s">
        <v>202</v>
      </c>
      <c r="D2138" t="s">
        <v>127</v>
      </c>
      <c r="E2138" s="1">
        <v>46063</v>
      </c>
      <c r="F2138" t="s">
        <v>1376</v>
      </c>
      <c r="G2138" t="s">
        <v>45</v>
      </c>
      <c r="H2138" s="2">
        <v>0.35416666666666669</v>
      </c>
      <c r="I2138" s="2">
        <v>0.6875</v>
      </c>
      <c r="J2138" t="s">
        <v>46</v>
      </c>
      <c r="L2138" t="s">
        <v>47</v>
      </c>
      <c r="M2138" t="s">
        <v>1603</v>
      </c>
      <c r="N2138" t="s">
        <v>1604</v>
      </c>
      <c r="O2138">
        <v>5952018</v>
      </c>
      <c r="Q2138" t="s">
        <v>1605</v>
      </c>
      <c r="R2138" t="s">
        <v>1923</v>
      </c>
      <c r="S2138" t="s">
        <v>52</v>
      </c>
      <c r="U2138">
        <v>890002</v>
      </c>
      <c r="V2138" s="3">
        <v>46062.497916666667</v>
      </c>
      <c r="W2138" t="s">
        <v>1606</v>
      </c>
      <c r="X2138" t="s">
        <v>1607</v>
      </c>
      <c r="Y2138" t="str">
        <f>"0415208433"</f>
        <v>0415208433</v>
      </c>
      <c r="Z2138" t="s">
        <v>70</v>
      </c>
      <c r="AA2138" s="1">
        <v>46063</v>
      </c>
      <c r="AB2138" t="s">
        <v>383</v>
      </c>
      <c r="AD2138" t="s">
        <v>168</v>
      </c>
      <c r="AE2138" t="s">
        <v>384</v>
      </c>
      <c r="AF2138">
        <v>5000</v>
      </c>
      <c r="AI2138" t="s">
        <v>59</v>
      </c>
      <c r="AL2138" t="s">
        <v>4701</v>
      </c>
      <c r="AN2138" s="3">
        <v>46063.621527777781</v>
      </c>
      <c r="AO2138" t="s">
        <v>1606</v>
      </c>
    </row>
    <row r="2139" spans="1:41" x14ac:dyDescent="0.3">
      <c r="A2139" t="s">
        <v>168</v>
      </c>
      <c r="B2139" t="s">
        <v>266</v>
      </c>
      <c r="C2139" t="s">
        <v>1150</v>
      </c>
      <c r="D2139" t="s">
        <v>268</v>
      </c>
      <c r="E2139" s="1">
        <v>46063</v>
      </c>
      <c r="F2139" t="s">
        <v>1376</v>
      </c>
      <c r="G2139" t="s">
        <v>45</v>
      </c>
      <c r="H2139" s="2">
        <v>0.35416666666666669</v>
      </c>
      <c r="I2139" s="2">
        <v>0.70833333333333337</v>
      </c>
      <c r="J2139" t="s">
        <v>101</v>
      </c>
      <c r="L2139" t="s">
        <v>159</v>
      </c>
      <c r="M2139" t="s">
        <v>500</v>
      </c>
      <c r="N2139" t="s">
        <v>4702</v>
      </c>
      <c r="O2139">
        <v>5951789</v>
      </c>
      <c r="Q2139" t="s">
        <v>869</v>
      </c>
      <c r="R2139" t="s">
        <v>176</v>
      </c>
      <c r="S2139" t="s">
        <v>52</v>
      </c>
      <c r="U2139">
        <v>889983</v>
      </c>
      <c r="V2139" s="3">
        <v>46058.690972222219</v>
      </c>
      <c r="W2139" t="s">
        <v>4703</v>
      </c>
      <c r="X2139" t="s">
        <v>4704</v>
      </c>
      <c r="Y2139" t="str">
        <f>"0499084888"</f>
        <v>0499084888</v>
      </c>
      <c r="Z2139" t="s">
        <v>70</v>
      </c>
      <c r="AA2139" s="1">
        <v>46063</v>
      </c>
      <c r="AB2139" t="s">
        <v>277</v>
      </c>
      <c r="AC2139" t="s">
        <v>278</v>
      </c>
      <c r="AD2139" t="s">
        <v>168</v>
      </c>
      <c r="AE2139" t="s">
        <v>279</v>
      </c>
      <c r="AF2139">
        <v>5092</v>
      </c>
      <c r="AG2139" t="s">
        <v>1090</v>
      </c>
      <c r="AI2139" t="s">
        <v>59</v>
      </c>
      <c r="AL2139" t="s">
        <v>4705</v>
      </c>
      <c r="AN2139" s="3">
        <v>46063.54583333333</v>
      </c>
      <c r="AO2139" t="s">
        <v>4703</v>
      </c>
    </row>
    <row r="2140" spans="1:41" x14ac:dyDescent="0.3">
      <c r="A2140" t="s">
        <v>61</v>
      </c>
      <c r="B2140" t="s">
        <v>182</v>
      </c>
      <c r="C2140" t="s">
        <v>183</v>
      </c>
      <c r="D2140" t="s">
        <v>184</v>
      </c>
      <c r="E2140" s="1">
        <v>46063</v>
      </c>
      <c r="F2140" t="s">
        <v>1376</v>
      </c>
      <c r="G2140" t="s">
        <v>45</v>
      </c>
      <c r="H2140" s="2">
        <v>0.35416666666666669</v>
      </c>
      <c r="I2140" s="2">
        <v>0.99930555555555556</v>
      </c>
      <c r="J2140" t="s">
        <v>185</v>
      </c>
      <c r="L2140" t="s">
        <v>790</v>
      </c>
      <c r="M2140" t="s">
        <v>791</v>
      </c>
      <c r="N2140" t="s">
        <v>792</v>
      </c>
      <c r="O2140">
        <v>5952334</v>
      </c>
      <c r="Q2140" t="s">
        <v>189</v>
      </c>
      <c r="R2140" t="s">
        <v>1248</v>
      </c>
      <c r="S2140" t="s">
        <v>52</v>
      </c>
      <c r="U2140">
        <v>890014</v>
      </c>
      <c r="V2140" s="3">
        <v>46063</v>
      </c>
      <c r="W2140" t="s">
        <v>793</v>
      </c>
      <c r="X2140" t="s">
        <v>794</v>
      </c>
      <c r="Y2140" t="str">
        <f>"0422273393"</f>
        <v>0422273393</v>
      </c>
      <c r="Z2140" t="s">
        <v>70</v>
      </c>
      <c r="AB2140" t="s">
        <v>193</v>
      </c>
      <c r="AD2140" t="s">
        <v>61</v>
      </c>
      <c r="AE2140" t="s">
        <v>194</v>
      </c>
      <c r="AF2140">
        <v>2229</v>
      </c>
      <c r="AG2140" t="s">
        <v>189</v>
      </c>
      <c r="AI2140" t="s">
        <v>59</v>
      </c>
      <c r="AL2140" t="s">
        <v>2285</v>
      </c>
      <c r="AN2140" s="3">
        <v>46063.722222222219</v>
      </c>
      <c r="AO2140" t="s">
        <v>793</v>
      </c>
    </row>
    <row r="2141" spans="1:41" x14ac:dyDescent="0.3">
      <c r="A2141" t="s">
        <v>168</v>
      </c>
      <c r="B2141" t="s">
        <v>847</v>
      </c>
      <c r="C2141" t="s">
        <v>848</v>
      </c>
      <c r="D2141" t="s">
        <v>268</v>
      </c>
      <c r="E2141" s="1">
        <v>46063</v>
      </c>
      <c r="F2141" t="s">
        <v>1376</v>
      </c>
      <c r="G2141" t="s">
        <v>45</v>
      </c>
      <c r="H2141" s="2">
        <v>0.35416666666666669</v>
      </c>
      <c r="I2141" s="2">
        <v>0.70833333333333337</v>
      </c>
      <c r="J2141" t="s">
        <v>101</v>
      </c>
      <c r="K2141" t="s">
        <v>849</v>
      </c>
      <c r="L2141" t="s">
        <v>47</v>
      </c>
      <c r="M2141" t="s">
        <v>1858</v>
      </c>
      <c r="N2141" t="s">
        <v>1859</v>
      </c>
      <c r="O2141">
        <v>22247</v>
      </c>
      <c r="Q2141" t="s">
        <v>857</v>
      </c>
      <c r="R2141" t="s">
        <v>231</v>
      </c>
      <c r="S2141" t="s">
        <v>52</v>
      </c>
      <c r="U2141">
        <v>890015</v>
      </c>
      <c r="V2141" s="3">
        <v>46035.578472222223</v>
      </c>
      <c r="W2141" t="s">
        <v>1860</v>
      </c>
      <c r="X2141" t="s">
        <v>1861</v>
      </c>
      <c r="Y2141" t="str">
        <f>"0450244995"</f>
        <v>0450244995</v>
      </c>
      <c r="Z2141" t="s">
        <v>2000</v>
      </c>
      <c r="AB2141" t="s">
        <v>847</v>
      </c>
      <c r="AC2141" t="s">
        <v>855</v>
      </c>
      <c r="AD2141" t="s">
        <v>168</v>
      </c>
      <c r="AE2141" t="s">
        <v>856</v>
      </c>
      <c r="AF2141">
        <v>5112</v>
      </c>
      <c r="AG2141" t="s">
        <v>857</v>
      </c>
      <c r="AI2141" t="s">
        <v>59</v>
      </c>
      <c r="AL2141" t="s">
        <v>4706</v>
      </c>
      <c r="AN2141" s="3">
        <v>46063.723611111112</v>
      </c>
      <c r="AO2141" t="s">
        <v>1860</v>
      </c>
    </row>
    <row r="2142" spans="1:41" x14ac:dyDescent="0.3">
      <c r="A2142" t="s">
        <v>61</v>
      </c>
      <c r="B2142" t="s">
        <v>655</v>
      </c>
      <c r="C2142" t="s">
        <v>43</v>
      </c>
      <c r="D2142" t="s">
        <v>656</v>
      </c>
      <c r="E2142" s="1">
        <v>46063</v>
      </c>
      <c r="F2142" t="s">
        <v>1376</v>
      </c>
      <c r="G2142" t="s">
        <v>45</v>
      </c>
      <c r="H2142" s="2">
        <v>0.35416666666666669</v>
      </c>
      <c r="I2142" s="2">
        <v>0.70833333333333337</v>
      </c>
      <c r="J2142" t="s">
        <v>100</v>
      </c>
      <c r="L2142" t="s">
        <v>100</v>
      </c>
      <c r="M2142" t="s">
        <v>1039</v>
      </c>
      <c r="N2142" t="s">
        <v>1040</v>
      </c>
      <c r="O2142">
        <v>5951110</v>
      </c>
      <c r="Q2142" t="s">
        <v>665</v>
      </c>
      <c r="R2142" t="s">
        <v>145</v>
      </c>
      <c r="S2142" t="s">
        <v>52</v>
      </c>
      <c r="U2142">
        <v>890008</v>
      </c>
      <c r="V2142" s="3">
        <v>46037.762499999997</v>
      </c>
      <c r="W2142" t="s">
        <v>1042</v>
      </c>
      <c r="X2142" t="s">
        <v>1043</v>
      </c>
      <c r="Y2142" t="str">
        <f>"0424952006"</f>
        <v>0424952006</v>
      </c>
      <c r="Z2142" t="s">
        <v>4707</v>
      </c>
      <c r="AB2142" t="s">
        <v>662</v>
      </c>
      <c r="AC2142" t="s">
        <v>663</v>
      </c>
      <c r="AD2142" t="s">
        <v>61</v>
      </c>
      <c r="AE2142" t="s">
        <v>664</v>
      </c>
      <c r="AF2142">
        <v>2067</v>
      </c>
      <c r="AG2142" t="s">
        <v>1571</v>
      </c>
      <c r="AI2142" t="s">
        <v>59</v>
      </c>
      <c r="AL2142" t="s">
        <v>4544</v>
      </c>
      <c r="AN2142" s="3">
        <v>46063.70208333333</v>
      </c>
      <c r="AO2142" t="s">
        <v>1042</v>
      </c>
    </row>
    <row r="2143" spans="1:41" x14ac:dyDescent="0.3">
      <c r="A2143" t="s">
        <v>874</v>
      </c>
      <c r="B2143" t="s">
        <v>875</v>
      </c>
      <c r="D2143" t="s">
        <v>388</v>
      </c>
      <c r="E2143" s="1">
        <v>46063</v>
      </c>
      <c r="F2143" t="s">
        <v>1376</v>
      </c>
      <c r="G2143" t="s">
        <v>45</v>
      </c>
      <c r="H2143" s="2">
        <v>0.35416666666666669</v>
      </c>
      <c r="I2143" s="2">
        <v>0.70833333333333337</v>
      </c>
      <c r="J2143" t="s">
        <v>876</v>
      </c>
      <c r="L2143" t="s">
        <v>877</v>
      </c>
      <c r="M2143" t="s">
        <v>878</v>
      </c>
      <c r="N2143" t="s">
        <v>879</v>
      </c>
      <c r="O2143">
        <v>5951689</v>
      </c>
      <c r="P2143" t="s">
        <v>249</v>
      </c>
      <c r="Q2143" t="s">
        <v>880</v>
      </c>
      <c r="R2143" t="s">
        <v>392</v>
      </c>
      <c r="S2143" t="s">
        <v>52</v>
      </c>
      <c r="T2143" t="s">
        <v>252</v>
      </c>
      <c r="U2143">
        <v>890595</v>
      </c>
      <c r="V2143" s="3">
        <v>46069.382638888892</v>
      </c>
      <c r="W2143" t="s">
        <v>881</v>
      </c>
      <c r="X2143" t="s">
        <v>882</v>
      </c>
      <c r="Y2143" t="str">
        <f>"0474765680"</f>
        <v>0474765680</v>
      </c>
      <c r="Z2143" t="s">
        <v>254</v>
      </c>
      <c r="AA2143" s="1">
        <v>46110</v>
      </c>
      <c r="AB2143" t="s">
        <v>883</v>
      </c>
      <c r="AD2143" t="s">
        <v>397</v>
      </c>
      <c r="AE2143" t="s">
        <v>884</v>
      </c>
      <c r="AG2143" t="s">
        <v>880</v>
      </c>
      <c r="AI2143" t="s">
        <v>59</v>
      </c>
      <c r="AJ2143" t="str">
        <f>"0090000061"</f>
        <v>0090000061</v>
      </c>
      <c r="AN2143" s="3">
        <v>46069.382638888892</v>
      </c>
      <c r="AO2143" t="s">
        <v>392</v>
      </c>
    </row>
    <row r="2144" spans="1:41" x14ac:dyDescent="0.3">
      <c r="A2144" t="s">
        <v>306</v>
      </c>
      <c r="B2144" t="s">
        <v>820</v>
      </c>
      <c r="C2144" t="s">
        <v>100</v>
      </c>
      <c r="D2144" t="s">
        <v>127</v>
      </c>
      <c r="E2144" s="1">
        <v>46063</v>
      </c>
      <c r="F2144" t="s">
        <v>1376</v>
      </c>
      <c r="G2144" t="s">
        <v>45</v>
      </c>
      <c r="H2144" s="2">
        <v>0.375</v>
      </c>
      <c r="I2144" s="2">
        <v>0.75</v>
      </c>
      <c r="J2144" t="s">
        <v>451</v>
      </c>
      <c r="L2144" t="s">
        <v>452</v>
      </c>
      <c r="M2144" t="s">
        <v>821</v>
      </c>
      <c r="N2144" t="s">
        <v>822</v>
      </c>
      <c r="O2144">
        <v>20712</v>
      </c>
      <c r="Q2144" t="s">
        <v>823</v>
      </c>
      <c r="R2144" t="s">
        <v>476</v>
      </c>
      <c r="S2144" t="s">
        <v>52</v>
      </c>
      <c r="U2144">
        <v>890006</v>
      </c>
      <c r="V2144" s="3">
        <v>46057.549305555556</v>
      </c>
      <c r="W2144" t="s">
        <v>824</v>
      </c>
      <c r="X2144" t="s">
        <v>825</v>
      </c>
      <c r="Y2144" t="str">
        <f>"0439419256"</f>
        <v>0439419256</v>
      </c>
      <c r="Z2144" t="s">
        <v>70</v>
      </c>
      <c r="AA2144" s="1">
        <v>46063</v>
      </c>
      <c r="AB2144" t="s">
        <v>826</v>
      </c>
      <c r="AD2144" t="s">
        <v>306</v>
      </c>
      <c r="AE2144" t="s">
        <v>827</v>
      </c>
      <c r="AF2144">
        <v>3181</v>
      </c>
      <c r="AG2144" t="s">
        <v>823</v>
      </c>
      <c r="AI2144" t="s">
        <v>59</v>
      </c>
      <c r="AL2144" t="s">
        <v>87</v>
      </c>
      <c r="AN2144" s="3">
        <v>46063.661111111112</v>
      </c>
      <c r="AO2144" t="s">
        <v>824</v>
      </c>
    </row>
    <row r="2145" spans="1:41" x14ac:dyDescent="0.3">
      <c r="A2145" t="s">
        <v>41</v>
      </c>
      <c r="B2145" t="s">
        <v>551</v>
      </c>
      <c r="C2145" t="s">
        <v>1547</v>
      </c>
      <c r="D2145" t="s">
        <v>246</v>
      </c>
      <c r="E2145" s="1">
        <v>46063</v>
      </c>
      <c r="F2145" t="s">
        <v>1376</v>
      </c>
      <c r="G2145" t="s">
        <v>45</v>
      </c>
      <c r="H2145" s="2">
        <v>0.375</v>
      </c>
      <c r="I2145" s="2">
        <v>0.72916666666666663</v>
      </c>
      <c r="J2145" t="s">
        <v>46</v>
      </c>
      <c r="K2145" t="s">
        <v>427</v>
      </c>
      <c r="L2145" t="s">
        <v>2575</v>
      </c>
      <c r="M2145" t="s">
        <v>2576</v>
      </c>
      <c r="N2145" t="s">
        <v>2577</v>
      </c>
      <c r="O2145">
        <v>5952360</v>
      </c>
      <c r="Q2145" t="s">
        <v>4498</v>
      </c>
      <c r="R2145" t="s">
        <v>723</v>
      </c>
      <c r="S2145" t="s">
        <v>52</v>
      </c>
      <c r="U2145">
        <v>890024</v>
      </c>
      <c r="V2145" s="3">
        <v>46059.565972222219</v>
      </c>
      <c r="W2145" t="s">
        <v>2579</v>
      </c>
      <c r="X2145" t="s">
        <v>2580</v>
      </c>
      <c r="Y2145" t="str">
        <f>"0451263547"</f>
        <v>0451263547</v>
      </c>
      <c r="Z2145" t="s">
        <v>254</v>
      </c>
      <c r="AB2145" t="s">
        <v>559</v>
      </c>
      <c r="AD2145" t="s">
        <v>41</v>
      </c>
      <c r="AE2145" t="s">
        <v>560</v>
      </c>
      <c r="AF2145">
        <v>4131</v>
      </c>
      <c r="AG2145" t="s">
        <v>2261</v>
      </c>
      <c r="AI2145" t="s">
        <v>59</v>
      </c>
      <c r="AL2145" t="s">
        <v>4708</v>
      </c>
      <c r="AM2145" t="s">
        <v>2263</v>
      </c>
      <c r="AN2145" s="3">
        <v>46063.759722222225</v>
      </c>
      <c r="AO2145" t="s">
        <v>2579</v>
      </c>
    </row>
    <row r="2146" spans="1:41" x14ac:dyDescent="0.3">
      <c r="A2146" t="s">
        <v>306</v>
      </c>
      <c r="B2146" t="s">
        <v>450</v>
      </c>
      <c r="C2146" t="s">
        <v>100</v>
      </c>
      <c r="D2146" t="s">
        <v>63</v>
      </c>
      <c r="E2146" s="1">
        <v>46063</v>
      </c>
      <c r="F2146" t="s">
        <v>1376</v>
      </c>
      <c r="G2146" t="s">
        <v>128</v>
      </c>
      <c r="H2146" s="2">
        <v>0.375</v>
      </c>
      <c r="I2146" s="2">
        <v>0.625</v>
      </c>
      <c r="J2146" t="s">
        <v>451</v>
      </c>
      <c r="L2146" t="s">
        <v>452</v>
      </c>
      <c r="M2146" t="s">
        <v>1980</v>
      </c>
      <c r="N2146" t="s">
        <v>1981</v>
      </c>
      <c r="O2146">
        <v>21297</v>
      </c>
      <c r="Q2146" t="s">
        <v>455</v>
      </c>
      <c r="R2146" t="s">
        <v>476</v>
      </c>
      <c r="S2146" t="s">
        <v>52</v>
      </c>
      <c r="U2146">
        <v>889993</v>
      </c>
      <c r="V2146" s="3">
        <v>46062.384027777778</v>
      </c>
      <c r="W2146" t="s">
        <v>1983</v>
      </c>
      <c r="X2146" t="s">
        <v>1984</v>
      </c>
      <c r="Y2146" t="str">
        <f>"0434131195"</f>
        <v>0434131195</v>
      </c>
      <c r="Z2146" t="s">
        <v>70</v>
      </c>
      <c r="AA2146" s="1">
        <v>46063</v>
      </c>
      <c r="AB2146" t="s">
        <v>459</v>
      </c>
      <c r="AD2146" t="s">
        <v>306</v>
      </c>
      <c r="AE2146" t="s">
        <v>460</v>
      </c>
      <c r="AF2146">
        <v>3058</v>
      </c>
      <c r="AG2146" t="s">
        <v>455</v>
      </c>
      <c r="AI2146" t="s">
        <v>59</v>
      </c>
      <c r="AL2146" t="s">
        <v>4709</v>
      </c>
      <c r="AN2146" s="3">
        <v>46063.599305555559</v>
      </c>
      <c r="AO2146" t="s">
        <v>1983</v>
      </c>
    </row>
    <row r="2147" spans="1:41" x14ac:dyDescent="0.3">
      <c r="A2147" t="s">
        <v>61</v>
      </c>
      <c r="B2147" t="s">
        <v>655</v>
      </c>
      <c r="C2147" t="s">
        <v>43</v>
      </c>
      <c r="D2147" t="s">
        <v>656</v>
      </c>
      <c r="E2147" s="1">
        <v>46063</v>
      </c>
      <c r="F2147" t="s">
        <v>1376</v>
      </c>
      <c r="G2147" t="s">
        <v>45</v>
      </c>
      <c r="H2147" s="2">
        <v>0.41666666666666669</v>
      </c>
      <c r="I2147" s="2">
        <v>0.99861111111111112</v>
      </c>
      <c r="J2147" t="s">
        <v>101</v>
      </c>
      <c r="L2147" t="s">
        <v>47</v>
      </c>
      <c r="M2147" t="s">
        <v>785</v>
      </c>
      <c r="N2147" t="s">
        <v>905</v>
      </c>
      <c r="O2147">
        <v>5950885</v>
      </c>
      <c r="Q2147" t="s">
        <v>665</v>
      </c>
      <c r="R2147" t="s">
        <v>67</v>
      </c>
      <c r="S2147" t="s">
        <v>52</v>
      </c>
      <c r="U2147">
        <v>890043</v>
      </c>
      <c r="V2147" s="3">
        <v>46042.432638888888</v>
      </c>
      <c r="W2147" t="s">
        <v>906</v>
      </c>
      <c r="X2147" t="s">
        <v>907</v>
      </c>
      <c r="Y2147" t="str">
        <f>"0421650139"</f>
        <v>0421650139</v>
      </c>
      <c r="Z2147" t="s">
        <v>4710</v>
      </c>
      <c r="AB2147" t="s">
        <v>662</v>
      </c>
      <c r="AC2147" t="s">
        <v>663</v>
      </c>
      <c r="AD2147" t="s">
        <v>61</v>
      </c>
      <c r="AE2147" t="s">
        <v>664</v>
      </c>
      <c r="AF2147">
        <v>2067</v>
      </c>
      <c r="AG2147" t="s">
        <v>665</v>
      </c>
      <c r="AI2147" t="s">
        <v>59</v>
      </c>
      <c r="AL2147" t="s">
        <v>4711</v>
      </c>
      <c r="AN2147" s="3">
        <v>46063.806250000001</v>
      </c>
      <c r="AO2147" t="s">
        <v>906</v>
      </c>
    </row>
    <row r="2148" spans="1:41" x14ac:dyDescent="0.3">
      <c r="A2148" t="s">
        <v>61</v>
      </c>
      <c r="B2148" t="s">
        <v>507</v>
      </c>
      <c r="C2148" t="s">
        <v>2889</v>
      </c>
      <c r="D2148" t="s">
        <v>63</v>
      </c>
      <c r="E2148" s="1">
        <v>46063</v>
      </c>
      <c r="F2148" t="s">
        <v>1376</v>
      </c>
      <c r="G2148" t="s">
        <v>45</v>
      </c>
      <c r="H2148" s="2">
        <v>0.41666666666666669</v>
      </c>
      <c r="I2148" s="2">
        <v>0.9375</v>
      </c>
      <c r="J2148" t="s">
        <v>269</v>
      </c>
      <c r="L2148" t="s">
        <v>633</v>
      </c>
      <c r="M2148" t="s">
        <v>4410</v>
      </c>
      <c r="N2148" t="s">
        <v>4411</v>
      </c>
      <c r="O2148">
        <v>402158</v>
      </c>
      <c r="Q2148" t="s">
        <v>2895</v>
      </c>
      <c r="R2148" t="s">
        <v>132</v>
      </c>
      <c r="S2148" t="s">
        <v>52</v>
      </c>
      <c r="U2148">
        <v>890083</v>
      </c>
      <c r="V2148" s="3">
        <v>46051.465277777781</v>
      </c>
      <c r="W2148" t="s">
        <v>4412</v>
      </c>
      <c r="X2148" t="s">
        <v>4413</v>
      </c>
      <c r="Y2148" t="str">
        <f>"0423590735"</f>
        <v>0423590735</v>
      </c>
      <c r="Z2148" t="s">
        <v>84</v>
      </c>
      <c r="AB2148" t="s">
        <v>514</v>
      </c>
      <c r="AD2148" t="s">
        <v>61</v>
      </c>
      <c r="AE2148" t="s">
        <v>515</v>
      </c>
      <c r="AF2148">
        <v>2086</v>
      </c>
      <c r="AG2148" t="s">
        <v>2895</v>
      </c>
      <c r="AI2148" t="s">
        <v>59</v>
      </c>
      <c r="AL2148" t="s">
        <v>4544</v>
      </c>
      <c r="AN2148" s="3">
        <v>46063.943055555559</v>
      </c>
      <c r="AO2148" t="s">
        <v>4412</v>
      </c>
    </row>
    <row r="2149" spans="1:41" x14ac:dyDescent="0.3">
      <c r="A2149" t="s">
        <v>61</v>
      </c>
      <c r="B2149" t="s">
        <v>753</v>
      </c>
      <c r="C2149" t="s">
        <v>202</v>
      </c>
      <c r="D2149" t="s">
        <v>754</v>
      </c>
      <c r="E2149" s="1">
        <v>46063</v>
      </c>
      <c r="F2149" t="s">
        <v>1376</v>
      </c>
      <c r="G2149" t="s">
        <v>45</v>
      </c>
      <c r="H2149" s="2">
        <v>0.41666666666666669</v>
      </c>
      <c r="I2149" s="2">
        <v>0.75</v>
      </c>
      <c r="J2149" t="s">
        <v>46</v>
      </c>
      <c r="L2149" t="s">
        <v>47</v>
      </c>
      <c r="M2149" t="s">
        <v>91</v>
      </c>
      <c r="N2149" t="s">
        <v>92</v>
      </c>
      <c r="O2149">
        <v>5950650</v>
      </c>
      <c r="Q2149" t="s">
        <v>1710</v>
      </c>
      <c r="R2149" t="s">
        <v>67</v>
      </c>
      <c r="S2149" t="s">
        <v>52</v>
      </c>
      <c r="U2149">
        <v>890023</v>
      </c>
      <c r="V2149" s="3">
        <v>46063.34097222222</v>
      </c>
      <c r="W2149" t="s">
        <v>94</v>
      </c>
      <c r="X2149" t="s">
        <v>95</v>
      </c>
      <c r="Y2149" t="str">
        <f>"0493332534"</f>
        <v>0493332534</v>
      </c>
      <c r="Z2149" t="s">
        <v>70</v>
      </c>
      <c r="AA2149" s="1">
        <v>46063</v>
      </c>
      <c r="AB2149" t="s">
        <v>764</v>
      </c>
      <c r="AD2149" t="s">
        <v>61</v>
      </c>
      <c r="AE2149" t="s">
        <v>765</v>
      </c>
      <c r="AF2149">
        <v>2220</v>
      </c>
      <c r="AG2149" t="s">
        <v>1710</v>
      </c>
      <c r="AI2149" t="s">
        <v>59</v>
      </c>
      <c r="AL2149" t="s">
        <v>370</v>
      </c>
      <c r="AN2149" s="3">
        <v>46063.758333333331</v>
      </c>
      <c r="AO2149" t="s">
        <v>94</v>
      </c>
    </row>
    <row r="2150" spans="1:41" x14ac:dyDescent="0.3">
      <c r="A2150" t="s">
        <v>61</v>
      </c>
      <c r="B2150" t="s">
        <v>753</v>
      </c>
      <c r="C2150" t="s">
        <v>202</v>
      </c>
      <c r="D2150" t="s">
        <v>754</v>
      </c>
      <c r="E2150" s="1">
        <v>46063</v>
      </c>
      <c r="F2150" t="s">
        <v>1376</v>
      </c>
      <c r="G2150" t="s">
        <v>45</v>
      </c>
      <c r="H2150" s="2">
        <v>0.41666666666666669</v>
      </c>
      <c r="I2150" s="2">
        <v>0.98958333333333337</v>
      </c>
      <c r="J2150" t="s">
        <v>46</v>
      </c>
      <c r="L2150" t="s">
        <v>47</v>
      </c>
      <c r="M2150" t="s">
        <v>1080</v>
      </c>
      <c r="N2150" t="s">
        <v>1081</v>
      </c>
      <c r="O2150">
        <v>5951255</v>
      </c>
      <c r="Q2150" t="s">
        <v>4712</v>
      </c>
      <c r="R2150" t="s">
        <v>67</v>
      </c>
      <c r="S2150" t="s">
        <v>52</v>
      </c>
      <c r="U2150">
        <v>890027</v>
      </c>
      <c r="V2150" s="3">
        <v>46062.451388888891</v>
      </c>
      <c r="W2150" t="s">
        <v>1083</v>
      </c>
      <c r="X2150" t="s">
        <v>1084</v>
      </c>
      <c r="Y2150" t="str">
        <f>"0451307044"</f>
        <v>0451307044</v>
      </c>
      <c r="Z2150" t="s">
        <v>70</v>
      </c>
      <c r="AA2150" s="1">
        <v>46063</v>
      </c>
      <c r="AB2150" t="s">
        <v>764</v>
      </c>
      <c r="AD2150" t="s">
        <v>61</v>
      </c>
      <c r="AE2150" t="s">
        <v>765</v>
      </c>
      <c r="AF2150">
        <v>2220</v>
      </c>
      <c r="AG2150" t="s">
        <v>4712</v>
      </c>
      <c r="AI2150" t="s">
        <v>59</v>
      </c>
      <c r="AL2150" t="s">
        <v>4713</v>
      </c>
      <c r="AN2150" s="3">
        <v>46063.772916666669</v>
      </c>
      <c r="AO2150" t="s">
        <v>1083</v>
      </c>
    </row>
    <row r="2151" spans="1:41" x14ac:dyDescent="0.3">
      <c r="A2151" t="s">
        <v>75</v>
      </c>
      <c r="B2151" t="s">
        <v>76</v>
      </c>
      <c r="C2151" t="s">
        <v>43</v>
      </c>
      <c r="D2151" t="s">
        <v>63</v>
      </c>
      <c r="E2151" s="1">
        <v>46063</v>
      </c>
      <c r="F2151" t="s">
        <v>1376</v>
      </c>
      <c r="G2151" t="s">
        <v>45</v>
      </c>
      <c r="H2151" s="2">
        <v>0.45833333333333331</v>
      </c>
      <c r="I2151" s="2">
        <v>0.89583333333333337</v>
      </c>
      <c r="J2151" t="s">
        <v>46</v>
      </c>
      <c r="K2151" t="s">
        <v>77</v>
      </c>
      <c r="L2151" t="s">
        <v>47</v>
      </c>
      <c r="M2151" t="s">
        <v>954</v>
      </c>
      <c r="N2151" t="s">
        <v>955</v>
      </c>
      <c r="O2151">
        <v>5952037</v>
      </c>
      <c r="Q2151" t="s">
        <v>80</v>
      </c>
      <c r="R2151" t="s">
        <v>926</v>
      </c>
      <c r="S2151" t="s">
        <v>52</v>
      </c>
      <c r="U2151">
        <v>890085</v>
      </c>
      <c r="V2151" s="3">
        <v>46059.502083333333</v>
      </c>
      <c r="W2151" t="s">
        <v>957</v>
      </c>
      <c r="X2151" t="s">
        <v>958</v>
      </c>
      <c r="Y2151" t="str">
        <f>"0452457162"</f>
        <v>0452457162</v>
      </c>
      <c r="Z2151" t="s">
        <v>70</v>
      </c>
      <c r="AA2151" s="1">
        <v>46063</v>
      </c>
      <c r="AB2151" t="s">
        <v>85</v>
      </c>
      <c r="AD2151" t="s">
        <v>75</v>
      </c>
      <c r="AE2151" t="s">
        <v>86</v>
      </c>
      <c r="AF2151">
        <v>6000</v>
      </c>
      <c r="AG2151" t="s">
        <v>80</v>
      </c>
      <c r="AI2151" t="s">
        <v>59</v>
      </c>
      <c r="AL2151" t="s">
        <v>4714</v>
      </c>
      <c r="AN2151" s="3">
        <v>46063.95416666667</v>
      </c>
      <c r="AO2151" t="s">
        <v>957</v>
      </c>
    </row>
    <row r="2152" spans="1:41" x14ac:dyDescent="0.3">
      <c r="A2152" t="s">
        <v>61</v>
      </c>
      <c r="B2152" t="s">
        <v>62</v>
      </c>
      <c r="C2152" t="s">
        <v>43</v>
      </c>
      <c r="D2152" t="s">
        <v>63</v>
      </c>
      <c r="E2152" s="1">
        <v>46063</v>
      </c>
      <c r="F2152" t="s">
        <v>1376</v>
      </c>
      <c r="G2152" t="s">
        <v>45</v>
      </c>
      <c r="H2152" s="2">
        <v>0.45833333333333331</v>
      </c>
      <c r="I2152" s="2">
        <v>0.8125</v>
      </c>
      <c r="J2152" t="s">
        <v>46</v>
      </c>
      <c r="L2152" t="s">
        <v>47</v>
      </c>
      <c r="M2152" t="s">
        <v>4447</v>
      </c>
      <c r="N2152" t="s">
        <v>4448</v>
      </c>
      <c r="O2152">
        <v>22791</v>
      </c>
      <c r="Q2152" t="s">
        <v>66</v>
      </c>
      <c r="R2152" t="s">
        <v>67</v>
      </c>
      <c r="S2152" t="s">
        <v>52</v>
      </c>
      <c r="U2152">
        <v>890045</v>
      </c>
      <c r="V2152" s="3">
        <v>46056.431944444441</v>
      </c>
      <c r="W2152" t="s">
        <v>4449</v>
      </c>
      <c r="X2152" t="s">
        <v>4450</v>
      </c>
      <c r="Y2152" t="str">
        <f>"0422247376"</f>
        <v>0422247376</v>
      </c>
      <c r="Z2152" t="s">
        <v>1382</v>
      </c>
      <c r="AB2152" t="s">
        <v>71</v>
      </c>
      <c r="AD2152" t="s">
        <v>61</v>
      </c>
      <c r="AE2152" t="s">
        <v>72</v>
      </c>
      <c r="AF2152">
        <v>2747</v>
      </c>
      <c r="AG2152" t="s">
        <v>73</v>
      </c>
      <c r="AI2152" t="s">
        <v>59</v>
      </c>
      <c r="AL2152" t="s">
        <v>4715</v>
      </c>
      <c r="AN2152" s="3">
        <v>46063.811111111114</v>
      </c>
      <c r="AO2152" t="s">
        <v>4449</v>
      </c>
    </row>
    <row r="2153" spans="1:41" x14ac:dyDescent="0.3">
      <c r="A2153" t="s">
        <v>168</v>
      </c>
      <c r="B2153" t="s">
        <v>409</v>
      </c>
      <c r="C2153" t="s">
        <v>100</v>
      </c>
      <c r="D2153" t="s">
        <v>309</v>
      </c>
      <c r="E2153" s="1">
        <v>46063</v>
      </c>
      <c r="F2153" t="s">
        <v>1376</v>
      </c>
      <c r="G2153" t="s">
        <v>128</v>
      </c>
      <c r="H2153" s="2">
        <v>0.5</v>
      </c>
      <c r="I2153" s="2">
        <v>0.83333333333333337</v>
      </c>
      <c r="J2153" t="s">
        <v>100</v>
      </c>
      <c r="L2153" t="s">
        <v>100</v>
      </c>
      <c r="M2153" t="s">
        <v>2716</v>
      </c>
      <c r="N2153" t="s">
        <v>2717</v>
      </c>
      <c r="O2153">
        <v>5950873</v>
      </c>
      <c r="Q2153" t="s">
        <v>413</v>
      </c>
      <c r="R2153" t="s">
        <v>1248</v>
      </c>
      <c r="S2153" t="s">
        <v>52</v>
      </c>
      <c r="U2153">
        <v>890060</v>
      </c>
      <c r="V2153" s="3">
        <v>46062.870138888888</v>
      </c>
      <c r="W2153" t="s">
        <v>2718</v>
      </c>
      <c r="X2153" t="s">
        <v>2719</v>
      </c>
      <c r="Y2153" t="str">
        <f>"61401208429"</f>
        <v>61401208429</v>
      </c>
      <c r="Z2153" t="s">
        <v>70</v>
      </c>
      <c r="AA2153" s="1">
        <v>46063</v>
      </c>
      <c r="AB2153" t="s">
        <v>417</v>
      </c>
      <c r="AD2153" t="s">
        <v>168</v>
      </c>
      <c r="AE2153" t="s">
        <v>384</v>
      </c>
      <c r="AF2153">
        <v>5000</v>
      </c>
      <c r="AI2153" t="s">
        <v>59</v>
      </c>
      <c r="AL2153" t="s">
        <v>4716</v>
      </c>
      <c r="AM2153" t="s">
        <v>4717</v>
      </c>
      <c r="AN2153" s="3">
        <v>46063.829861111109</v>
      </c>
      <c r="AO2153" t="s">
        <v>2718</v>
      </c>
    </row>
    <row r="2154" spans="1:41" x14ac:dyDescent="0.3">
      <c r="A2154" t="s">
        <v>168</v>
      </c>
      <c r="B2154" t="s">
        <v>441</v>
      </c>
      <c r="C2154" t="s">
        <v>100</v>
      </c>
      <c r="E2154" s="1">
        <v>46063</v>
      </c>
      <c r="F2154" t="s">
        <v>1376</v>
      </c>
      <c r="G2154" t="s">
        <v>128</v>
      </c>
      <c r="H2154" s="2">
        <v>0.5</v>
      </c>
      <c r="I2154" s="2">
        <v>0.83333333333333337</v>
      </c>
      <c r="J2154" t="s">
        <v>100</v>
      </c>
      <c r="L2154" t="s">
        <v>100</v>
      </c>
      <c r="M2154" t="s">
        <v>975</v>
      </c>
      <c r="N2154" t="s">
        <v>976</v>
      </c>
      <c r="O2154">
        <v>5950948</v>
      </c>
      <c r="Q2154" t="s">
        <v>977</v>
      </c>
      <c r="R2154" t="s">
        <v>231</v>
      </c>
      <c r="S2154" t="s">
        <v>52</v>
      </c>
      <c r="U2154">
        <v>890067</v>
      </c>
      <c r="V2154" s="3">
        <v>46029.513888888891</v>
      </c>
      <c r="W2154" t="s">
        <v>978</v>
      </c>
      <c r="X2154" t="s">
        <v>979</v>
      </c>
      <c r="Y2154" t="str">
        <f>"0451011613"</f>
        <v>0451011613</v>
      </c>
      <c r="Z2154" t="s">
        <v>3543</v>
      </c>
      <c r="AB2154" t="s">
        <v>448</v>
      </c>
      <c r="AD2154" t="s">
        <v>168</v>
      </c>
      <c r="AE2154" t="s">
        <v>180</v>
      </c>
      <c r="AF2154">
        <v>5063</v>
      </c>
      <c r="AG2154" t="s">
        <v>981</v>
      </c>
      <c r="AI2154" t="s">
        <v>59</v>
      </c>
      <c r="AL2154" t="s">
        <v>4484</v>
      </c>
      <c r="AN2154" s="3">
        <v>46063.847916666666</v>
      </c>
      <c r="AO2154" t="s">
        <v>978</v>
      </c>
    </row>
    <row r="2155" spans="1:41" x14ac:dyDescent="0.3">
      <c r="A2155" t="s">
        <v>168</v>
      </c>
      <c r="B2155" t="s">
        <v>409</v>
      </c>
      <c r="C2155" t="s">
        <v>1727</v>
      </c>
      <c r="D2155" t="s">
        <v>309</v>
      </c>
      <c r="E2155" s="1">
        <v>46063</v>
      </c>
      <c r="F2155" t="s">
        <v>1376</v>
      </c>
      <c r="G2155" t="s">
        <v>128</v>
      </c>
      <c r="H2155" s="2">
        <v>0.5</v>
      </c>
      <c r="I2155" s="2">
        <v>0.83333333333333337</v>
      </c>
      <c r="J2155" t="s">
        <v>1875</v>
      </c>
      <c r="K2155" t="s">
        <v>171</v>
      </c>
      <c r="M2155" t="s">
        <v>1541</v>
      </c>
      <c r="N2155" t="s">
        <v>1542</v>
      </c>
      <c r="O2155">
        <v>5952200</v>
      </c>
      <c r="Q2155" t="s">
        <v>705</v>
      </c>
      <c r="R2155" t="s">
        <v>500</v>
      </c>
      <c r="S2155" t="s">
        <v>119</v>
      </c>
      <c r="U2155">
        <v>890481</v>
      </c>
      <c r="V2155" s="3">
        <v>46056.810416666667</v>
      </c>
      <c r="W2155" t="s">
        <v>1543</v>
      </c>
      <c r="X2155" t="s">
        <v>1544</v>
      </c>
      <c r="Y2155" t="str">
        <f>"0450971472"</f>
        <v>0450971472</v>
      </c>
      <c r="Z2155" t="s">
        <v>70</v>
      </c>
      <c r="AB2155" t="s">
        <v>417</v>
      </c>
      <c r="AD2155" t="s">
        <v>168</v>
      </c>
      <c r="AE2155" t="s">
        <v>384</v>
      </c>
      <c r="AF2155">
        <v>5000</v>
      </c>
      <c r="AI2155" t="s">
        <v>59</v>
      </c>
      <c r="AL2155" t="s">
        <v>4718</v>
      </c>
      <c r="AM2155" t="s">
        <v>4718</v>
      </c>
      <c r="AN2155" s="3">
        <v>46063.444444444445</v>
      </c>
      <c r="AO2155" t="s">
        <v>231</v>
      </c>
    </row>
    <row r="2156" spans="1:41" x14ac:dyDescent="0.3">
      <c r="A2156" t="s">
        <v>168</v>
      </c>
      <c r="B2156" t="s">
        <v>982</v>
      </c>
      <c r="C2156" t="s">
        <v>100</v>
      </c>
      <c r="D2156" t="s">
        <v>127</v>
      </c>
      <c r="E2156" s="1">
        <v>46063</v>
      </c>
      <c r="F2156" t="s">
        <v>1376</v>
      </c>
      <c r="G2156" t="s">
        <v>128</v>
      </c>
      <c r="H2156" s="2">
        <v>0.5</v>
      </c>
      <c r="I2156" s="2">
        <v>0.83333333333333337</v>
      </c>
      <c r="J2156" t="s">
        <v>100</v>
      </c>
      <c r="L2156" t="s">
        <v>100</v>
      </c>
      <c r="M2156" t="s">
        <v>411</v>
      </c>
      <c r="N2156" t="s">
        <v>412</v>
      </c>
      <c r="O2156">
        <v>228</v>
      </c>
      <c r="Q2156" t="s">
        <v>983</v>
      </c>
      <c r="R2156" t="s">
        <v>231</v>
      </c>
      <c r="S2156" t="s">
        <v>52</v>
      </c>
      <c r="U2156">
        <v>890071</v>
      </c>
      <c r="V2156" s="3">
        <v>46030.459027777775</v>
      </c>
      <c r="W2156" t="s">
        <v>415</v>
      </c>
      <c r="X2156" t="s">
        <v>416</v>
      </c>
      <c r="Y2156" t="str">
        <f>"0414869673"</f>
        <v>0414869673</v>
      </c>
      <c r="Z2156" t="s">
        <v>2036</v>
      </c>
      <c r="AB2156" t="s">
        <v>985</v>
      </c>
      <c r="AD2156" t="s">
        <v>168</v>
      </c>
      <c r="AE2156" t="s">
        <v>279</v>
      </c>
      <c r="AF2156">
        <v>5092</v>
      </c>
      <c r="AG2156" t="s">
        <v>986</v>
      </c>
      <c r="AI2156" t="s">
        <v>59</v>
      </c>
      <c r="AL2156" t="s">
        <v>987</v>
      </c>
      <c r="AN2156" s="3">
        <v>46063.856944444444</v>
      </c>
      <c r="AO2156" t="s">
        <v>415</v>
      </c>
    </row>
    <row r="2157" spans="1:41" x14ac:dyDescent="0.3">
      <c r="A2157" t="s">
        <v>168</v>
      </c>
      <c r="B2157" t="s">
        <v>326</v>
      </c>
      <c r="C2157" t="s">
        <v>1150</v>
      </c>
      <c r="D2157" t="s">
        <v>127</v>
      </c>
      <c r="E2157" s="1">
        <v>46063</v>
      </c>
      <c r="F2157" t="s">
        <v>1376</v>
      </c>
      <c r="G2157" t="s">
        <v>128</v>
      </c>
      <c r="H2157" s="2">
        <v>0.52083333333333337</v>
      </c>
      <c r="I2157" s="2">
        <v>0.85416666666666663</v>
      </c>
      <c r="J2157" t="s">
        <v>101</v>
      </c>
      <c r="L2157" t="s">
        <v>159</v>
      </c>
      <c r="M2157" t="s">
        <v>1099</v>
      </c>
      <c r="N2157" t="s">
        <v>1100</v>
      </c>
      <c r="O2157">
        <v>804</v>
      </c>
      <c r="Q2157" t="s">
        <v>676</v>
      </c>
      <c r="R2157" t="s">
        <v>176</v>
      </c>
      <c r="S2157" t="s">
        <v>52</v>
      </c>
      <c r="U2157">
        <v>890061</v>
      </c>
      <c r="V2157" s="3">
        <v>46044.381249999999</v>
      </c>
      <c r="W2157" t="s">
        <v>1101</v>
      </c>
      <c r="X2157" t="s">
        <v>1102</v>
      </c>
      <c r="Y2157" t="str">
        <f>"0447786025"</f>
        <v>0447786025</v>
      </c>
      <c r="Z2157" t="s">
        <v>1917</v>
      </c>
      <c r="AB2157" t="s">
        <v>333</v>
      </c>
      <c r="AD2157" t="s">
        <v>168</v>
      </c>
      <c r="AE2157" t="s">
        <v>334</v>
      </c>
      <c r="AF2157">
        <v>5034</v>
      </c>
      <c r="AG2157" t="s">
        <v>676</v>
      </c>
      <c r="AI2157" t="s">
        <v>59</v>
      </c>
      <c r="AL2157" t="s">
        <v>4719</v>
      </c>
      <c r="AN2157" s="3">
        <v>46063.838194444441</v>
      </c>
      <c r="AO2157" t="s">
        <v>1101</v>
      </c>
    </row>
    <row r="2158" spans="1:41" x14ac:dyDescent="0.3">
      <c r="A2158" t="s">
        <v>168</v>
      </c>
      <c r="B2158" t="s">
        <v>215</v>
      </c>
      <c r="C2158" t="s">
        <v>43</v>
      </c>
      <c r="D2158" t="s">
        <v>127</v>
      </c>
      <c r="E2158" s="1">
        <v>46063</v>
      </c>
      <c r="F2158" t="s">
        <v>1376</v>
      </c>
      <c r="G2158" t="s">
        <v>128</v>
      </c>
      <c r="H2158" s="2">
        <v>0.52083333333333337</v>
      </c>
      <c r="I2158" s="2">
        <v>0.85416666666666663</v>
      </c>
      <c r="J2158" t="s">
        <v>258</v>
      </c>
      <c r="K2158" t="s">
        <v>259</v>
      </c>
      <c r="L2158" t="s">
        <v>186</v>
      </c>
      <c r="M2158" t="s">
        <v>1143</v>
      </c>
      <c r="N2158" t="s">
        <v>1144</v>
      </c>
      <c r="O2158">
        <v>5951229</v>
      </c>
      <c r="Q2158" t="s">
        <v>219</v>
      </c>
      <c r="R2158" t="s">
        <v>176</v>
      </c>
      <c r="S2158" t="s">
        <v>52</v>
      </c>
      <c r="U2158">
        <v>890044</v>
      </c>
      <c r="V2158" s="3">
        <v>46043.775694444441</v>
      </c>
      <c r="W2158" t="s">
        <v>1146</v>
      </c>
      <c r="X2158" t="s">
        <v>1147</v>
      </c>
      <c r="Y2158" t="str">
        <f>"0405315721"</f>
        <v>0405315721</v>
      </c>
      <c r="Z2158" t="s">
        <v>1406</v>
      </c>
      <c r="AB2158" t="s">
        <v>222</v>
      </c>
      <c r="AD2158" t="s">
        <v>168</v>
      </c>
      <c r="AE2158" t="s">
        <v>223</v>
      </c>
      <c r="AF2158">
        <v>5069</v>
      </c>
      <c r="AG2158" t="s">
        <v>219</v>
      </c>
      <c r="AI2158" t="s">
        <v>59</v>
      </c>
      <c r="AL2158" t="s">
        <v>224</v>
      </c>
      <c r="AN2158" s="3">
        <v>46063.810416666667</v>
      </c>
      <c r="AO2158" t="s">
        <v>1146</v>
      </c>
    </row>
    <row r="2159" spans="1:41" x14ac:dyDescent="0.3">
      <c r="A2159" t="s">
        <v>168</v>
      </c>
      <c r="B2159" t="s">
        <v>441</v>
      </c>
      <c r="C2159" t="s">
        <v>101</v>
      </c>
      <c r="E2159" s="1">
        <v>46063</v>
      </c>
      <c r="F2159" t="s">
        <v>1376</v>
      </c>
      <c r="G2159" t="s">
        <v>128</v>
      </c>
      <c r="H2159" s="2">
        <v>0.52083333333333337</v>
      </c>
      <c r="I2159" s="2">
        <v>0.85416666666666663</v>
      </c>
      <c r="J2159" t="s">
        <v>101</v>
      </c>
      <c r="L2159" t="s">
        <v>159</v>
      </c>
      <c r="M2159" t="s">
        <v>1430</v>
      </c>
      <c r="N2159" t="s">
        <v>1431</v>
      </c>
      <c r="O2159">
        <v>5951468</v>
      </c>
      <c r="Q2159" t="s">
        <v>944</v>
      </c>
      <c r="R2159" t="s">
        <v>556</v>
      </c>
      <c r="S2159" t="s">
        <v>52</v>
      </c>
      <c r="U2159">
        <v>890058</v>
      </c>
      <c r="V2159" s="3">
        <v>46050.939583333333</v>
      </c>
      <c r="W2159" t="s">
        <v>1432</v>
      </c>
      <c r="X2159" t="s">
        <v>1433</v>
      </c>
      <c r="Y2159" t="str">
        <f>"0476999212"</f>
        <v>0476999212</v>
      </c>
      <c r="Z2159" t="s">
        <v>70</v>
      </c>
      <c r="AA2159" s="1">
        <v>46063</v>
      </c>
      <c r="AB2159" t="s">
        <v>448</v>
      </c>
      <c r="AD2159" t="s">
        <v>168</v>
      </c>
      <c r="AE2159" t="s">
        <v>180</v>
      </c>
      <c r="AF2159">
        <v>5063</v>
      </c>
      <c r="AG2159" t="s">
        <v>944</v>
      </c>
      <c r="AI2159" t="s">
        <v>59</v>
      </c>
      <c r="AL2159" t="s">
        <v>4484</v>
      </c>
      <c r="AN2159" s="3">
        <v>46063.817361111112</v>
      </c>
      <c r="AO2159" t="s">
        <v>1432</v>
      </c>
    </row>
    <row r="2160" spans="1:41" x14ac:dyDescent="0.3">
      <c r="A2160" t="s">
        <v>168</v>
      </c>
      <c r="B2160" t="s">
        <v>225</v>
      </c>
      <c r="C2160" t="s">
        <v>226</v>
      </c>
      <c r="D2160" t="s">
        <v>227</v>
      </c>
      <c r="E2160" s="1">
        <v>46063</v>
      </c>
      <c r="F2160" t="s">
        <v>1376</v>
      </c>
      <c r="G2160" t="s">
        <v>128</v>
      </c>
      <c r="H2160" s="2">
        <v>0.52083333333333337</v>
      </c>
      <c r="I2160" s="2">
        <v>0.75</v>
      </c>
      <c r="J2160" t="s">
        <v>101</v>
      </c>
      <c r="K2160" t="s">
        <v>2646</v>
      </c>
      <c r="L2160" t="s">
        <v>47</v>
      </c>
      <c r="M2160" t="s">
        <v>371</v>
      </c>
      <c r="N2160" t="s">
        <v>372</v>
      </c>
      <c r="O2160">
        <v>20698</v>
      </c>
      <c r="Q2160" t="s">
        <v>230</v>
      </c>
      <c r="R2160" t="s">
        <v>231</v>
      </c>
      <c r="S2160" t="s">
        <v>52</v>
      </c>
      <c r="U2160">
        <v>890009</v>
      </c>
      <c r="V2160" s="3">
        <v>46042.363888888889</v>
      </c>
      <c r="W2160" t="s">
        <v>373</v>
      </c>
      <c r="X2160" t="s">
        <v>374</v>
      </c>
      <c r="Y2160" t="str">
        <f>"0424925273"</f>
        <v>0424925273</v>
      </c>
      <c r="Z2160" t="s">
        <v>2417</v>
      </c>
      <c r="AB2160" t="s">
        <v>235</v>
      </c>
      <c r="AD2160" t="s">
        <v>168</v>
      </c>
      <c r="AE2160" t="s">
        <v>236</v>
      </c>
      <c r="AF2160">
        <v>5087</v>
      </c>
      <c r="AG2160" t="s">
        <v>230</v>
      </c>
      <c r="AI2160" t="s">
        <v>59</v>
      </c>
      <c r="AL2160" t="s">
        <v>803</v>
      </c>
      <c r="AN2160" s="3">
        <v>46063.708333333336</v>
      </c>
      <c r="AO2160" t="s">
        <v>373</v>
      </c>
    </row>
    <row r="2161" spans="1:41" x14ac:dyDescent="0.3">
      <c r="A2161" t="s">
        <v>168</v>
      </c>
      <c r="B2161" t="s">
        <v>215</v>
      </c>
      <c r="C2161" t="s">
        <v>43</v>
      </c>
      <c r="D2161" t="s">
        <v>127</v>
      </c>
      <c r="E2161" s="1">
        <v>46063</v>
      </c>
      <c r="F2161" t="s">
        <v>1376</v>
      </c>
      <c r="G2161" t="s">
        <v>128</v>
      </c>
      <c r="H2161" s="2">
        <v>0.52083333333333337</v>
      </c>
      <c r="I2161" s="2">
        <v>0.85416666666666663</v>
      </c>
      <c r="J2161" t="s">
        <v>258</v>
      </c>
      <c r="K2161" t="s">
        <v>259</v>
      </c>
      <c r="L2161" t="s">
        <v>186</v>
      </c>
      <c r="M2161" t="s">
        <v>1117</v>
      </c>
      <c r="N2161" t="s">
        <v>1118</v>
      </c>
      <c r="O2161">
        <v>5952419</v>
      </c>
      <c r="Q2161" t="s">
        <v>219</v>
      </c>
      <c r="R2161" t="s">
        <v>176</v>
      </c>
      <c r="S2161" t="s">
        <v>52</v>
      </c>
      <c r="U2161">
        <v>890059</v>
      </c>
      <c r="V2161" s="3">
        <v>46043.775694444441</v>
      </c>
      <c r="W2161" t="s">
        <v>1119</v>
      </c>
      <c r="X2161" t="s">
        <v>1120</v>
      </c>
      <c r="Y2161" t="str">
        <f>"0433820679"</f>
        <v>0433820679</v>
      </c>
      <c r="Z2161" t="s">
        <v>2666</v>
      </c>
      <c r="AB2161" t="s">
        <v>222</v>
      </c>
      <c r="AD2161" t="s">
        <v>168</v>
      </c>
      <c r="AE2161" t="s">
        <v>223</v>
      </c>
      <c r="AF2161">
        <v>5069</v>
      </c>
      <c r="AG2161" t="s">
        <v>219</v>
      </c>
      <c r="AI2161" t="s">
        <v>59</v>
      </c>
      <c r="AL2161" t="s">
        <v>224</v>
      </c>
      <c r="AN2161" s="3">
        <v>46063.820833333331</v>
      </c>
      <c r="AO2161" t="s">
        <v>1119</v>
      </c>
    </row>
    <row r="2162" spans="1:41" x14ac:dyDescent="0.3">
      <c r="A2162" t="s">
        <v>61</v>
      </c>
      <c r="B2162" t="s">
        <v>1079</v>
      </c>
      <c r="C2162" t="s">
        <v>43</v>
      </c>
      <c r="D2162" t="s">
        <v>63</v>
      </c>
      <c r="E2162" s="1">
        <v>46063</v>
      </c>
      <c r="F2162" t="s">
        <v>1376</v>
      </c>
      <c r="G2162" t="s">
        <v>128</v>
      </c>
      <c r="H2162" s="2">
        <v>0.52083333333333337</v>
      </c>
      <c r="I2162" s="2">
        <v>0.99861111111111112</v>
      </c>
      <c r="J2162" t="s">
        <v>101</v>
      </c>
      <c r="L2162" t="s">
        <v>159</v>
      </c>
      <c r="M2162" t="s">
        <v>988</v>
      </c>
      <c r="N2162" t="s">
        <v>989</v>
      </c>
      <c r="O2162">
        <v>21506</v>
      </c>
      <c r="Q2162" t="s">
        <v>3578</v>
      </c>
      <c r="R2162" t="s">
        <v>67</v>
      </c>
      <c r="S2162" t="s">
        <v>52</v>
      </c>
      <c r="U2162">
        <v>890063</v>
      </c>
      <c r="V2162" s="3">
        <v>46056.394444444442</v>
      </c>
      <c r="W2162" t="s">
        <v>990</v>
      </c>
      <c r="X2162" t="s">
        <v>991</v>
      </c>
      <c r="Y2162" t="str">
        <f>"0416493278"</f>
        <v>0416493278</v>
      </c>
      <c r="Z2162" t="s">
        <v>1201</v>
      </c>
      <c r="AB2162" t="s">
        <v>1085</v>
      </c>
      <c r="AD2162" t="s">
        <v>61</v>
      </c>
      <c r="AE2162" t="s">
        <v>1086</v>
      </c>
      <c r="AF2162">
        <v>2031</v>
      </c>
      <c r="AG2162" t="s">
        <v>353</v>
      </c>
      <c r="AI2162" t="s">
        <v>59</v>
      </c>
      <c r="AL2162" t="s">
        <v>4544</v>
      </c>
      <c r="AN2162" s="3">
        <v>46063.841666666667</v>
      </c>
      <c r="AO2162" t="s">
        <v>990</v>
      </c>
    </row>
    <row r="2163" spans="1:41" x14ac:dyDescent="0.3">
      <c r="A2163" t="s">
        <v>168</v>
      </c>
      <c r="B2163" t="s">
        <v>326</v>
      </c>
      <c r="C2163" t="s">
        <v>43</v>
      </c>
      <c r="D2163" t="s">
        <v>127</v>
      </c>
      <c r="E2163" s="1">
        <v>46063</v>
      </c>
      <c r="F2163" t="s">
        <v>1376</v>
      </c>
      <c r="G2163" t="s">
        <v>128</v>
      </c>
      <c r="H2163" s="2">
        <v>0.52083333333333337</v>
      </c>
      <c r="I2163" s="2">
        <v>0.85416666666666663</v>
      </c>
      <c r="J2163" t="s">
        <v>185</v>
      </c>
      <c r="K2163" t="s">
        <v>327</v>
      </c>
      <c r="L2163" t="s">
        <v>186</v>
      </c>
      <c r="M2163" t="s">
        <v>835</v>
      </c>
      <c r="N2163" t="s">
        <v>836</v>
      </c>
      <c r="O2163">
        <v>22947</v>
      </c>
      <c r="Q2163" t="s">
        <v>676</v>
      </c>
      <c r="R2163" t="s">
        <v>176</v>
      </c>
      <c r="S2163" t="s">
        <v>52</v>
      </c>
      <c r="U2163">
        <v>890066</v>
      </c>
      <c r="V2163" s="3">
        <v>46044.37222222222</v>
      </c>
      <c r="W2163" t="s">
        <v>837</v>
      </c>
      <c r="X2163" t="s">
        <v>838</v>
      </c>
      <c r="Y2163" t="str">
        <f>"0415626656"</f>
        <v>0415626656</v>
      </c>
      <c r="Z2163" t="s">
        <v>1917</v>
      </c>
      <c r="AB2163" t="s">
        <v>333</v>
      </c>
      <c r="AD2163" t="s">
        <v>168</v>
      </c>
      <c r="AE2163" t="s">
        <v>334</v>
      </c>
      <c r="AF2163">
        <v>5034</v>
      </c>
      <c r="AG2163" t="s">
        <v>676</v>
      </c>
      <c r="AI2163" t="s">
        <v>59</v>
      </c>
      <c r="AL2163" t="s">
        <v>87</v>
      </c>
      <c r="AN2163" s="3">
        <v>46063.847222222219</v>
      </c>
      <c r="AO2163" t="s">
        <v>837</v>
      </c>
    </row>
    <row r="2164" spans="1:41" x14ac:dyDescent="0.3">
      <c r="A2164" t="s">
        <v>61</v>
      </c>
      <c r="B2164" t="s">
        <v>182</v>
      </c>
      <c r="C2164" t="s">
        <v>183</v>
      </c>
      <c r="D2164" t="s">
        <v>184</v>
      </c>
      <c r="E2164" s="1">
        <v>46063</v>
      </c>
      <c r="F2164" t="s">
        <v>1376</v>
      </c>
      <c r="G2164" t="s">
        <v>128</v>
      </c>
      <c r="H2164" s="2">
        <v>0.52083333333333337</v>
      </c>
      <c r="I2164" s="2">
        <v>0.99861111111111112</v>
      </c>
      <c r="J2164" t="s">
        <v>185</v>
      </c>
      <c r="L2164" t="s">
        <v>186</v>
      </c>
      <c r="M2164" t="s">
        <v>436</v>
      </c>
      <c r="N2164" t="s">
        <v>437</v>
      </c>
      <c r="O2164">
        <v>5951773</v>
      </c>
      <c r="Q2164" t="s">
        <v>189</v>
      </c>
      <c r="R2164" t="s">
        <v>132</v>
      </c>
      <c r="S2164" t="s">
        <v>52</v>
      </c>
      <c r="U2164">
        <v>890020</v>
      </c>
      <c r="V2164" s="3">
        <v>46057.534722222219</v>
      </c>
      <c r="W2164" t="s">
        <v>438</v>
      </c>
      <c r="X2164" t="s">
        <v>439</v>
      </c>
      <c r="Y2164" t="str">
        <f>"0405762113"</f>
        <v>0405762113</v>
      </c>
      <c r="Z2164" t="s">
        <v>3375</v>
      </c>
      <c r="AB2164" t="s">
        <v>193</v>
      </c>
      <c r="AD2164" t="s">
        <v>61</v>
      </c>
      <c r="AE2164" t="s">
        <v>194</v>
      </c>
      <c r="AF2164">
        <v>2229</v>
      </c>
      <c r="AG2164" t="s">
        <v>189</v>
      </c>
      <c r="AI2164" t="s">
        <v>59</v>
      </c>
      <c r="AL2164" t="s">
        <v>4544</v>
      </c>
      <c r="AN2164" s="3">
        <v>46063.746527777781</v>
      </c>
      <c r="AO2164" t="s">
        <v>438</v>
      </c>
    </row>
    <row r="2165" spans="1:41" x14ac:dyDescent="0.3">
      <c r="A2165" t="s">
        <v>61</v>
      </c>
      <c r="B2165" t="s">
        <v>753</v>
      </c>
      <c r="C2165" t="s">
        <v>216</v>
      </c>
      <c r="D2165" t="s">
        <v>754</v>
      </c>
      <c r="E2165" s="1">
        <v>46063</v>
      </c>
      <c r="F2165" t="s">
        <v>1376</v>
      </c>
      <c r="G2165" t="s">
        <v>128</v>
      </c>
      <c r="H2165" s="2">
        <v>0.52083333333333337</v>
      </c>
      <c r="I2165" s="2">
        <v>0.98958333333333337</v>
      </c>
      <c r="J2165" t="s">
        <v>101</v>
      </c>
      <c r="L2165" t="s">
        <v>159</v>
      </c>
      <c r="M2165" t="s">
        <v>994</v>
      </c>
      <c r="N2165" t="s">
        <v>995</v>
      </c>
      <c r="O2165">
        <v>5951207</v>
      </c>
      <c r="Q2165" t="s">
        <v>3704</v>
      </c>
      <c r="R2165" t="s">
        <v>67</v>
      </c>
      <c r="S2165" t="s">
        <v>52</v>
      </c>
      <c r="U2165">
        <v>890084</v>
      </c>
      <c r="V2165" s="3">
        <v>46058.591666666667</v>
      </c>
      <c r="W2165" t="s">
        <v>997</v>
      </c>
      <c r="X2165" t="s">
        <v>998</v>
      </c>
      <c r="Y2165" t="str">
        <f>"0428557393"</f>
        <v>0428557393</v>
      </c>
      <c r="Z2165" t="s">
        <v>375</v>
      </c>
      <c r="AA2165" s="1">
        <v>46063</v>
      </c>
      <c r="AB2165" t="s">
        <v>764</v>
      </c>
      <c r="AD2165" t="s">
        <v>61</v>
      </c>
      <c r="AE2165" t="s">
        <v>765</v>
      </c>
      <c r="AF2165">
        <v>2220</v>
      </c>
      <c r="AG2165" t="s">
        <v>1710</v>
      </c>
      <c r="AI2165" t="s">
        <v>59</v>
      </c>
      <c r="AL2165" t="s">
        <v>4544</v>
      </c>
      <c r="AN2165" s="3">
        <v>46063.944444444445</v>
      </c>
      <c r="AO2165" t="s">
        <v>997</v>
      </c>
    </row>
    <row r="2166" spans="1:41" x14ac:dyDescent="0.3">
      <c r="A2166" t="s">
        <v>168</v>
      </c>
      <c r="B2166" t="s">
        <v>409</v>
      </c>
      <c r="C2166" t="s">
        <v>1727</v>
      </c>
      <c r="D2166" t="s">
        <v>309</v>
      </c>
      <c r="E2166" s="1">
        <v>46063</v>
      </c>
      <c r="F2166" t="s">
        <v>1376</v>
      </c>
      <c r="G2166" t="s">
        <v>128</v>
      </c>
      <c r="H2166" s="2">
        <v>0.54166666666666663</v>
      </c>
      <c r="I2166" s="2">
        <v>0.875</v>
      </c>
      <c r="J2166" t="s">
        <v>1875</v>
      </c>
      <c r="K2166" t="s">
        <v>171</v>
      </c>
      <c r="L2166" t="s">
        <v>2350</v>
      </c>
      <c r="M2166" t="s">
        <v>2351</v>
      </c>
      <c r="N2166" t="s">
        <v>2352</v>
      </c>
      <c r="O2166">
        <v>5951464</v>
      </c>
      <c r="Q2166" t="s">
        <v>705</v>
      </c>
      <c r="R2166" t="s">
        <v>500</v>
      </c>
      <c r="S2166" t="s">
        <v>119</v>
      </c>
      <c r="T2166" t="s">
        <v>414</v>
      </c>
      <c r="U2166">
        <v>890685</v>
      </c>
      <c r="V2166" s="3">
        <v>46062.697222222225</v>
      </c>
      <c r="W2166" t="s">
        <v>2353</v>
      </c>
      <c r="X2166" t="s">
        <v>2354</v>
      </c>
      <c r="Y2166" t="str">
        <f>"0433735359"</f>
        <v>0433735359</v>
      </c>
      <c r="Z2166" t="s">
        <v>70</v>
      </c>
      <c r="AB2166" t="s">
        <v>417</v>
      </c>
      <c r="AD2166" t="s">
        <v>168</v>
      </c>
      <c r="AE2166" t="s">
        <v>384</v>
      </c>
      <c r="AF2166">
        <v>5000</v>
      </c>
      <c r="AI2166" t="s">
        <v>59</v>
      </c>
      <c r="AL2166" t="s">
        <v>1068</v>
      </c>
      <c r="AM2166" t="s">
        <v>4720</v>
      </c>
      <c r="AN2166" s="3">
        <v>46062.703472222223</v>
      </c>
      <c r="AO2166" t="s">
        <v>500</v>
      </c>
    </row>
    <row r="2167" spans="1:41" x14ac:dyDescent="0.3">
      <c r="A2167" t="s">
        <v>168</v>
      </c>
      <c r="B2167" t="s">
        <v>689</v>
      </c>
      <c r="C2167" t="s">
        <v>43</v>
      </c>
      <c r="D2167" t="s">
        <v>268</v>
      </c>
      <c r="E2167" s="1">
        <v>46063</v>
      </c>
      <c r="F2167" t="s">
        <v>1376</v>
      </c>
      <c r="G2167" t="s">
        <v>45</v>
      </c>
      <c r="H2167" s="2">
        <v>0.54166666666666663</v>
      </c>
      <c r="I2167" s="2">
        <v>0.66666666666666663</v>
      </c>
      <c r="J2167" t="s">
        <v>101</v>
      </c>
      <c r="L2167" t="s">
        <v>159</v>
      </c>
      <c r="M2167" t="s">
        <v>690</v>
      </c>
      <c r="N2167" t="s">
        <v>691</v>
      </c>
      <c r="O2167">
        <v>5950774</v>
      </c>
      <c r="P2167" t="s">
        <v>249</v>
      </c>
      <c r="Q2167" t="s">
        <v>692</v>
      </c>
      <c r="R2167" t="s">
        <v>693</v>
      </c>
      <c r="S2167" t="s">
        <v>52</v>
      </c>
      <c r="T2167" t="s">
        <v>252</v>
      </c>
      <c r="U2167">
        <v>890603</v>
      </c>
      <c r="V2167" s="3">
        <v>46069.416666666664</v>
      </c>
      <c r="W2167" t="s">
        <v>693</v>
      </c>
      <c r="X2167" t="s">
        <v>694</v>
      </c>
      <c r="Y2167" t="str">
        <f>"0404019300"</f>
        <v>0404019300</v>
      </c>
      <c r="Z2167" t="s">
        <v>84</v>
      </c>
      <c r="AA2167" s="1">
        <v>46117</v>
      </c>
      <c r="AB2167" t="s">
        <v>695</v>
      </c>
      <c r="AD2167" t="s">
        <v>168</v>
      </c>
      <c r="AE2167" t="s">
        <v>696</v>
      </c>
      <c r="AF2167">
        <v>5606</v>
      </c>
      <c r="AG2167" t="s">
        <v>697</v>
      </c>
      <c r="AI2167" t="s">
        <v>59</v>
      </c>
      <c r="AJ2167" t="str">
        <f>"0020188040"</f>
        <v>0020188040</v>
      </c>
      <c r="AM2167" t="s">
        <v>698</v>
      </c>
      <c r="AN2167" s="3">
        <v>46069.416666666664</v>
      </c>
      <c r="AO2167" t="s">
        <v>693</v>
      </c>
    </row>
    <row r="2168" spans="1:41" x14ac:dyDescent="0.3">
      <c r="A2168" t="s">
        <v>168</v>
      </c>
      <c r="B2168" t="s">
        <v>336</v>
      </c>
      <c r="C2168" t="s">
        <v>602</v>
      </c>
      <c r="D2168" t="s">
        <v>268</v>
      </c>
      <c r="E2168" s="1">
        <v>46063</v>
      </c>
      <c r="F2168" t="s">
        <v>1376</v>
      </c>
      <c r="G2168" t="s">
        <v>128</v>
      </c>
      <c r="H2168" s="2">
        <v>0.54166666666666663</v>
      </c>
      <c r="I2168" s="2">
        <v>0.89583333333333337</v>
      </c>
      <c r="J2168" t="s">
        <v>269</v>
      </c>
      <c r="K2168" t="s">
        <v>270</v>
      </c>
      <c r="L2168" t="s">
        <v>298</v>
      </c>
      <c r="M2168" t="s">
        <v>3200</v>
      </c>
      <c r="N2168" t="s">
        <v>3201</v>
      </c>
      <c r="O2168">
        <v>22818</v>
      </c>
      <c r="Q2168" t="s">
        <v>342</v>
      </c>
      <c r="R2168" t="s">
        <v>176</v>
      </c>
      <c r="S2168" t="s">
        <v>52</v>
      </c>
      <c r="U2168">
        <v>889987</v>
      </c>
      <c r="V2168" s="3">
        <v>46050.415277777778</v>
      </c>
      <c r="W2168" t="s">
        <v>3202</v>
      </c>
      <c r="X2168" t="s">
        <v>3203</v>
      </c>
      <c r="Y2168" t="str">
        <f>"0419557728"</f>
        <v>0419557728</v>
      </c>
      <c r="Z2168" t="s">
        <v>254</v>
      </c>
      <c r="AB2168" t="s">
        <v>346</v>
      </c>
      <c r="AD2168" t="s">
        <v>168</v>
      </c>
      <c r="AE2168" t="s">
        <v>347</v>
      </c>
      <c r="AF2168">
        <v>5042</v>
      </c>
      <c r="AG2168" t="s">
        <v>342</v>
      </c>
      <c r="AI2168" t="s">
        <v>59</v>
      </c>
      <c r="AL2168" t="s">
        <v>4546</v>
      </c>
      <c r="AM2168" t="s">
        <v>349</v>
      </c>
      <c r="AN2168" s="3">
        <v>46063.567361111112</v>
      </c>
      <c r="AO2168" t="s">
        <v>3202</v>
      </c>
    </row>
    <row r="2169" spans="1:41" x14ac:dyDescent="0.3">
      <c r="A2169" t="s">
        <v>168</v>
      </c>
      <c r="B2169" t="s">
        <v>409</v>
      </c>
      <c r="C2169" t="s">
        <v>1727</v>
      </c>
      <c r="D2169" t="s">
        <v>309</v>
      </c>
      <c r="E2169" s="1">
        <v>46063</v>
      </c>
      <c r="F2169" t="s">
        <v>1376</v>
      </c>
      <c r="G2169" t="s">
        <v>128</v>
      </c>
      <c r="H2169" s="2">
        <v>0.54166666666666663</v>
      </c>
      <c r="I2169" s="2">
        <v>0.875</v>
      </c>
      <c r="J2169" t="s">
        <v>1728</v>
      </c>
      <c r="K2169" t="s">
        <v>1022</v>
      </c>
      <c r="L2169" t="s">
        <v>159</v>
      </c>
      <c r="M2169" t="s">
        <v>4721</v>
      </c>
      <c r="N2169" t="s">
        <v>4722</v>
      </c>
      <c r="O2169">
        <v>21777</v>
      </c>
      <c r="Q2169" t="s">
        <v>413</v>
      </c>
      <c r="R2169" t="s">
        <v>231</v>
      </c>
      <c r="S2169" t="s">
        <v>119</v>
      </c>
      <c r="T2169" t="s">
        <v>414</v>
      </c>
      <c r="U2169">
        <v>890683</v>
      </c>
      <c r="V2169" s="3">
        <v>46049.356249999997</v>
      </c>
      <c r="W2169" t="s">
        <v>4723</v>
      </c>
      <c r="X2169" t="s">
        <v>4724</v>
      </c>
      <c r="Y2169" t="str">
        <f>"0431553077"</f>
        <v>0431553077</v>
      </c>
      <c r="Z2169" t="s">
        <v>70</v>
      </c>
      <c r="AB2169" t="s">
        <v>417</v>
      </c>
      <c r="AD2169" t="s">
        <v>168</v>
      </c>
      <c r="AE2169" t="s">
        <v>384</v>
      </c>
      <c r="AF2169">
        <v>5000</v>
      </c>
      <c r="AI2169" t="s">
        <v>59</v>
      </c>
      <c r="AL2169" t="s">
        <v>4725</v>
      </c>
      <c r="AM2169" t="s">
        <v>4726</v>
      </c>
      <c r="AN2169" s="3">
        <v>46062.844444444447</v>
      </c>
      <c r="AO2169" t="s">
        <v>1248</v>
      </c>
    </row>
    <row r="2170" spans="1:41" x14ac:dyDescent="0.3">
      <c r="A2170" t="s">
        <v>168</v>
      </c>
      <c r="B2170" t="s">
        <v>336</v>
      </c>
      <c r="C2170" t="s">
        <v>602</v>
      </c>
      <c r="D2170" t="s">
        <v>268</v>
      </c>
      <c r="E2170" s="1">
        <v>46063</v>
      </c>
      <c r="F2170" t="s">
        <v>1376</v>
      </c>
      <c r="G2170" t="s">
        <v>128</v>
      </c>
      <c r="H2170" s="2">
        <v>0.54166666666666663</v>
      </c>
      <c r="I2170" s="2">
        <v>0.89583333333333337</v>
      </c>
      <c r="J2170" t="s">
        <v>269</v>
      </c>
      <c r="K2170" t="s">
        <v>712</v>
      </c>
      <c r="L2170" t="s">
        <v>713</v>
      </c>
      <c r="M2170" t="s">
        <v>476</v>
      </c>
      <c r="N2170" t="s">
        <v>714</v>
      </c>
      <c r="O2170">
        <v>5951199</v>
      </c>
      <c r="P2170" t="s">
        <v>712</v>
      </c>
      <c r="Q2170" t="s">
        <v>342</v>
      </c>
      <c r="R2170" t="s">
        <v>231</v>
      </c>
      <c r="S2170" t="s">
        <v>52</v>
      </c>
      <c r="U2170">
        <v>890076</v>
      </c>
      <c r="V2170" s="3">
        <v>46057.477083333331</v>
      </c>
      <c r="W2170" t="s">
        <v>715</v>
      </c>
      <c r="X2170" t="s">
        <v>716</v>
      </c>
      <c r="Y2170" t="str">
        <f>"0426611875"</f>
        <v>0426611875</v>
      </c>
      <c r="Z2170" t="s">
        <v>70</v>
      </c>
      <c r="AA2170" s="1">
        <v>46063</v>
      </c>
      <c r="AB2170" t="s">
        <v>346</v>
      </c>
      <c r="AD2170" t="s">
        <v>168</v>
      </c>
      <c r="AE2170" t="s">
        <v>347</v>
      </c>
      <c r="AF2170">
        <v>5042</v>
      </c>
      <c r="AG2170" t="s">
        <v>342</v>
      </c>
      <c r="AI2170" t="s">
        <v>59</v>
      </c>
      <c r="AL2170" t="s">
        <v>4727</v>
      </c>
      <c r="AN2170" s="3">
        <v>46063.894444444442</v>
      </c>
      <c r="AO2170" t="s">
        <v>715</v>
      </c>
    </row>
    <row r="2171" spans="1:41" x14ac:dyDescent="0.3">
      <c r="A2171" t="s">
        <v>168</v>
      </c>
      <c r="B2171" t="s">
        <v>1958</v>
      </c>
      <c r="C2171" t="s">
        <v>43</v>
      </c>
      <c r="D2171" t="s">
        <v>309</v>
      </c>
      <c r="E2171" s="1">
        <v>46063</v>
      </c>
      <c r="F2171" t="s">
        <v>1376</v>
      </c>
      <c r="G2171" t="s">
        <v>128</v>
      </c>
      <c r="H2171" s="2">
        <v>0.54166666666666663</v>
      </c>
      <c r="I2171" s="2">
        <v>0.70833333333333337</v>
      </c>
      <c r="J2171" t="s">
        <v>1011</v>
      </c>
      <c r="K2171" t="s">
        <v>4728</v>
      </c>
      <c r="L2171" t="s">
        <v>186</v>
      </c>
      <c r="M2171" t="s">
        <v>3724</v>
      </c>
      <c r="N2171" t="s">
        <v>3725</v>
      </c>
      <c r="O2171">
        <v>5951740</v>
      </c>
      <c r="Q2171" t="s">
        <v>413</v>
      </c>
      <c r="R2171" t="s">
        <v>231</v>
      </c>
      <c r="S2171" t="s">
        <v>52</v>
      </c>
      <c r="U2171">
        <v>890019</v>
      </c>
      <c r="V2171" s="3">
        <v>46063.398611111108</v>
      </c>
      <c r="W2171" t="s">
        <v>3726</v>
      </c>
      <c r="X2171" t="s">
        <v>3727</v>
      </c>
      <c r="Y2171" t="str">
        <f>"0420480820"</f>
        <v>0420480820</v>
      </c>
      <c r="Z2171" t="s">
        <v>70</v>
      </c>
      <c r="AA2171" s="1">
        <v>46063</v>
      </c>
      <c r="AB2171" t="s">
        <v>1961</v>
      </c>
      <c r="AD2171" t="s">
        <v>168</v>
      </c>
      <c r="AE2171" t="s">
        <v>856</v>
      </c>
      <c r="AF2171">
        <v>5112</v>
      </c>
      <c r="AI2171" t="s">
        <v>59</v>
      </c>
      <c r="AL2171" t="s">
        <v>4729</v>
      </c>
      <c r="AM2171" t="s">
        <v>4730</v>
      </c>
      <c r="AN2171" s="3">
        <v>46063.731944444444</v>
      </c>
      <c r="AO2171" t="s">
        <v>208</v>
      </c>
    </row>
    <row r="2172" spans="1:41" x14ac:dyDescent="0.3">
      <c r="A2172" t="s">
        <v>168</v>
      </c>
      <c r="B2172" t="s">
        <v>376</v>
      </c>
      <c r="C2172" t="s">
        <v>216</v>
      </c>
      <c r="D2172" t="s">
        <v>1386</v>
      </c>
      <c r="E2172" s="1">
        <v>46063</v>
      </c>
      <c r="F2172" t="s">
        <v>1376</v>
      </c>
      <c r="G2172" t="s">
        <v>128</v>
      </c>
      <c r="H2172" s="2">
        <v>0.54166666666666663</v>
      </c>
      <c r="I2172" s="2">
        <v>0.875</v>
      </c>
      <c r="J2172" t="s">
        <v>101</v>
      </c>
      <c r="L2172" t="s">
        <v>159</v>
      </c>
      <c r="M2172" t="s">
        <v>1033</v>
      </c>
      <c r="N2172" t="s">
        <v>1034</v>
      </c>
      <c r="O2172">
        <v>5952456</v>
      </c>
      <c r="Q2172" t="s">
        <v>1605</v>
      </c>
      <c r="R2172" t="s">
        <v>1923</v>
      </c>
      <c r="S2172" t="s">
        <v>52</v>
      </c>
      <c r="U2172">
        <v>890042</v>
      </c>
      <c r="V2172" s="3">
        <v>46062.488888888889</v>
      </c>
      <c r="W2172" t="s">
        <v>1035</v>
      </c>
      <c r="X2172" t="s">
        <v>1036</v>
      </c>
      <c r="Y2172" t="str">
        <f>"0431375216"</f>
        <v>0431375216</v>
      </c>
      <c r="Z2172" t="s">
        <v>70</v>
      </c>
      <c r="AA2172" s="1">
        <v>46063</v>
      </c>
      <c r="AB2172" t="s">
        <v>383</v>
      </c>
      <c r="AD2172" t="s">
        <v>168</v>
      </c>
      <c r="AE2172" t="s">
        <v>384</v>
      </c>
      <c r="AF2172">
        <v>5000</v>
      </c>
      <c r="AI2172" t="s">
        <v>59</v>
      </c>
      <c r="AL2172" t="s">
        <v>4731</v>
      </c>
      <c r="AN2172" s="3">
        <v>46063.804861111108</v>
      </c>
      <c r="AO2172" t="s">
        <v>1035</v>
      </c>
    </row>
    <row r="2173" spans="1:41" x14ac:dyDescent="0.3">
      <c r="A2173" t="s">
        <v>168</v>
      </c>
      <c r="B2173" t="s">
        <v>409</v>
      </c>
      <c r="C2173" t="s">
        <v>1727</v>
      </c>
      <c r="D2173" t="s">
        <v>309</v>
      </c>
      <c r="E2173" s="1">
        <v>46063</v>
      </c>
      <c r="F2173" t="s">
        <v>1376</v>
      </c>
      <c r="G2173" t="s">
        <v>128</v>
      </c>
      <c r="H2173" s="2">
        <v>0.54166666666666663</v>
      </c>
      <c r="I2173" s="2">
        <v>0.875</v>
      </c>
      <c r="J2173" t="s">
        <v>1837</v>
      </c>
      <c r="L2173" t="s">
        <v>159</v>
      </c>
      <c r="M2173" t="s">
        <v>2318</v>
      </c>
      <c r="N2173" t="s">
        <v>2319</v>
      </c>
      <c r="O2173">
        <v>5950670</v>
      </c>
      <c r="Q2173" t="s">
        <v>705</v>
      </c>
      <c r="R2173" t="s">
        <v>500</v>
      </c>
      <c r="S2173" t="s">
        <v>119</v>
      </c>
      <c r="T2173" t="s">
        <v>414</v>
      </c>
      <c r="U2173">
        <v>890482</v>
      </c>
      <c r="V2173" s="3">
        <v>46062.74722222222</v>
      </c>
      <c r="W2173" t="s">
        <v>2321</v>
      </c>
      <c r="X2173" t="s">
        <v>2322</v>
      </c>
      <c r="Y2173" t="str">
        <f>"0401640102"</f>
        <v>0401640102</v>
      </c>
      <c r="Z2173" t="s">
        <v>70</v>
      </c>
      <c r="AB2173" t="s">
        <v>417</v>
      </c>
      <c r="AD2173" t="s">
        <v>168</v>
      </c>
      <c r="AE2173" t="s">
        <v>384</v>
      </c>
      <c r="AF2173">
        <v>5000</v>
      </c>
      <c r="AI2173" t="s">
        <v>59</v>
      </c>
      <c r="AL2173" t="s">
        <v>1068</v>
      </c>
      <c r="AM2173" t="s">
        <v>4732</v>
      </c>
      <c r="AN2173" s="3">
        <v>46062.75</v>
      </c>
      <c r="AO2173" t="s">
        <v>500</v>
      </c>
    </row>
    <row r="2174" spans="1:41" x14ac:dyDescent="0.3">
      <c r="A2174" t="s">
        <v>168</v>
      </c>
      <c r="B2174" t="s">
        <v>336</v>
      </c>
      <c r="D2174" t="s">
        <v>268</v>
      </c>
      <c r="E2174" s="1">
        <v>46063</v>
      </c>
      <c r="F2174" t="s">
        <v>1376</v>
      </c>
      <c r="G2174" t="s">
        <v>128</v>
      </c>
      <c r="H2174" s="2">
        <v>0.54166666666666663</v>
      </c>
      <c r="I2174" s="2">
        <v>0.89583333333333337</v>
      </c>
      <c r="J2174" t="s">
        <v>296</v>
      </c>
      <c r="K2174" t="s">
        <v>338</v>
      </c>
      <c r="L2174" t="s">
        <v>339</v>
      </c>
      <c r="M2174" t="s">
        <v>340</v>
      </c>
      <c r="N2174" t="s">
        <v>341</v>
      </c>
      <c r="O2174">
        <v>5951711</v>
      </c>
      <c r="P2174" t="s">
        <v>338</v>
      </c>
      <c r="Q2174" t="s">
        <v>342</v>
      </c>
      <c r="R2174" t="s">
        <v>231</v>
      </c>
      <c r="S2174" t="s">
        <v>52</v>
      </c>
      <c r="U2174">
        <v>889986</v>
      </c>
      <c r="V2174" s="3">
        <v>46062.576388888891</v>
      </c>
      <c r="W2174" t="s">
        <v>343</v>
      </c>
      <c r="X2174" t="s">
        <v>344</v>
      </c>
      <c r="Y2174" t="str">
        <f>"0422996486"</f>
        <v>0422996486</v>
      </c>
      <c r="Z2174" t="s">
        <v>70</v>
      </c>
      <c r="AB2174" t="s">
        <v>346</v>
      </c>
      <c r="AD2174" t="s">
        <v>168</v>
      </c>
      <c r="AE2174" t="s">
        <v>347</v>
      </c>
      <c r="AF2174">
        <v>5042</v>
      </c>
      <c r="AG2174" t="s">
        <v>342</v>
      </c>
      <c r="AI2174" t="s">
        <v>59</v>
      </c>
      <c r="AL2174" t="s">
        <v>4733</v>
      </c>
      <c r="AN2174" s="3">
        <v>46063.565972222219</v>
      </c>
      <c r="AO2174" t="s">
        <v>343</v>
      </c>
    </row>
    <row r="2175" spans="1:41" x14ac:dyDescent="0.3">
      <c r="A2175" t="s">
        <v>61</v>
      </c>
      <c r="B2175" t="s">
        <v>182</v>
      </c>
      <c r="C2175" t="s">
        <v>100</v>
      </c>
      <c r="D2175" t="s">
        <v>184</v>
      </c>
      <c r="E2175" s="1">
        <v>46063</v>
      </c>
      <c r="F2175" t="s">
        <v>1376</v>
      </c>
      <c r="G2175" t="s">
        <v>128</v>
      </c>
      <c r="H2175" s="2">
        <v>0.54166666666666663</v>
      </c>
      <c r="I2175" s="2">
        <v>0.89583333333333337</v>
      </c>
      <c r="J2175" t="s">
        <v>100</v>
      </c>
      <c r="L2175" t="s">
        <v>100</v>
      </c>
      <c r="M2175" t="s">
        <v>1188</v>
      </c>
      <c r="N2175" t="s">
        <v>1189</v>
      </c>
      <c r="O2175">
        <v>21235</v>
      </c>
      <c r="Q2175" t="s">
        <v>1190</v>
      </c>
      <c r="R2175" t="s">
        <v>67</v>
      </c>
      <c r="S2175" t="s">
        <v>52</v>
      </c>
      <c r="U2175">
        <v>890073</v>
      </c>
      <c r="V2175" s="3">
        <v>46044.34097222222</v>
      </c>
      <c r="W2175" t="s">
        <v>1191</v>
      </c>
      <c r="X2175" t="s">
        <v>1192</v>
      </c>
      <c r="Y2175" t="str">
        <f>"0479157796"</f>
        <v>0479157796</v>
      </c>
      <c r="Z2175" t="s">
        <v>627</v>
      </c>
      <c r="AB2175" t="s">
        <v>193</v>
      </c>
      <c r="AD2175" t="s">
        <v>61</v>
      </c>
      <c r="AE2175" t="s">
        <v>194</v>
      </c>
      <c r="AF2175">
        <v>2229</v>
      </c>
      <c r="AG2175" t="s">
        <v>1045</v>
      </c>
      <c r="AI2175" t="s">
        <v>59</v>
      </c>
      <c r="AL2175" t="s">
        <v>4544</v>
      </c>
      <c r="AN2175" s="3">
        <v>46063.866666666669</v>
      </c>
      <c r="AO2175" t="s">
        <v>1191</v>
      </c>
    </row>
    <row r="2176" spans="1:41" x14ac:dyDescent="0.3">
      <c r="A2176" t="s">
        <v>168</v>
      </c>
      <c r="B2176" t="s">
        <v>400</v>
      </c>
      <c r="C2176" t="s">
        <v>100</v>
      </c>
      <c r="D2176" t="s">
        <v>401</v>
      </c>
      <c r="E2176" s="1">
        <v>46063</v>
      </c>
      <c r="F2176" t="s">
        <v>1376</v>
      </c>
      <c r="G2176" t="s">
        <v>128</v>
      </c>
      <c r="H2176" s="2">
        <v>0.54166666666666663</v>
      </c>
      <c r="I2176" s="2">
        <v>0.875</v>
      </c>
      <c r="J2176" t="s">
        <v>100</v>
      </c>
      <c r="L2176" t="s">
        <v>100</v>
      </c>
      <c r="M2176" t="s">
        <v>402</v>
      </c>
      <c r="N2176" t="s">
        <v>403</v>
      </c>
      <c r="O2176">
        <v>21398</v>
      </c>
      <c r="Q2176" t="s">
        <v>2281</v>
      </c>
      <c r="R2176" t="s">
        <v>231</v>
      </c>
      <c r="S2176" t="s">
        <v>52</v>
      </c>
      <c r="U2176">
        <v>890075</v>
      </c>
      <c r="V2176" s="3">
        <v>46063.430555555555</v>
      </c>
      <c r="W2176" t="s">
        <v>405</v>
      </c>
      <c r="X2176" t="s">
        <v>406</v>
      </c>
      <c r="Y2176" t="str">
        <f>"0423877972"</f>
        <v>0423877972</v>
      </c>
      <c r="Z2176" t="s">
        <v>70</v>
      </c>
      <c r="AA2176" s="1">
        <v>46063</v>
      </c>
      <c r="AB2176" t="s">
        <v>407</v>
      </c>
      <c r="AD2176" t="s">
        <v>168</v>
      </c>
      <c r="AE2176" t="s">
        <v>347</v>
      </c>
      <c r="AF2176">
        <v>5042</v>
      </c>
      <c r="AG2176" t="s">
        <v>2281</v>
      </c>
      <c r="AI2176" t="s">
        <v>59</v>
      </c>
      <c r="AL2176" t="s">
        <v>87</v>
      </c>
      <c r="AN2176" s="3">
        <v>46063.89166666667</v>
      </c>
      <c r="AO2176" t="s">
        <v>405</v>
      </c>
    </row>
    <row r="2177" spans="1:41" x14ac:dyDescent="0.3">
      <c r="A2177" t="s">
        <v>61</v>
      </c>
      <c r="B2177" t="s">
        <v>1937</v>
      </c>
      <c r="C2177" t="s">
        <v>100</v>
      </c>
      <c r="D2177" t="s">
        <v>184</v>
      </c>
      <c r="E2177" s="1">
        <v>46063</v>
      </c>
      <c r="F2177" t="s">
        <v>1376</v>
      </c>
      <c r="G2177" t="s">
        <v>128</v>
      </c>
      <c r="H2177" s="2">
        <v>0.5625</v>
      </c>
      <c r="I2177" s="2">
        <v>0.91666666666666663</v>
      </c>
      <c r="J2177" t="s">
        <v>100</v>
      </c>
      <c r="L2177" t="s">
        <v>100</v>
      </c>
      <c r="M2177" t="s">
        <v>1938</v>
      </c>
      <c r="N2177" t="s">
        <v>1939</v>
      </c>
      <c r="O2177">
        <v>5951653</v>
      </c>
      <c r="Q2177" t="s">
        <v>1087</v>
      </c>
      <c r="R2177" t="s">
        <v>67</v>
      </c>
      <c r="S2177" t="s">
        <v>52</v>
      </c>
      <c r="U2177">
        <v>890081</v>
      </c>
      <c r="V2177" s="3">
        <v>46051.433333333334</v>
      </c>
      <c r="W2177" t="s">
        <v>1940</v>
      </c>
      <c r="X2177" t="s">
        <v>1941</v>
      </c>
      <c r="Y2177" t="str">
        <f>"0422928911"</f>
        <v>0422928911</v>
      </c>
      <c r="Z2177" t="s">
        <v>673</v>
      </c>
      <c r="AB2177" t="s">
        <v>1942</v>
      </c>
      <c r="AD2177" t="s">
        <v>61</v>
      </c>
      <c r="AE2177" t="s">
        <v>1943</v>
      </c>
      <c r="AF2177">
        <v>2065</v>
      </c>
      <c r="AG2177" t="s">
        <v>1087</v>
      </c>
      <c r="AI2177" t="s">
        <v>59</v>
      </c>
      <c r="AL2177" t="s">
        <v>4544</v>
      </c>
      <c r="AN2177" s="3">
        <v>46063.919444444444</v>
      </c>
      <c r="AO2177" t="s">
        <v>1940</v>
      </c>
    </row>
    <row r="2178" spans="1:41" x14ac:dyDescent="0.3">
      <c r="A2178" t="s">
        <v>75</v>
      </c>
      <c r="B2178" t="s">
        <v>895</v>
      </c>
      <c r="C2178" t="s">
        <v>1621</v>
      </c>
      <c r="D2178" t="s">
        <v>184</v>
      </c>
      <c r="E2178" s="1">
        <v>46063</v>
      </c>
      <c r="F2178" t="s">
        <v>1376</v>
      </c>
      <c r="G2178" t="s">
        <v>128</v>
      </c>
      <c r="H2178" s="2">
        <v>0.58333333333333337</v>
      </c>
      <c r="I2178" s="2">
        <v>0.91666666666666663</v>
      </c>
      <c r="J2178" t="s">
        <v>296</v>
      </c>
      <c r="L2178" t="s">
        <v>1453</v>
      </c>
      <c r="M2178" t="s">
        <v>1622</v>
      </c>
      <c r="N2178" t="s">
        <v>1623</v>
      </c>
      <c r="O2178">
        <v>5952211</v>
      </c>
      <c r="Q2178" t="s">
        <v>2159</v>
      </c>
      <c r="R2178" t="s">
        <v>81</v>
      </c>
      <c r="S2178" t="s">
        <v>52</v>
      </c>
      <c r="U2178">
        <v>890154</v>
      </c>
      <c r="V2178" s="3">
        <v>46055.581944444442</v>
      </c>
      <c r="W2178" t="s">
        <v>1624</v>
      </c>
      <c r="X2178" t="s">
        <v>1625</v>
      </c>
      <c r="Y2178" t="str">
        <f>"0494406921"</f>
        <v>0494406921</v>
      </c>
      <c r="Z2178" t="s">
        <v>503</v>
      </c>
      <c r="AB2178" t="s">
        <v>902</v>
      </c>
      <c r="AD2178" t="s">
        <v>75</v>
      </c>
      <c r="AE2178" t="s">
        <v>903</v>
      </c>
      <c r="AF2178">
        <v>6009</v>
      </c>
      <c r="AG2178" t="s">
        <v>2159</v>
      </c>
      <c r="AI2178" t="s">
        <v>59</v>
      </c>
      <c r="AL2178" t="s">
        <v>87</v>
      </c>
      <c r="AN2178" s="3">
        <v>46064.76666666667</v>
      </c>
      <c r="AO2178" t="s">
        <v>1624</v>
      </c>
    </row>
    <row r="2179" spans="1:41" x14ac:dyDescent="0.3">
      <c r="A2179" t="s">
        <v>306</v>
      </c>
      <c r="B2179" t="s">
        <v>2789</v>
      </c>
      <c r="C2179" t="s">
        <v>4734</v>
      </c>
      <c r="D2179" t="s">
        <v>90</v>
      </c>
      <c r="E2179" s="1">
        <v>46063</v>
      </c>
      <c r="F2179" t="s">
        <v>1376</v>
      </c>
      <c r="G2179" t="s">
        <v>128</v>
      </c>
      <c r="H2179" s="2">
        <v>0.58333333333333337</v>
      </c>
      <c r="I2179" s="2">
        <v>0.91666666666666663</v>
      </c>
      <c r="J2179" t="s">
        <v>296</v>
      </c>
      <c r="L2179" t="s">
        <v>310</v>
      </c>
      <c r="M2179" t="s">
        <v>311</v>
      </c>
      <c r="N2179" t="s">
        <v>312</v>
      </c>
      <c r="O2179">
        <v>5952174</v>
      </c>
      <c r="Q2179" t="s">
        <v>4735</v>
      </c>
      <c r="R2179" t="s">
        <v>314</v>
      </c>
      <c r="S2179" t="s">
        <v>52</v>
      </c>
      <c r="U2179">
        <v>890080</v>
      </c>
      <c r="V2179" s="3">
        <v>46063.352083333331</v>
      </c>
      <c r="W2179" t="s">
        <v>315</v>
      </c>
      <c r="X2179" t="s">
        <v>316</v>
      </c>
      <c r="Y2179" t="str">
        <f>"0452621529"</f>
        <v>0452621529</v>
      </c>
      <c r="Z2179" t="s">
        <v>70</v>
      </c>
      <c r="AA2179" s="1">
        <v>46063</v>
      </c>
      <c r="AB2179" t="s">
        <v>2790</v>
      </c>
      <c r="AD2179" t="s">
        <v>306</v>
      </c>
      <c r="AE2179" t="s">
        <v>1520</v>
      </c>
      <c r="AF2179">
        <v>3002</v>
      </c>
      <c r="AG2179" t="s">
        <v>1245</v>
      </c>
      <c r="AI2179" t="s">
        <v>59</v>
      </c>
      <c r="AL2179" t="s">
        <v>87</v>
      </c>
      <c r="AN2179" s="3">
        <v>46063.914583333331</v>
      </c>
      <c r="AO2179" t="s">
        <v>315</v>
      </c>
    </row>
    <row r="2180" spans="1:41" x14ac:dyDescent="0.3">
      <c r="A2180" t="s">
        <v>306</v>
      </c>
      <c r="B2180" t="s">
        <v>386</v>
      </c>
      <c r="C2180" t="s">
        <v>387</v>
      </c>
      <c r="D2180" t="s">
        <v>388</v>
      </c>
      <c r="E2180" s="1">
        <v>46063</v>
      </c>
      <c r="F2180" t="s">
        <v>1376</v>
      </c>
      <c r="G2180" t="s">
        <v>128</v>
      </c>
      <c r="H2180" s="2">
        <v>0.58333333333333337</v>
      </c>
      <c r="I2180" s="2">
        <v>0.91666666666666663</v>
      </c>
      <c r="J2180" t="s">
        <v>389</v>
      </c>
      <c r="L2180" t="s">
        <v>298</v>
      </c>
      <c r="M2180" t="s">
        <v>195</v>
      </c>
      <c r="N2180" t="s">
        <v>390</v>
      </c>
      <c r="O2180">
        <v>5951661</v>
      </c>
      <c r="P2180" t="s">
        <v>249</v>
      </c>
      <c r="Q2180" t="s">
        <v>391</v>
      </c>
      <c r="R2180" t="s">
        <v>392</v>
      </c>
      <c r="S2180" t="s">
        <v>52</v>
      </c>
      <c r="T2180" t="s">
        <v>252</v>
      </c>
      <c r="U2180">
        <v>890613</v>
      </c>
      <c r="V2180" s="3">
        <v>46069.458333333336</v>
      </c>
      <c r="W2180" t="s">
        <v>393</v>
      </c>
      <c r="X2180" t="s">
        <v>394</v>
      </c>
      <c r="Y2180" t="str">
        <f>"0427371732"</f>
        <v>0427371732</v>
      </c>
      <c r="Z2180" t="s">
        <v>84</v>
      </c>
      <c r="AA2180" s="1">
        <v>46141</v>
      </c>
      <c r="AB2180" t="s">
        <v>396</v>
      </c>
      <c r="AD2180" t="s">
        <v>397</v>
      </c>
      <c r="AE2180" t="s">
        <v>398</v>
      </c>
      <c r="AF2180">
        <v>7919</v>
      </c>
      <c r="AG2180" t="s">
        <v>399</v>
      </c>
      <c r="AI2180" t="s">
        <v>59</v>
      </c>
      <c r="AJ2180" t="str">
        <f>"0090000067"</f>
        <v>0090000067</v>
      </c>
      <c r="AN2180" s="3">
        <v>46069.458333333336</v>
      </c>
      <c r="AO2180" t="s">
        <v>392</v>
      </c>
    </row>
    <row r="2181" spans="1:41" x14ac:dyDescent="0.3">
      <c r="A2181" t="s">
        <v>168</v>
      </c>
      <c r="B2181" t="s">
        <v>282</v>
      </c>
      <c r="C2181" t="s">
        <v>170</v>
      </c>
      <c r="D2181" t="s">
        <v>283</v>
      </c>
      <c r="E2181" s="1">
        <v>46063</v>
      </c>
      <c r="F2181" t="s">
        <v>1376</v>
      </c>
      <c r="G2181" t="s">
        <v>128</v>
      </c>
      <c r="H2181" s="2">
        <v>0.58333333333333337</v>
      </c>
      <c r="I2181" s="2">
        <v>0.83333333333333337</v>
      </c>
      <c r="J2181" t="s">
        <v>170</v>
      </c>
      <c r="K2181" t="s">
        <v>77</v>
      </c>
      <c r="L2181" t="s">
        <v>204</v>
      </c>
      <c r="M2181" t="s">
        <v>205</v>
      </c>
      <c r="N2181" t="s">
        <v>206</v>
      </c>
      <c r="O2181">
        <v>21706</v>
      </c>
      <c r="Q2181" t="s">
        <v>294</v>
      </c>
      <c r="R2181" t="s">
        <v>176</v>
      </c>
      <c r="S2181" t="s">
        <v>52</v>
      </c>
      <c r="U2181">
        <v>890026</v>
      </c>
      <c r="V2181" s="3">
        <v>46063.388194444444</v>
      </c>
      <c r="W2181" t="s">
        <v>209</v>
      </c>
      <c r="X2181" t="s">
        <v>210</v>
      </c>
      <c r="Y2181" t="str">
        <f>"0415862070"</f>
        <v>0415862070</v>
      </c>
      <c r="Z2181" t="s">
        <v>70</v>
      </c>
      <c r="AA2181" s="1">
        <v>46063</v>
      </c>
      <c r="AB2181" t="s">
        <v>291</v>
      </c>
      <c r="AC2181" t="s">
        <v>292</v>
      </c>
      <c r="AD2181" t="s">
        <v>168</v>
      </c>
      <c r="AE2181" t="s">
        <v>293</v>
      </c>
      <c r="AF2181">
        <v>5037</v>
      </c>
      <c r="AG2181" t="s">
        <v>294</v>
      </c>
      <c r="AI2181" t="s">
        <v>59</v>
      </c>
      <c r="AL2181" t="s">
        <v>224</v>
      </c>
      <c r="AN2181" s="3">
        <v>46063.771527777775</v>
      </c>
      <c r="AO2181" t="s">
        <v>209</v>
      </c>
    </row>
    <row r="2182" spans="1:41" x14ac:dyDescent="0.3">
      <c r="A2182" t="s">
        <v>168</v>
      </c>
      <c r="B2182" t="s">
        <v>376</v>
      </c>
      <c r="C2182" t="s">
        <v>216</v>
      </c>
      <c r="D2182" t="s">
        <v>1386</v>
      </c>
      <c r="E2182" s="1">
        <v>46063</v>
      </c>
      <c r="F2182" t="s">
        <v>1376</v>
      </c>
      <c r="G2182" t="s">
        <v>128</v>
      </c>
      <c r="H2182" s="2">
        <v>0.58333333333333337</v>
      </c>
      <c r="I2182" s="2">
        <v>0.91666666666666663</v>
      </c>
      <c r="J2182" t="s">
        <v>101</v>
      </c>
      <c r="L2182" t="s">
        <v>159</v>
      </c>
      <c r="M2182" t="s">
        <v>217</v>
      </c>
      <c r="N2182" t="s">
        <v>218</v>
      </c>
      <c r="O2182">
        <v>32</v>
      </c>
      <c r="Q2182" t="s">
        <v>2188</v>
      </c>
      <c r="R2182" t="s">
        <v>1390</v>
      </c>
      <c r="S2182" t="s">
        <v>52</v>
      </c>
      <c r="U2182">
        <v>890072</v>
      </c>
      <c r="V2182" s="3">
        <v>46062.811805555553</v>
      </c>
      <c r="W2182" t="s">
        <v>220</v>
      </c>
      <c r="X2182" t="s">
        <v>221</v>
      </c>
      <c r="Y2182" t="str">
        <f>"0426797353"</f>
        <v>0426797353</v>
      </c>
      <c r="Z2182" t="s">
        <v>70</v>
      </c>
      <c r="AA2182" s="1">
        <v>46063</v>
      </c>
      <c r="AB2182" t="s">
        <v>383</v>
      </c>
      <c r="AD2182" t="s">
        <v>168</v>
      </c>
      <c r="AE2182" t="s">
        <v>384</v>
      </c>
      <c r="AF2182">
        <v>5000</v>
      </c>
      <c r="AI2182" t="s">
        <v>59</v>
      </c>
      <c r="AL2182" t="s">
        <v>4736</v>
      </c>
      <c r="AM2182" t="s">
        <v>4737</v>
      </c>
      <c r="AN2182" s="3">
        <v>46063.861111111109</v>
      </c>
      <c r="AO2182" t="s">
        <v>220</v>
      </c>
    </row>
    <row r="2183" spans="1:41" x14ac:dyDescent="0.3">
      <c r="A2183" t="s">
        <v>168</v>
      </c>
      <c r="B2183" t="s">
        <v>376</v>
      </c>
      <c r="C2183" t="s">
        <v>100</v>
      </c>
      <c r="D2183" t="s">
        <v>127</v>
      </c>
      <c r="E2183" s="1">
        <v>46063</v>
      </c>
      <c r="F2183" t="s">
        <v>1376</v>
      </c>
      <c r="G2183" t="s">
        <v>128</v>
      </c>
      <c r="H2183" s="2">
        <v>0.58333333333333337</v>
      </c>
      <c r="I2183" s="2">
        <v>0.875</v>
      </c>
      <c r="J2183" t="s">
        <v>100</v>
      </c>
      <c r="L2183" t="s">
        <v>100</v>
      </c>
      <c r="M2183" t="s">
        <v>1253</v>
      </c>
      <c r="N2183" t="s">
        <v>1254</v>
      </c>
      <c r="O2183">
        <v>5951043</v>
      </c>
      <c r="Q2183" t="s">
        <v>379</v>
      </c>
      <c r="R2183" t="s">
        <v>380</v>
      </c>
      <c r="S2183" t="s">
        <v>52</v>
      </c>
      <c r="U2183">
        <v>890077</v>
      </c>
      <c r="V2183" s="3">
        <v>46045.365972222222</v>
      </c>
      <c r="W2183" t="s">
        <v>1256</v>
      </c>
      <c r="X2183" t="s">
        <v>1257</v>
      </c>
      <c r="Y2183" t="str">
        <f>"0431343551"</f>
        <v>0431343551</v>
      </c>
      <c r="Z2183" t="s">
        <v>254</v>
      </c>
      <c r="AA2183" s="1">
        <v>46063</v>
      </c>
      <c r="AB2183" t="s">
        <v>383</v>
      </c>
      <c r="AD2183" t="s">
        <v>168</v>
      </c>
      <c r="AE2183" t="s">
        <v>384</v>
      </c>
      <c r="AF2183">
        <v>5000</v>
      </c>
      <c r="AI2183" t="s">
        <v>59</v>
      </c>
      <c r="AL2183" t="s">
        <v>4738</v>
      </c>
      <c r="AN2183" s="3">
        <v>46063.894444444442</v>
      </c>
      <c r="AO2183" t="s">
        <v>1256</v>
      </c>
    </row>
    <row r="2184" spans="1:41" x14ac:dyDescent="0.3">
      <c r="A2184" t="s">
        <v>41</v>
      </c>
      <c r="B2184" t="s">
        <v>1557</v>
      </c>
      <c r="C2184" t="s">
        <v>183</v>
      </c>
      <c r="D2184" t="s">
        <v>63</v>
      </c>
      <c r="E2184" s="1">
        <v>46063</v>
      </c>
      <c r="F2184" t="s">
        <v>1376</v>
      </c>
      <c r="G2184" t="s">
        <v>128</v>
      </c>
      <c r="H2184" s="2">
        <v>0.625</v>
      </c>
      <c r="I2184" s="2">
        <v>0.875</v>
      </c>
      <c r="J2184" t="s">
        <v>185</v>
      </c>
      <c r="L2184" t="s">
        <v>186</v>
      </c>
      <c r="M2184" t="s">
        <v>1558</v>
      </c>
      <c r="N2184" t="s">
        <v>1055</v>
      </c>
      <c r="O2184">
        <v>5952442</v>
      </c>
      <c r="Q2184" t="s">
        <v>2884</v>
      </c>
      <c r="R2184" t="s">
        <v>1472</v>
      </c>
      <c r="S2184" t="s">
        <v>52</v>
      </c>
      <c r="U2184">
        <v>890070</v>
      </c>
      <c r="V2184" s="3">
        <v>46062.455555555556</v>
      </c>
      <c r="W2184" t="s">
        <v>1560</v>
      </c>
      <c r="X2184" t="s">
        <v>1561</v>
      </c>
      <c r="Y2184" t="str">
        <f>"0459639482"</f>
        <v>0459639482</v>
      </c>
      <c r="Z2184" t="s">
        <v>70</v>
      </c>
      <c r="AA2184" s="1">
        <v>46063</v>
      </c>
      <c r="AB2184" t="s">
        <v>1562</v>
      </c>
      <c r="AD2184" t="s">
        <v>41</v>
      </c>
      <c r="AE2184" t="s">
        <v>1563</v>
      </c>
      <c r="AF2184">
        <v>4109</v>
      </c>
      <c r="AG2184" t="s">
        <v>2884</v>
      </c>
      <c r="AI2184" t="s">
        <v>59</v>
      </c>
      <c r="AL2184" t="s">
        <v>87</v>
      </c>
      <c r="AN2184" s="3">
        <v>46063.852083333331</v>
      </c>
      <c r="AO2184" t="s">
        <v>1560</v>
      </c>
    </row>
    <row r="2185" spans="1:41" x14ac:dyDescent="0.3">
      <c r="A2185" t="s">
        <v>41</v>
      </c>
      <c r="B2185" t="s">
        <v>1739</v>
      </c>
      <c r="C2185" t="s">
        <v>296</v>
      </c>
      <c r="D2185" t="s">
        <v>246</v>
      </c>
      <c r="E2185" s="1">
        <v>46063</v>
      </c>
      <c r="F2185" t="s">
        <v>1376</v>
      </c>
      <c r="G2185" t="s">
        <v>128</v>
      </c>
      <c r="H2185" s="2">
        <v>0.625</v>
      </c>
      <c r="I2185" s="2">
        <v>0.89583333333333337</v>
      </c>
      <c r="J2185" t="s">
        <v>296</v>
      </c>
      <c r="K2185" t="s">
        <v>2003</v>
      </c>
      <c r="L2185" t="s">
        <v>1229</v>
      </c>
      <c r="M2185" t="s">
        <v>1230</v>
      </c>
      <c r="N2185" t="s">
        <v>1231</v>
      </c>
      <c r="O2185">
        <v>5952329</v>
      </c>
      <c r="Q2185" t="s">
        <v>3473</v>
      </c>
      <c r="R2185" t="s">
        <v>51</v>
      </c>
      <c r="S2185" t="s">
        <v>52</v>
      </c>
      <c r="U2185">
        <v>890082</v>
      </c>
      <c r="V2185" s="3">
        <v>46063.463194444441</v>
      </c>
      <c r="W2185" t="s">
        <v>1233</v>
      </c>
      <c r="X2185" t="s">
        <v>1234</v>
      </c>
      <c r="Y2185" t="str">
        <f>"0485533840"</f>
        <v>0485533840</v>
      </c>
      <c r="Z2185" t="s">
        <v>70</v>
      </c>
      <c r="AA2185" s="1">
        <v>46063</v>
      </c>
      <c r="AB2185" t="s">
        <v>1741</v>
      </c>
      <c r="AD2185" t="s">
        <v>41</v>
      </c>
      <c r="AE2185" t="s">
        <v>1742</v>
      </c>
      <c r="AF2185">
        <v>4226</v>
      </c>
      <c r="AG2185" t="s">
        <v>3473</v>
      </c>
      <c r="AI2185" t="s">
        <v>59</v>
      </c>
      <c r="AL2185" t="s">
        <v>4739</v>
      </c>
      <c r="AN2185" s="3">
        <v>46063.936805555553</v>
      </c>
      <c r="AO2185" t="s">
        <v>1233</v>
      </c>
    </row>
    <row r="2186" spans="1:41" x14ac:dyDescent="0.3">
      <c r="A2186" t="s">
        <v>61</v>
      </c>
      <c r="B2186" t="s">
        <v>182</v>
      </c>
      <c r="C2186" t="s">
        <v>1732</v>
      </c>
      <c r="D2186" t="s">
        <v>184</v>
      </c>
      <c r="E2186" s="1">
        <v>46063</v>
      </c>
      <c r="F2186" t="s">
        <v>1376</v>
      </c>
      <c r="G2186" t="s">
        <v>128</v>
      </c>
      <c r="H2186" s="2">
        <v>0.625</v>
      </c>
      <c r="I2186" s="2">
        <v>0.98958333333333337</v>
      </c>
      <c r="J2186" t="s">
        <v>258</v>
      </c>
      <c r="L2186" t="s">
        <v>159</v>
      </c>
      <c r="M2186" t="s">
        <v>2637</v>
      </c>
      <c r="N2186" t="s">
        <v>2638</v>
      </c>
      <c r="O2186">
        <v>718</v>
      </c>
      <c r="Q2186" t="s">
        <v>2639</v>
      </c>
      <c r="R2186" t="s">
        <v>67</v>
      </c>
      <c r="S2186" t="s">
        <v>52</v>
      </c>
      <c r="U2186">
        <v>890029</v>
      </c>
      <c r="V2186" s="3">
        <v>46044.464583333334</v>
      </c>
      <c r="W2186" t="s">
        <v>2640</v>
      </c>
      <c r="X2186" t="s">
        <v>2641</v>
      </c>
      <c r="Y2186" t="str">
        <f>"0424960094"</f>
        <v>0424960094</v>
      </c>
      <c r="Z2186" t="s">
        <v>395</v>
      </c>
      <c r="AB2186" t="s">
        <v>193</v>
      </c>
      <c r="AD2186" t="s">
        <v>61</v>
      </c>
      <c r="AE2186" t="s">
        <v>194</v>
      </c>
      <c r="AF2186">
        <v>2229</v>
      </c>
      <c r="AG2186" t="s">
        <v>2639</v>
      </c>
      <c r="AI2186" t="s">
        <v>59</v>
      </c>
      <c r="AL2186" t="s">
        <v>4544</v>
      </c>
      <c r="AN2186" s="3">
        <v>46063.78402777778</v>
      </c>
      <c r="AO2186" t="s">
        <v>2640</v>
      </c>
    </row>
    <row r="2187" spans="1:41" x14ac:dyDescent="0.3">
      <c r="A2187" t="s">
        <v>306</v>
      </c>
      <c r="B2187" t="s">
        <v>450</v>
      </c>
      <c r="C2187" t="s">
        <v>100</v>
      </c>
      <c r="D2187" t="s">
        <v>63</v>
      </c>
      <c r="E2187" s="1">
        <v>46063</v>
      </c>
      <c r="F2187" t="s">
        <v>1376</v>
      </c>
      <c r="G2187" t="s">
        <v>128</v>
      </c>
      <c r="H2187" s="2">
        <v>0.625</v>
      </c>
      <c r="I2187" s="2">
        <v>0.91666666666666663</v>
      </c>
      <c r="J2187" t="s">
        <v>451</v>
      </c>
      <c r="L2187" t="s">
        <v>473</v>
      </c>
      <c r="M2187" t="s">
        <v>474</v>
      </c>
      <c r="N2187" t="s">
        <v>475</v>
      </c>
      <c r="O2187">
        <v>5950662</v>
      </c>
      <c r="Q2187" t="s">
        <v>461</v>
      </c>
      <c r="R2187" t="s">
        <v>476</v>
      </c>
      <c r="S2187" t="s">
        <v>52</v>
      </c>
      <c r="U2187">
        <v>890079</v>
      </c>
      <c r="V2187" s="3">
        <v>46062.373611111114</v>
      </c>
      <c r="W2187" t="s">
        <v>477</v>
      </c>
      <c r="X2187" t="s">
        <v>478</v>
      </c>
      <c r="Y2187" t="str">
        <f>"0449808311"</f>
        <v>0449808311</v>
      </c>
      <c r="Z2187" t="s">
        <v>70</v>
      </c>
      <c r="AA2187" s="1">
        <v>46063</v>
      </c>
      <c r="AB2187" t="s">
        <v>459</v>
      </c>
      <c r="AD2187" t="s">
        <v>306</v>
      </c>
      <c r="AE2187" t="s">
        <v>460</v>
      </c>
      <c r="AF2187">
        <v>3058</v>
      </c>
      <c r="AG2187" t="s">
        <v>455</v>
      </c>
      <c r="AI2187" t="s">
        <v>59</v>
      </c>
      <c r="AL2187" t="s">
        <v>87</v>
      </c>
      <c r="AN2187" s="3">
        <v>46063.912499999999</v>
      </c>
      <c r="AO2187" t="s">
        <v>477</v>
      </c>
    </row>
    <row r="2188" spans="1:41" x14ac:dyDescent="0.3">
      <c r="A2188" t="s">
        <v>168</v>
      </c>
      <c r="B2188" t="s">
        <v>215</v>
      </c>
      <c r="C2188" t="s">
        <v>202</v>
      </c>
      <c r="D2188" t="s">
        <v>127</v>
      </c>
      <c r="E2188" s="1">
        <v>46063</v>
      </c>
      <c r="F2188" t="s">
        <v>1376</v>
      </c>
      <c r="G2188" t="s">
        <v>128</v>
      </c>
      <c r="H2188" s="2">
        <v>0.66666666666666663</v>
      </c>
      <c r="I2188" s="2">
        <v>0.83333333333333337</v>
      </c>
      <c r="J2188" t="s">
        <v>46</v>
      </c>
      <c r="L2188" t="s">
        <v>47</v>
      </c>
      <c r="M2188" t="s">
        <v>420</v>
      </c>
      <c r="N2188" t="s">
        <v>421</v>
      </c>
      <c r="O2188">
        <v>21332</v>
      </c>
      <c r="Q2188" t="s">
        <v>219</v>
      </c>
      <c r="R2188" t="s">
        <v>176</v>
      </c>
      <c r="S2188" t="s">
        <v>52</v>
      </c>
      <c r="U2188">
        <v>890064</v>
      </c>
      <c r="V2188" s="3">
        <v>46043.799305555556</v>
      </c>
      <c r="W2188" t="s">
        <v>422</v>
      </c>
      <c r="X2188" t="s">
        <v>423</v>
      </c>
      <c r="Y2188" t="str">
        <f>"0481793381"</f>
        <v>0481793381</v>
      </c>
      <c r="Z2188" t="s">
        <v>673</v>
      </c>
      <c r="AB2188" t="s">
        <v>222</v>
      </c>
      <c r="AD2188" t="s">
        <v>168</v>
      </c>
      <c r="AE2188" t="s">
        <v>223</v>
      </c>
      <c r="AF2188">
        <v>5069</v>
      </c>
      <c r="AG2188" t="s">
        <v>219</v>
      </c>
      <c r="AI2188" t="s">
        <v>59</v>
      </c>
      <c r="AL2188" t="s">
        <v>224</v>
      </c>
      <c r="AN2188" s="3">
        <v>46063.845138888886</v>
      </c>
      <c r="AO2188" t="s">
        <v>422</v>
      </c>
    </row>
    <row r="2189" spans="1:41" x14ac:dyDescent="0.3">
      <c r="A2189" t="s">
        <v>61</v>
      </c>
      <c r="B2189" t="s">
        <v>507</v>
      </c>
      <c r="C2189" t="s">
        <v>1627</v>
      </c>
      <c r="D2189" t="s">
        <v>63</v>
      </c>
      <c r="E2189" s="1">
        <v>46063</v>
      </c>
      <c r="F2189" t="s">
        <v>1376</v>
      </c>
      <c r="G2189" t="s">
        <v>485</v>
      </c>
      <c r="H2189" s="2">
        <v>0.79166666666666663</v>
      </c>
      <c r="I2189" s="2">
        <v>0.3125</v>
      </c>
      <c r="J2189" t="s">
        <v>486</v>
      </c>
      <c r="L2189" t="s">
        <v>487</v>
      </c>
      <c r="M2189" t="s">
        <v>1645</v>
      </c>
      <c r="N2189" t="s">
        <v>1646</v>
      </c>
      <c r="O2189">
        <v>5951065</v>
      </c>
      <c r="Q2189" t="s">
        <v>4740</v>
      </c>
      <c r="R2189" t="s">
        <v>132</v>
      </c>
      <c r="S2189" t="s">
        <v>52</v>
      </c>
      <c r="U2189">
        <v>890093</v>
      </c>
      <c r="V2189" s="3">
        <v>46063.477083333331</v>
      </c>
      <c r="W2189" t="s">
        <v>1647</v>
      </c>
      <c r="X2189" t="s">
        <v>1648</v>
      </c>
      <c r="Y2189" t="str">
        <f>"0408979009"</f>
        <v>0408979009</v>
      </c>
      <c r="Z2189" t="s">
        <v>70</v>
      </c>
      <c r="AA2189" s="1">
        <v>46063</v>
      </c>
      <c r="AB2189" t="s">
        <v>514</v>
      </c>
      <c r="AD2189" t="s">
        <v>61</v>
      </c>
      <c r="AE2189" t="s">
        <v>515</v>
      </c>
      <c r="AF2189">
        <v>2086</v>
      </c>
      <c r="AG2189" t="s">
        <v>4740</v>
      </c>
      <c r="AI2189" t="s">
        <v>59</v>
      </c>
      <c r="AL2189" t="s">
        <v>87</v>
      </c>
      <c r="AN2189" s="3">
        <v>46064.322916666664</v>
      </c>
      <c r="AO2189" t="s">
        <v>1647</v>
      </c>
    </row>
    <row r="2190" spans="1:41" x14ac:dyDescent="0.3">
      <c r="A2190" t="s">
        <v>61</v>
      </c>
      <c r="B2190" t="s">
        <v>507</v>
      </c>
      <c r="C2190" t="s">
        <v>1627</v>
      </c>
      <c r="D2190" t="s">
        <v>63</v>
      </c>
      <c r="E2190" s="1">
        <v>46063</v>
      </c>
      <c r="F2190" t="s">
        <v>1376</v>
      </c>
      <c r="G2190" t="s">
        <v>485</v>
      </c>
      <c r="H2190" s="2">
        <v>0.79166666666666663</v>
      </c>
      <c r="I2190" s="2">
        <v>0.3125</v>
      </c>
      <c r="J2190" t="s">
        <v>486</v>
      </c>
      <c r="K2190" t="s">
        <v>624</v>
      </c>
      <c r="L2190" t="s">
        <v>487</v>
      </c>
      <c r="M2190" t="s">
        <v>1463</v>
      </c>
      <c r="N2190" t="s">
        <v>1464</v>
      </c>
      <c r="O2190">
        <v>22756</v>
      </c>
      <c r="Q2190" t="s">
        <v>1310</v>
      </c>
      <c r="R2190" t="s">
        <v>132</v>
      </c>
      <c r="S2190" t="s">
        <v>52</v>
      </c>
      <c r="U2190">
        <v>890092</v>
      </c>
      <c r="V2190" s="3">
        <v>46029.584027777775</v>
      </c>
      <c r="W2190" t="s">
        <v>1466</v>
      </c>
      <c r="X2190" t="s">
        <v>1467</v>
      </c>
      <c r="Y2190" t="str">
        <f>"0416856891"</f>
        <v>0416856891</v>
      </c>
      <c r="Z2190" t="s">
        <v>908</v>
      </c>
      <c r="AB2190" t="s">
        <v>514</v>
      </c>
      <c r="AD2190" t="s">
        <v>61</v>
      </c>
      <c r="AE2190" t="s">
        <v>515</v>
      </c>
      <c r="AF2190">
        <v>2086</v>
      </c>
      <c r="AG2190" t="s">
        <v>516</v>
      </c>
      <c r="AI2190" t="s">
        <v>59</v>
      </c>
      <c r="AL2190" t="s">
        <v>4741</v>
      </c>
      <c r="AN2190" s="3">
        <v>46064.30972222222</v>
      </c>
      <c r="AO2190" t="s">
        <v>1466</v>
      </c>
    </row>
    <row r="2191" spans="1:41" x14ac:dyDescent="0.3">
      <c r="A2191" t="s">
        <v>61</v>
      </c>
      <c r="B2191" t="s">
        <v>1271</v>
      </c>
      <c r="C2191" t="s">
        <v>1272</v>
      </c>
      <c r="D2191" t="s">
        <v>184</v>
      </c>
      <c r="E2191" s="1">
        <v>46063</v>
      </c>
      <c r="F2191" t="s">
        <v>1376</v>
      </c>
      <c r="G2191" t="s">
        <v>485</v>
      </c>
      <c r="H2191" s="2">
        <v>0.79166666666666663</v>
      </c>
      <c r="I2191" s="2">
        <v>0.3125</v>
      </c>
      <c r="J2191" t="s">
        <v>486</v>
      </c>
      <c r="L2191" t="s">
        <v>487</v>
      </c>
      <c r="M2191" t="s">
        <v>2064</v>
      </c>
      <c r="N2191" t="s">
        <v>2065</v>
      </c>
      <c r="O2191">
        <v>5952410</v>
      </c>
      <c r="Q2191" t="s">
        <v>1190</v>
      </c>
      <c r="R2191" t="s">
        <v>67</v>
      </c>
      <c r="S2191" t="s">
        <v>52</v>
      </c>
      <c r="U2191">
        <v>890091</v>
      </c>
      <c r="V2191" s="3">
        <v>46056.50277777778</v>
      </c>
      <c r="W2191" t="s">
        <v>2067</v>
      </c>
      <c r="X2191" t="s">
        <v>2068</v>
      </c>
      <c r="Y2191" t="str">
        <f>"0410100247"</f>
        <v>0410100247</v>
      </c>
      <c r="Z2191" t="s">
        <v>545</v>
      </c>
      <c r="AA2191" s="1">
        <v>46063</v>
      </c>
      <c r="AB2191" t="s">
        <v>1278</v>
      </c>
      <c r="AD2191" t="s">
        <v>61</v>
      </c>
      <c r="AE2191" t="s">
        <v>1279</v>
      </c>
      <c r="AF2191">
        <v>2145</v>
      </c>
      <c r="AG2191" t="s">
        <v>1190</v>
      </c>
      <c r="AI2191" t="s">
        <v>59</v>
      </c>
      <c r="AL2191" t="s">
        <v>4742</v>
      </c>
      <c r="AN2191" s="3">
        <v>46064.296527777777</v>
      </c>
      <c r="AO2191" t="s">
        <v>2067</v>
      </c>
    </row>
    <row r="2192" spans="1:41" x14ac:dyDescent="0.3">
      <c r="A2192" t="s">
        <v>306</v>
      </c>
      <c r="B2192" t="s">
        <v>1060</v>
      </c>
      <c r="C2192" t="s">
        <v>3250</v>
      </c>
      <c r="D2192" t="s">
        <v>184</v>
      </c>
      <c r="E2192" s="1">
        <v>46063</v>
      </c>
      <c r="F2192" t="s">
        <v>1376</v>
      </c>
      <c r="G2192" t="s">
        <v>485</v>
      </c>
      <c r="H2192" s="2">
        <v>0.79166666666666663</v>
      </c>
      <c r="I2192" s="2">
        <v>0.3125</v>
      </c>
      <c r="J2192" t="s">
        <v>4234</v>
      </c>
      <c r="K2192" t="s">
        <v>530</v>
      </c>
      <c r="L2192" t="s">
        <v>531</v>
      </c>
      <c r="M2192" t="s">
        <v>532</v>
      </c>
      <c r="N2192" t="s">
        <v>533</v>
      </c>
      <c r="O2192">
        <v>20495</v>
      </c>
      <c r="Q2192" t="s">
        <v>2197</v>
      </c>
      <c r="R2192" t="s">
        <v>314</v>
      </c>
      <c r="S2192" t="s">
        <v>119</v>
      </c>
      <c r="T2192" t="s">
        <v>414</v>
      </c>
      <c r="U2192">
        <v>890708</v>
      </c>
      <c r="V2192" s="3">
        <v>46063.544444444444</v>
      </c>
      <c r="W2192" t="s">
        <v>535</v>
      </c>
      <c r="X2192" t="s">
        <v>536</v>
      </c>
      <c r="Y2192" t="str">
        <f>"0447625522"</f>
        <v>0447625522</v>
      </c>
      <c r="Z2192" t="s">
        <v>70</v>
      </c>
      <c r="AB2192" t="s">
        <v>1066</v>
      </c>
      <c r="AD2192" t="s">
        <v>306</v>
      </c>
      <c r="AE2192" t="s">
        <v>1067</v>
      </c>
      <c r="AF2192">
        <v>3084</v>
      </c>
      <c r="AI2192" t="s">
        <v>59</v>
      </c>
      <c r="AL2192" t="s">
        <v>1068</v>
      </c>
      <c r="AM2192" t="s">
        <v>4743</v>
      </c>
      <c r="AN2192" s="3">
        <v>46063.545138888891</v>
      </c>
      <c r="AO2192" t="s">
        <v>314</v>
      </c>
    </row>
    <row r="2193" spans="1:41" x14ac:dyDescent="0.3">
      <c r="A2193" t="s">
        <v>61</v>
      </c>
      <c r="B2193" t="s">
        <v>1271</v>
      </c>
      <c r="C2193" t="s">
        <v>1272</v>
      </c>
      <c r="D2193" t="s">
        <v>184</v>
      </c>
      <c r="E2193" s="1">
        <v>46063</v>
      </c>
      <c r="F2193" t="s">
        <v>1376</v>
      </c>
      <c r="G2193" t="s">
        <v>485</v>
      </c>
      <c r="H2193" s="2">
        <v>0.79166666666666663</v>
      </c>
      <c r="I2193" s="2">
        <v>0.3125</v>
      </c>
      <c r="J2193" t="s">
        <v>486</v>
      </c>
      <c r="L2193" t="s">
        <v>487</v>
      </c>
      <c r="M2193" t="s">
        <v>596</v>
      </c>
      <c r="N2193" t="s">
        <v>1280</v>
      </c>
      <c r="O2193">
        <v>5952187</v>
      </c>
      <c r="Q2193" t="s">
        <v>1190</v>
      </c>
      <c r="R2193" t="s">
        <v>67</v>
      </c>
      <c r="S2193" t="s">
        <v>52</v>
      </c>
      <c r="U2193">
        <v>890290</v>
      </c>
      <c r="V2193" s="3">
        <v>46056.50277777778</v>
      </c>
      <c r="W2193" t="s">
        <v>1281</v>
      </c>
      <c r="X2193" t="s">
        <v>1282</v>
      </c>
      <c r="Y2193" t="str">
        <f>"0417203844"</f>
        <v>0417203844</v>
      </c>
      <c r="Z2193" t="s">
        <v>503</v>
      </c>
      <c r="AB2193" t="s">
        <v>1278</v>
      </c>
      <c r="AD2193" t="s">
        <v>61</v>
      </c>
      <c r="AE2193" t="s">
        <v>1279</v>
      </c>
      <c r="AF2193">
        <v>2145</v>
      </c>
      <c r="AG2193" t="s">
        <v>1045</v>
      </c>
      <c r="AI2193" t="s">
        <v>59</v>
      </c>
      <c r="AL2193" t="s">
        <v>4544</v>
      </c>
      <c r="AN2193" s="3">
        <v>46065.994444444441</v>
      </c>
      <c r="AO2193" t="s">
        <v>1281</v>
      </c>
    </row>
    <row r="2194" spans="1:41" x14ac:dyDescent="0.3">
      <c r="A2194" t="s">
        <v>168</v>
      </c>
      <c r="B2194" t="s">
        <v>266</v>
      </c>
      <c r="C2194" t="s">
        <v>267</v>
      </c>
      <c r="D2194" t="s">
        <v>268</v>
      </c>
      <c r="E2194" s="1">
        <v>46063</v>
      </c>
      <c r="F2194" t="s">
        <v>1376</v>
      </c>
      <c r="G2194" t="s">
        <v>485</v>
      </c>
      <c r="H2194" s="2">
        <v>0.875</v>
      </c>
      <c r="I2194" s="2">
        <v>0.3125</v>
      </c>
      <c r="J2194" t="s">
        <v>269</v>
      </c>
      <c r="K2194" t="s">
        <v>297</v>
      </c>
      <c r="L2194" t="s">
        <v>47</v>
      </c>
      <c r="M2194" t="s">
        <v>517</v>
      </c>
      <c r="N2194" t="s">
        <v>518</v>
      </c>
      <c r="O2194">
        <v>5951368</v>
      </c>
      <c r="Q2194" t="s">
        <v>274</v>
      </c>
      <c r="R2194" t="s">
        <v>176</v>
      </c>
      <c r="S2194" t="s">
        <v>52</v>
      </c>
      <c r="U2194">
        <v>890094</v>
      </c>
      <c r="V2194" s="3">
        <v>45993.45208333333</v>
      </c>
      <c r="W2194" t="s">
        <v>519</v>
      </c>
      <c r="X2194" t="s">
        <v>520</v>
      </c>
      <c r="Y2194" t="str">
        <f>"0420208072"</f>
        <v>0420208072</v>
      </c>
      <c r="Z2194" t="s">
        <v>324</v>
      </c>
      <c r="AB2194" t="s">
        <v>277</v>
      </c>
      <c r="AC2194" t="s">
        <v>278</v>
      </c>
      <c r="AD2194" t="s">
        <v>168</v>
      </c>
      <c r="AE2194" t="s">
        <v>279</v>
      </c>
      <c r="AF2194">
        <v>5092</v>
      </c>
      <c r="AG2194" t="s">
        <v>274</v>
      </c>
      <c r="AI2194" t="s">
        <v>59</v>
      </c>
      <c r="AL2194" t="s">
        <v>4744</v>
      </c>
      <c r="AM2194" t="s">
        <v>281</v>
      </c>
      <c r="AN2194" s="3">
        <v>46064.32708333333</v>
      </c>
      <c r="AO2194" t="s">
        <v>519</v>
      </c>
    </row>
    <row r="2195" spans="1:41" x14ac:dyDescent="0.3">
      <c r="A2195" t="s">
        <v>168</v>
      </c>
      <c r="B2195" t="s">
        <v>336</v>
      </c>
      <c r="D2195" t="s">
        <v>268</v>
      </c>
      <c r="E2195" s="1">
        <v>46063</v>
      </c>
      <c r="F2195" t="s">
        <v>1376</v>
      </c>
      <c r="G2195" t="s">
        <v>485</v>
      </c>
      <c r="H2195" s="2">
        <v>0.875</v>
      </c>
      <c r="I2195" s="2">
        <v>0.3125</v>
      </c>
      <c r="J2195" t="s">
        <v>296</v>
      </c>
      <c r="K2195" t="s">
        <v>338</v>
      </c>
      <c r="L2195" t="s">
        <v>522</v>
      </c>
      <c r="M2195" t="s">
        <v>523</v>
      </c>
      <c r="N2195" t="s">
        <v>524</v>
      </c>
      <c r="O2195">
        <v>5951086</v>
      </c>
      <c r="P2195" t="s">
        <v>338</v>
      </c>
      <c r="Q2195" t="s">
        <v>342</v>
      </c>
      <c r="R2195" t="s">
        <v>176</v>
      </c>
      <c r="S2195" t="s">
        <v>52</v>
      </c>
      <c r="U2195">
        <v>890087</v>
      </c>
      <c r="V2195" s="3">
        <v>46050.414583333331</v>
      </c>
      <c r="W2195" t="s">
        <v>525</v>
      </c>
      <c r="X2195" t="s">
        <v>526</v>
      </c>
      <c r="Y2195" t="str">
        <f>"0415251474"</f>
        <v>0415251474</v>
      </c>
      <c r="Z2195" t="s">
        <v>2417</v>
      </c>
      <c r="AB2195" t="s">
        <v>346</v>
      </c>
      <c r="AD2195" t="s">
        <v>168</v>
      </c>
      <c r="AE2195" t="s">
        <v>347</v>
      </c>
      <c r="AF2195">
        <v>5042</v>
      </c>
      <c r="AG2195" t="s">
        <v>342</v>
      </c>
      <c r="AI2195" t="s">
        <v>59</v>
      </c>
      <c r="AL2195" t="s">
        <v>4546</v>
      </c>
      <c r="AM2195" t="s">
        <v>349</v>
      </c>
      <c r="AN2195" s="3">
        <v>46064.017361111109</v>
      </c>
      <c r="AO2195" t="s">
        <v>525</v>
      </c>
    </row>
    <row r="2196" spans="1:41" x14ac:dyDescent="0.3">
      <c r="A2196" t="s">
        <v>41</v>
      </c>
      <c r="B2196" t="s">
        <v>1557</v>
      </c>
      <c r="C2196" t="s">
        <v>4079</v>
      </c>
      <c r="D2196" t="s">
        <v>63</v>
      </c>
      <c r="E2196" s="1">
        <v>46063</v>
      </c>
      <c r="F2196" t="s">
        <v>1376</v>
      </c>
      <c r="G2196" t="s">
        <v>485</v>
      </c>
      <c r="H2196" s="2">
        <v>0.91666666666666663</v>
      </c>
      <c r="I2196" s="2">
        <v>0.3125</v>
      </c>
      <c r="J2196" t="s">
        <v>296</v>
      </c>
      <c r="K2196" t="s">
        <v>360</v>
      </c>
      <c r="L2196" t="s">
        <v>633</v>
      </c>
      <c r="M2196" t="s">
        <v>2090</v>
      </c>
      <c r="N2196" t="s">
        <v>1396</v>
      </c>
      <c r="O2196">
        <v>402502</v>
      </c>
      <c r="Q2196" t="s">
        <v>4745</v>
      </c>
      <c r="R2196" t="s">
        <v>208</v>
      </c>
      <c r="S2196" t="s">
        <v>52</v>
      </c>
      <c r="U2196">
        <v>890099</v>
      </c>
      <c r="V2196" s="3">
        <v>46063.89166666667</v>
      </c>
      <c r="W2196" t="s">
        <v>2092</v>
      </c>
      <c r="X2196" t="s">
        <v>2093</v>
      </c>
      <c r="Y2196" t="str">
        <f>"0413242523"</f>
        <v>0413242523</v>
      </c>
      <c r="Z2196" t="s">
        <v>70</v>
      </c>
      <c r="AA2196" s="1">
        <v>46063</v>
      </c>
      <c r="AB2196" t="s">
        <v>1562</v>
      </c>
      <c r="AD2196" t="s">
        <v>41</v>
      </c>
      <c r="AE2196" t="s">
        <v>1563</v>
      </c>
      <c r="AF2196">
        <v>4109</v>
      </c>
      <c r="AG2196" t="s">
        <v>3873</v>
      </c>
      <c r="AI2196" t="s">
        <v>59</v>
      </c>
      <c r="AL2196" t="s">
        <v>2901</v>
      </c>
      <c r="AN2196" s="3">
        <v>46064.359722222223</v>
      </c>
      <c r="AO2196" t="s">
        <v>2092</v>
      </c>
    </row>
    <row r="2197" spans="1:41" x14ac:dyDescent="0.3">
      <c r="A2197" t="s">
        <v>41</v>
      </c>
      <c r="B2197" t="s">
        <v>426</v>
      </c>
      <c r="C2197" t="s">
        <v>296</v>
      </c>
      <c r="D2197" t="s">
        <v>246</v>
      </c>
      <c r="E2197" s="1">
        <v>46063</v>
      </c>
      <c r="F2197" t="s">
        <v>1376</v>
      </c>
      <c r="G2197" t="s">
        <v>485</v>
      </c>
      <c r="H2197" s="2">
        <v>0.94791666666666663</v>
      </c>
      <c r="I2197" s="2">
        <v>0.30208333333333331</v>
      </c>
      <c r="J2197" t="s">
        <v>464</v>
      </c>
      <c r="L2197" t="s">
        <v>540</v>
      </c>
      <c r="M2197" t="s">
        <v>541</v>
      </c>
      <c r="N2197" t="s">
        <v>542</v>
      </c>
      <c r="O2197">
        <v>402297</v>
      </c>
      <c r="Q2197" t="s">
        <v>2101</v>
      </c>
      <c r="R2197" t="s">
        <v>1472</v>
      </c>
      <c r="S2197" t="s">
        <v>52</v>
      </c>
      <c r="U2197">
        <v>890095</v>
      </c>
      <c r="V2197" s="3">
        <v>46063.595138888886</v>
      </c>
      <c r="W2197" t="s">
        <v>543</v>
      </c>
      <c r="X2197" t="s">
        <v>544</v>
      </c>
      <c r="Y2197" t="str">
        <f>"0434044099"</f>
        <v>0434044099</v>
      </c>
      <c r="Z2197" t="s">
        <v>123</v>
      </c>
      <c r="AA2197" s="1">
        <v>46063</v>
      </c>
      <c r="AB2197" t="s">
        <v>434</v>
      </c>
      <c r="AD2197" t="s">
        <v>41</v>
      </c>
      <c r="AE2197" t="s">
        <v>435</v>
      </c>
      <c r="AF2197">
        <v>4163</v>
      </c>
      <c r="AG2197" t="s">
        <v>2101</v>
      </c>
      <c r="AI2197" t="s">
        <v>59</v>
      </c>
      <c r="AL2197" t="s">
        <v>87</v>
      </c>
      <c r="AN2197" s="3">
        <v>46064.34375</v>
      </c>
      <c r="AO2197" t="s">
        <v>543</v>
      </c>
    </row>
    <row r="2198" spans="1:41" x14ac:dyDescent="0.3">
      <c r="A2198" t="s">
        <v>41</v>
      </c>
      <c r="B2198" t="s">
        <v>426</v>
      </c>
      <c r="C2198" t="s">
        <v>296</v>
      </c>
      <c r="D2198" t="s">
        <v>246</v>
      </c>
      <c r="E2198" s="1">
        <v>46063</v>
      </c>
      <c r="F2198" t="s">
        <v>1376</v>
      </c>
      <c r="G2198" t="s">
        <v>485</v>
      </c>
      <c r="H2198" s="2">
        <v>0.94791666666666663</v>
      </c>
      <c r="I2198" s="2">
        <v>0.30208333333333331</v>
      </c>
      <c r="J2198" t="s">
        <v>464</v>
      </c>
      <c r="L2198" t="s">
        <v>2973</v>
      </c>
      <c r="M2198" t="s">
        <v>2974</v>
      </c>
      <c r="N2198" t="s">
        <v>2975</v>
      </c>
      <c r="O2198">
        <v>400791</v>
      </c>
      <c r="Q2198" t="s">
        <v>4746</v>
      </c>
      <c r="R2198" t="s">
        <v>556</v>
      </c>
      <c r="S2198" t="s">
        <v>52</v>
      </c>
      <c r="U2198">
        <v>890096</v>
      </c>
      <c r="V2198" s="3">
        <v>46063.777083333334</v>
      </c>
      <c r="W2198" t="s">
        <v>2977</v>
      </c>
      <c r="X2198" t="s">
        <v>2978</v>
      </c>
      <c r="Y2198" t="str">
        <f>"0423500814"</f>
        <v>0423500814</v>
      </c>
      <c r="Z2198" t="s">
        <v>70</v>
      </c>
      <c r="AA2198" s="1">
        <v>46063</v>
      </c>
      <c r="AB2198" t="s">
        <v>434</v>
      </c>
      <c r="AD2198" t="s">
        <v>41</v>
      </c>
      <c r="AE2198" t="s">
        <v>435</v>
      </c>
      <c r="AF2198">
        <v>4163</v>
      </c>
      <c r="AG2198" t="s">
        <v>2101</v>
      </c>
      <c r="AI2198" t="s">
        <v>59</v>
      </c>
      <c r="AL2198" t="s">
        <v>4747</v>
      </c>
      <c r="AN2198" s="3">
        <v>46064.345138888886</v>
      </c>
      <c r="AO2198" t="s">
        <v>2977</v>
      </c>
    </row>
    <row r="2199" spans="1:41" x14ac:dyDescent="0.3">
      <c r="A2199" t="s">
        <v>41</v>
      </c>
      <c r="B2199" t="s">
        <v>426</v>
      </c>
      <c r="C2199" t="s">
        <v>296</v>
      </c>
      <c r="D2199" t="s">
        <v>246</v>
      </c>
      <c r="E2199" s="1">
        <v>46063</v>
      </c>
      <c r="F2199" t="s">
        <v>1376</v>
      </c>
      <c r="G2199" t="s">
        <v>485</v>
      </c>
      <c r="H2199" s="2">
        <v>0.94791666666666663</v>
      </c>
      <c r="I2199" s="2">
        <v>0.30208333333333331</v>
      </c>
      <c r="J2199" t="s">
        <v>464</v>
      </c>
      <c r="L2199" t="s">
        <v>540</v>
      </c>
      <c r="M2199" t="s">
        <v>563</v>
      </c>
      <c r="N2199" t="s">
        <v>564</v>
      </c>
      <c r="O2199">
        <v>402477</v>
      </c>
      <c r="Q2199" t="s">
        <v>2101</v>
      </c>
      <c r="R2199" t="s">
        <v>1472</v>
      </c>
      <c r="S2199" t="s">
        <v>52</v>
      </c>
      <c r="U2199">
        <v>890097</v>
      </c>
      <c r="V2199" s="3">
        <v>46063.595138888886</v>
      </c>
      <c r="W2199" t="s">
        <v>565</v>
      </c>
      <c r="X2199" t="s">
        <v>566</v>
      </c>
      <c r="Y2199" t="str">
        <f>"0417873276"</f>
        <v>0417873276</v>
      </c>
      <c r="Z2199" t="s">
        <v>55</v>
      </c>
      <c r="AA2199" s="1">
        <v>46063</v>
      </c>
      <c r="AB2199" t="s">
        <v>434</v>
      </c>
      <c r="AD2199" t="s">
        <v>41</v>
      </c>
      <c r="AE2199" t="s">
        <v>435</v>
      </c>
      <c r="AF2199">
        <v>4163</v>
      </c>
      <c r="AG2199" t="s">
        <v>2101</v>
      </c>
      <c r="AI2199" t="s">
        <v>59</v>
      </c>
      <c r="AL2199" t="s">
        <v>87</v>
      </c>
      <c r="AN2199" s="3">
        <v>46064.345138888886</v>
      </c>
      <c r="AO2199" t="s">
        <v>565</v>
      </c>
    </row>
    <row r="2200" spans="1:41" x14ac:dyDescent="0.3">
      <c r="A2200" t="s">
        <v>41</v>
      </c>
      <c r="B2200" t="s">
        <v>426</v>
      </c>
      <c r="C2200" t="s">
        <v>296</v>
      </c>
      <c r="D2200" t="s">
        <v>246</v>
      </c>
      <c r="E2200" s="1">
        <v>46063</v>
      </c>
      <c r="F2200" t="s">
        <v>1376</v>
      </c>
      <c r="G2200" t="s">
        <v>485</v>
      </c>
      <c r="H2200" s="2">
        <v>0.94791666666666663</v>
      </c>
      <c r="I2200" s="2">
        <v>0.30208333333333331</v>
      </c>
      <c r="J2200" t="s">
        <v>296</v>
      </c>
      <c r="K2200" t="s">
        <v>427</v>
      </c>
      <c r="L2200" t="s">
        <v>1229</v>
      </c>
      <c r="M2200" t="s">
        <v>4748</v>
      </c>
      <c r="N2200" t="s">
        <v>3577</v>
      </c>
      <c r="O2200">
        <v>5952260</v>
      </c>
      <c r="Q2200" t="s">
        <v>2101</v>
      </c>
      <c r="R2200" t="s">
        <v>51</v>
      </c>
      <c r="S2200" t="s">
        <v>52</v>
      </c>
      <c r="U2200">
        <v>890098</v>
      </c>
      <c r="V2200" s="3">
        <v>46063.395833333336</v>
      </c>
      <c r="W2200" t="s">
        <v>4749</v>
      </c>
      <c r="X2200" t="s">
        <v>4750</v>
      </c>
      <c r="Y2200" t="str">
        <f>"0431711725"</f>
        <v>0431711725</v>
      </c>
      <c r="Z2200" t="s">
        <v>70</v>
      </c>
      <c r="AA2200" s="1">
        <v>46063</v>
      </c>
      <c r="AB2200" t="s">
        <v>434</v>
      </c>
      <c r="AD2200" t="s">
        <v>41</v>
      </c>
      <c r="AE2200" t="s">
        <v>435</v>
      </c>
      <c r="AF2200">
        <v>4163</v>
      </c>
      <c r="AG2200" t="s">
        <v>2101</v>
      </c>
      <c r="AI2200" t="s">
        <v>59</v>
      </c>
      <c r="AL2200" t="s">
        <v>4751</v>
      </c>
      <c r="AN2200" s="3">
        <v>46064.350694444445</v>
      </c>
      <c r="AO2200" t="s">
        <v>4749</v>
      </c>
    </row>
    <row r="2201" spans="1:41" x14ac:dyDescent="0.3">
      <c r="A2201" t="s">
        <v>41</v>
      </c>
      <c r="B2201" t="s">
        <v>589</v>
      </c>
      <c r="C2201" t="s">
        <v>590</v>
      </c>
      <c r="D2201" t="s">
        <v>246</v>
      </c>
      <c r="E2201" s="1">
        <v>46033</v>
      </c>
      <c r="F2201" t="s">
        <v>1617</v>
      </c>
      <c r="G2201" t="s">
        <v>45</v>
      </c>
      <c r="H2201" s="2">
        <v>0.29166666666666669</v>
      </c>
      <c r="I2201" s="2">
        <v>0.64583333333333337</v>
      </c>
      <c r="J2201" t="s">
        <v>591</v>
      </c>
      <c r="L2201" t="s">
        <v>592</v>
      </c>
      <c r="M2201" t="s">
        <v>593</v>
      </c>
      <c r="N2201" t="s">
        <v>594</v>
      </c>
      <c r="O2201">
        <v>5952427</v>
      </c>
      <c r="P2201" t="s">
        <v>595</v>
      </c>
      <c r="Q2201" t="s">
        <v>596</v>
      </c>
      <c r="R2201" t="s">
        <v>392</v>
      </c>
      <c r="S2201" t="s">
        <v>52</v>
      </c>
      <c r="T2201" t="s">
        <v>252</v>
      </c>
      <c r="U2201">
        <v>886903</v>
      </c>
      <c r="V2201" s="3">
        <v>46035.52847222222</v>
      </c>
      <c r="W2201" t="s">
        <v>597</v>
      </c>
      <c r="X2201" t="s">
        <v>598</v>
      </c>
      <c r="Y2201" t="str">
        <f>"0432677728"</f>
        <v>0432677728</v>
      </c>
      <c r="Z2201" t="s">
        <v>375</v>
      </c>
      <c r="AA2201" s="1">
        <v>46054</v>
      </c>
      <c r="AB2201" t="s">
        <v>599</v>
      </c>
      <c r="AC2201" t="s">
        <v>600</v>
      </c>
      <c r="AD2201" t="s">
        <v>41</v>
      </c>
      <c r="AE2201" t="s">
        <v>600</v>
      </c>
      <c r="AF2201">
        <v>4610</v>
      </c>
      <c r="AG2201" t="s">
        <v>601</v>
      </c>
      <c r="AI2201" t="s">
        <v>59</v>
      </c>
      <c r="AJ2201" t="str">
        <f>"0050075752"</f>
        <v>0050075752</v>
      </c>
      <c r="AN2201" s="3">
        <v>46035.52847222222</v>
      </c>
      <c r="AO2201" t="s">
        <v>392</v>
      </c>
    </row>
    <row r="2202" spans="1:41" x14ac:dyDescent="0.3">
      <c r="A2202" t="s">
        <v>41</v>
      </c>
      <c r="B2202" t="s">
        <v>568</v>
      </c>
      <c r="C2202" t="s">
        <v>602</v>
      </c>
      <c r="D2202" t="s">
        <v>246</v>
      </c>
      <c r="E2202" s="1">
        <v>46033</v>
      </c>
      <c r="F2202" t="s">
        <v>1617</v>
      </c>
      <c r="G2202" t="s">
        <v>128</v>
      </c>
      <c r="H2202" s="2">
        <v>0.60416666666666663</v>
      </c>
      <c r="I2202" s="2">
        <v>0.95833333333333337</v>
      </c>
      <c r="J2202" t="s">
        <v>269</v>
      </c>
      <c r="L2202" t="s">
        <v>47</v>
      </c>
      <c r="M2202" t="s">
        <v>603</v>
      </c>
      <c r="N2202" t="s">
        <v>604</v>
      </c>
      <c r="O2202">
        <v>80</v>
      </c>
      <c r="P2202" t="s">
        <v>571</v>
      </c>
      <c r="Q2202" t="s">
        <v>572</v>
      </c>
      <c r="R2202" t="s">
        <v>573</v>
      </c>
      <c r="S2202" t="s">
        <v>52</v>
      </c>
      <c r="T2202" t="s">
        <v>252</v>
      </c>
      <c r="U2202">
        <v>886833</v>
      </c>
      <c r="V2202" s="3">
        <v>46034.605555555558</v>
      </c>
      <c r="W2202" t="s">
        <v>605</v>
      </c>
      <c r="X2202" t="s">
        <v>606</v>
      </c>
      <c r="Y2202" t="str">
        <f>"0414330986"</f>
        <v>0414330986</v>
      </c>
      <c r="Z2202" t="s">
        <v>375</v>
      </c>
      <c r="AA2202" s="1">
        <v>46068</v>
      </c>
      <c r="AB2202" t="s">
        <v>576</v>
      </c>
      <c r="AD2202" t="s">
        <v>41</v>
      </c>
      <c r="AE2202" t="s">
        <v>577</v>
      </c>
      <c r="AF2202">
        <v>4700</v>
      </c>
      <c r="AG2202" t="s">
        <v>572</v>
      </c>
      <c r="AI2202" t="s">
        <v>59</v>
      </c>
      <c r="AJ2202" t="str">
        <f>"0050075176"</f>
        <v>0050075176</v>
      </c>
      <c r="AN2202" s="3">
        <v>46034.605555555558</v>
      </c>
      <c r="AO2202" t="s">
        <v>573</v>
      </c>
    </row>
    <row r="2203" spans="1:41" x14ac:dyDescent="0.3">
      <c r="A2203" t="s">
        <v>61</v>
      </c>
      <c r="B2203" t="s">
        <v>62</v>
      </c>
      <c r="C2203" t="s">
        <v>43</v>
      </c>
      <c r="D2203" t="s">
        <v>63</v>
      </c>
      <c r="E2203" s="1">
        <v>46064</v>
      </c>
      <c r="F2203" t="s">
        <v>44</v>
      </c>
      <c r="G2203" t="s">
        <v>45</v>
      </c>
      <c r="H2203" s="2">
        <v>0.25</v>
      </c>
      <c r="I2203" s="2">
        <v>0.99861111111111112</v>
      </c>
      <c r="J2203" t="s">
        <v>101</v>
      </c>
      <c r="L2203" t="s">
        <v>159</v>
      </c>
      <c r="M2203" t="s">
        <v>645</v>
      </c>
      <c r="N2203" t="s">
        <v>646</v>
      </c>
      <c r="O2203">
        <v>5950942</v>
      </c>
      <c r="Q2203" t="s">
        <v>66</v>
      </c>
      <c r="R2203" t="s">
        <v>67</v>
      </c>
      <c r="S2203" t="s">
        <v>52</v>
      </c>
      <c r="U2203">
        <v>890127</v>
      </c>
      <c r="V2203" s="3">
        <v>46056.431944444441</v>
      </c>
      <c r="W2203" t="s">
        <v>647</v>
      </c>
      <c r="X2203" t="s">
        <v>648</v>
      </c>
      <c r="Y2203" t="str">
        <f>"0411463760"</f>
        <v>0411463760</v>
      </c>
      <c r="Z2203" t="s">
        <v>3296</v>
      </c>
      <c r="AB2203" t="s">
        <v>71</v>
      </c>
      <c r="AD2203" t="s">
        <v>61</v>
      </c>
      <c r="AE2203" t="s">
        <v>72</v>
      </c>
      <c r="AF2203">
        <v>2747</v>
      </c>
      <c r="AG2203" t="s">
        <v>73</v>
      </c>
      <c r="AI2203" t="s">
        <v>59</v>
      </c>
      <c r="AL2203" t="s">
        <v>4752</v>
      </c>
      <c r="AN2203" s="3">
        <v>46064.683333333334</v>
      </c>
      <c r="AO2203" t="s">
        <v>647</v>
      </c>
    </row>
    <row r="2204" spans="1:41" x14ac:dyDescent="0.3">
      <c r="A2204" t="s">
        <v>41</v>
      </c>
      <c r="B2204" t="s">
        <v>1705</v>
      </c>
      <c r="C2204" t="s">
        <v>43</v>
      </c>
      <c r="D2204" t="s">
        <v>1706</v>
      </c>
      <c r="E2204" s="1">
        <v>46064</v>
      </c>
      <c r="F2204" t="s">
        <v>44</v>
      </c>
      <c r="G2204" t="s">
        <v>45</v>
      </c>
      <c r="H2204" s="2">
        <v>0.27083333333333331</v>
      </c>
      <c r="I2204" s="2">
        <v>0.52083333333333337</v>
      </c>
      <c r="J2204" t="s">
        <v>46</v>
      </c>
      <c r="L2204" t="s">
        <v>298</v>
      </c>
      <c r="M2204" t="s">
        <v>1578</v>
      </c>
      <c r="N2204" t="s">
        <v>1579</v>
      </c>
      <c r="O2204">
        <v>5952061</v>
      </c>
      <c r="Q2204" t="s">
        <v>4753</v>
      </c>
      <c r="R2204" t="s">
        <v>723</v>
      </c>
      <c r="S2204" t="s">
        <v>52</v>
      </c>
      <c r="U2204">
        <v>890121</v>
      </c>
      <c r="V2204" s="3">
        <v>46059.667361111111</v>
      </c>
      <c r="W2204" t="s">
        <v>1581</v>
      </c>
      <c r="X2204" t="s">
        <v>1582</v>
      </c>
      <c r="Y2204" t="str">
        <f>"0401803081"</f>
        <v>0401803081</v>
      </c>
      <c r="Z2204" t="s">
        <v>70</v>
      </c>
      <c r="AA2204" s="1">
        <v>46064</v>
      </c>
      <c r="AB2204" t="s">
        <v>1708</v>
      </c>
      <c r="AC2204" t="s">
        <v>1562</v>
      </c>
      <c r="AD2204" t="s">
        <v>41</v>
      </c>
      <c r="AE2204" t="s">
        <v>1563</v>
      </c>
      <c r="AF2204">
        <v>4109</v>
      </c>
      <c r="AG2204" t="s">
        <v>4754</v>
      </c>
      <c r="AI2204" t="s">
        <v>59</v>
      </c>
      <c r="AL2204" t="s">
        <v>2152</v>
      </c>
      <c r="AN2204" s="3">
        <v>46064.600694444445</v>
      </c>
      <c r="AO2204" t="s">
        <v>1581</v>
      </c>
    </row>
    <row r="2205" spans="1:41" x14ac:dyDescent="0.3">
      <c r="A2205" t="s">
        <v>41</v>
      </c>
      <c r="B2205" t="s">
        <v>1168</v>
      </c>
      <c r="D2205" t="s">
        <v>246</v>
      </c>
      <c r="E2205" s="1">
        <v>46064</v>
      </c>
      <c r="F2205" t="s">
        <v>44</v>
      </c>
      <c r="G2205" t="s">
        <v>45</v>
      </c>
      <c r="H2205" s="2">
        <v>0.27083333333333331</v>
      </c>
      <c r="I2205" s="2">
        <v>0.625</v>
      </c>
      <c r="J2205" t="s">
        <v>296</v>
      </c>
      <c r="L2205" t="s">
        <v>1169</v>
      </c>
      <c r="M2205" t="s">
        <v>1170</v>
      </c>
      <c r="N2205" t="s">
        <v>1171</v>
      </c>
      <c r="O2205">
        <v>5952274</v>
      </c>
      <c r="Q2205" t="s">
        <v>1172</v>
      </c>
      <c r="R2205" t="s">
        <v>573</v>
      </c>
      <c r="S2205" t="s">
        <v>52</v>
      </c>
      <c r="T2205" t="s">
        <v>252</v>
      </c>
      <c r="U2205">
        <v>890646</v>
      </c>
      <c r="V2205" s="3">
        <v>46069.606944444444</v>
      </c>
      <c r="W2205" t="s">
        <v>1173</v>
      </c>
      <c r="X2205" t="s">
        <v>1174</v>
      </c>
      <c r="Y2205" t="str">
        <f>"0432261353"</f>
        <v>0432261353</v>
      </c>
      <c r="Z2205" t="s">
        <v>366</v>
      </c>
      <c r="AA2205" s="1">
        <v>46083</v>
      </c>
      <c r="AB2205" t="s">
        <v>1175</v>
      </c>
      <c r="AD2205" t="s">
        <v>41</v>
      </c>
      <c r="AE2205" t="s">
        <v>1176</v>
      </c>
      <c r="AF2205">
        <v>4680</v>
      </c>
      <c r="AG2205" t="s">
        <v>1172</v>
      </c>
      <c r="AI2205" t="s">
        <v>59</v>
      </c>
      <c r="AJ2205" t="str">
        <f>"0050076336"</f>
        <v>0050076336</v>
      </c>
      <c r="AN2205" s="3">
        <v>46069.606944444444</v>
      </c>
      <c r="AO2205" t="s">
        <v>573</v>
      </c>
    </row>
    <row r="2206" spans="1:41" x14ac:dyDescent="0.3">
      <c r="A2206" t="s">
        <v>168</v>
      </c>
      <c r="B2206" t="s">
        <v>376</v>
      </c>
      <c r="C2206" t="s">
        <v>43</v>
      </c>
      <c r="D2206" t="s">
        <v>127</v>
      </c>
      <c r="E2206" s="1">
        <v>46064</v>
      </c>
      <c r="F2206" t="s">
        <v>44</v>
      </c>
      <c r="G2206" t="s">
        <v>45</v>
      </c>
      <c r="H2206" s="2">
        <v>0.27083333333333331</v>
      </c>
      <c r="I2206" s="2">
        <v>0.42708333333333331</v>
      </c>
      <c r="J2206" t="s">
        <v>185</v>
      </c>
      <c r="K2206" t="s">
        <v>667</v>
      </c>
      <c r="L2206" t="s">
        <v>186</v>
      </c>
      <c r="M2206" t="s">
        <v>4755</v>
      </c>
      <c r="N2206" t="s">
        <v>4756</v>
      </c>
      <c r="O2206">
        <v>21006</v>
      </c>
      <c r="Q2206" t="s">
        <v>670</v>
      </c>
      <c r="R2206" t="s">
        <v>231</v>
      </c>
      <c r="S2206" t="s">
        <v>52</v>
      </c>
      <c r="U2206">
        <v>890105</v>
      </c>
      <c r="V2206" s="3">
        <v>46035.652083333334</v>
      </c>
      <c r="W2206" t="s">
        <v>4757</v>
      </c>
      <c r="X2206" t="s">
        <v>4758</v>
      </c>
      <c r="Y2206" t="str">
        <f>"0468927664"</f>
        <v>0468927664</v>
      </c>
      <c r="Z2206" t="s">
        <v>2531</v>
      </c>
      <c r="AB2206" t="s">
        <v>383</v>
      </c>
      <c r="AD2206" t="s">
        <v>168</v>
      </c>
      <c r="AE2206" t="s">
        <v>384</v>
      </c>
      <c r="AF2206">
        <v>5000</v>
      </c>
      <c r="AG2206" t="s">
        <v>674</v>
      </c>
      <c r="AI2206" t="s">
        <v>59</v>
      </c>
      <c r="AL2206" t="s">
        <v>4759</v>
      </c>
      <c r="AN2206" s="3">
        <v>46064.443749999999</v>
      </c>
      <c r="AO2206" t="s">
        <v>4757</v>
      </c>
    </row>
    <row r="2207" spans="1:41" x14ac:dyDescent="0.3">
      <c r="A2207" t="s">
        <v>168</v>
      </c>
      <c r="B2207" t="s">
        <v>215</v>
      </c>
      <c r="C2207" t="s">
        <v>43</v>
      </c>
      <c r="D2207" t="s">
        <v>127</v>
      </c>
      <c r="E2207" s="1">
        <v>46064</v>
      </c>
      <c r="F2207" t="s">
        <v>44</v>
      </c>
      <c r="G2207" t="s">
        <v>45</v>
      </c>
      <c r="H2207" s="2">
        <v>0.27083333333333331</v>
      </c>
      <c r="I2207" s="2">
        <v>0.58333333333333337</v>
      </c>
      <c r="J2207" t="s">
        <v>258</v>
      </c>
      <c r="K2207" t="s">
        <v>259</v>
      </c>
      <c r="L2207" t="s">
        <v>186</v>
      </c>
      <c r="M2207" t="s">
        <v>651</v>
      </c>
      <c r="N2207" t="s">
        <v>412</v>
      </c>
      <c r="O2207">
        <v>21855</v>
      </c>
      <c r="Q2207" t="s">
        <v>219</v>
      </c>
      <c r="R2207" t="s">
        <v>176</v>
      </c>
      <c r="S2207" t="s">
        <v>52</v>
      </c>
      <c r="U2207">
        <v>890118</v>
      </c>
      <c r="V2207" s="3">
        <v>46043.775694444441</v>
      </c>
      <c r="W2207" t="s">
        <v>652</v>
      </c>
      <c r="X2207" t="s">
        <v>653</v>
      </c>
      <c r="Y2207" t="str">
        <f>"0407317111"</f>
        <v>0407317111</v>
      </c>
      <c r="Z2207" t="s">
        <v>4543</v>
      </c>
      <c r="AB2207" t="s">
        <v>222</v>
      </c>
      <c r="AD2207" t="s">
        <v>168</v>
      </c>
      <c r="AE2207" t="s">
        <v>223</v>
      </c>
      <c r="AF2207">
        <v>5069</v>
      </c>
      <c r="AG2207" t="s">
        <v>219</v>
      </c>
      <c r="AI2207" t="s">
        <v>59</v>
      </c>
      <c r="AL2207" t="s">
        <v>224</v>
      </c>
      <c r="AN2207" s="3">
        <v>46064.568055555559</v>
      </c>
      <c r="AO2207" t="s">
        <v>652</v>
      </c>
    </row>
    <row r="2208" spans="1:41" x14ac:dyDescent="0.3">
      <c r="A2208" t="s">
        <v>41</v>
      </c>
      <c r="B2208" t="s">
        <v>1557</v>
      </c>
      <c r="C2208" t="s">
        <v>3390</v>
      </c>
      <c r="D2208" t="s">
        <v>63</v>
      </c>
      <c r="E2208" s="1">
        <v>46064</v>
      </c>
      <c r="F2208" t="s">
        <v>44</v>
      </c>
      <c r="G2208" t="s">
        <v>45</v>
      </c>
      <c r="H2208" s="2">
        <v>0.29166666666666669</v>
      </c>
      <c r="I2208" s="2">
        <v>0.625</v>
      </c>
      <c r="J2208" t="s">
        <v>296</v>
      </c>
      <c r="K2208" t="s">
        <v>360</v>
      </c>
      <c r="L2208" t="s">
        <v>633</v>
      </c>
      <c r="M2208" t="s">
        <v>2145</v>
      </c>
      <c r="N2208" t="s">
        <v>2146</v>
      </c>
      <c r="O2208">
        <v>402527</v>
      </c>
      <c r="Q2208" t="s">
        <v>4760</v>
      </c>
      <c r="R2208" t="s">
        <v>723</v>
      </c>
      <c r="S2208" t="s">
        <v>52</v>
      </c>
      <c r="U2208">
        <v>890355</v>
      </c>
      <c r="V2208" s="3">
        <v>46056.473611111112</v>
      </c>
      <c r="W2208" t="s">
        <v>2148</v>
      </c>
      <c r="X2208" t="s">
        <v>2149</v>
      </c>
      <c r="Y2208" t="str">
        <f>"0401597129"</f>
        <v>0401597129</v>
      </c>
      <c r="Z2208" t="s">
        <v>2486</v>
      </c>
      <c r="AB2208" t="s">
        <v>1562</v>
      </c>
      <c r="AD2208" t="s">
        <v>41</v>
      </c>
      <c r="AE2208" t="s">
        <v>1563</v>
      </c>
      <c r="AF2208">
        <v>4109</v>
      </c>
      <c r="AG2208" t="s">
        <v>1403</v>
      </c>
      <c r="AI2208" t="s">
        <v>59</v>
      </c>
      <c r="AL2208" t="s">
        <v>4761</v>
      </c>
      <c r="AN2208" s="3">
        <v>46066.704861111109</v>
      </c>
      <c r="AO2208" t="s">
        <v>2148</v>
      </c>
    </row>
    <row r="2209" spans="1:41" x14ac:dyDescent="0.3">
      <c r="A2209" t="s">
        <v>75</v>
      </c>
      <c r="B2209" t="s">
        <v>895</v>
      </c>
      <c r="C2209" t="s">
        <v>1621</v>
      </c>
      <c r="D2209" t="s">
        <v>184</v>
      </c>
      <c r="E2209" s="1">
        <v>46064</v>
      </c>
      <c r="F2209" t="s">
        <v>44</v>
      </c>
      <c r="G2209" t="s">
        <v>45</v>
      </c>
      <c r="H2209" s="2">
        <v>0.29166666666666669</v>
      </c>
      <c r="I2209" s="2">
        <v>0.625</v>
      </c>
      <c r="J2209" t="s">
        <v>296</v>
      </c>
      <c r="L2209" t="s">
        <v>1453</v>
      </c>
      <c r="M2209" t="s">
        <v>1622</v>
      </c>
      <c r="N2209" t="s">
        <v>1623</v>
      </c>
      <c r="O2209">
        <v>5952211</v>
      </c>
      <c r="Q2209" t="s">
        <v>2159</v>
      </c>
      <c r="R2209" t="s">
        <v>81</v>
      </c>
      <c r="S2209" t="s">
        <v>52</v>
      </c>
      <c r="U2209">
        <v>890153</v>
      </c>
      <c r="V2209" s="3">
        <v>46055.581944444442</v>
      </c>
      <c r="W2209" t="s">
        <v>1624</v>
      </c>
      <c r="X2209" t="s">
        <v>1625</v>
      </c>
      <c r="Y2209" t="str">
        <f>"0494406921"</f>
        <v>0494406921</v>
      </c>
      <c r="Z2209" t="s">
        <v>545</v>
      </c>
      <c r="AA2209" s="1">
        <v>46064</v>
      </c>
      <c r="AB2209" t="s">
        <v>902</v>
      </c>
      <c r="AD2209" t="s">
        <v>75</v>
      </c>
      <c r="AE2209" t="s">
        <v>903</v>
      </c>
      <c r="AF2209">
        <v>6009</v>
      </c>
      <c r="AG2209" t="s">
        <v>2159</v>
      </c>
      <c r="AI2209" t="s">
        <v>59</v>
      </c>
      <c r="AL2209" t="s">
        <v>4762</v>
      </c>
      <c r="AN2209" s="3">
        <v>46064.765972222223</v>
      </c>
      <c r="AO2209" t="s">
        <v>1624</v>
      </c>
    </row>
    <row r="2210" spans="1:41" x14ac:dyDescent="0.3">
      <c r="A2210" t="s">
        <v>75</v>
      </c>
      <c r="B2210" t="s">
        <v>2822</v>
      </c>
      <c r="C2210" t="s">
        <v>43</v>
      </c>
      <c r="D2210" t="s">
        <v>719</v>
      </c>
      <c r="E2210" s="1">
        <v>46064</v>
      </c>
      <c r="F2210" t="s">
        <v>44</v>
      </c>
      <c r="G2210" t="s">
        <v>45</v>
      </c>
      <c r="H2210" s="2">
        <v>0.29166666666666669</v>
      </c>
      <c r="I2210" s="2">
        <v>0.75</v>
      </c>
      <c r="J2210" t="s">
        <v>101</v>
      </c>
      <c r="L2210" t="s">
        <v>159</v>
      </c>
      <c r="M2210" t="s">
        <v>187</v>
      </c>
      <c r="N2210" t="s">
        <v>1105</v>
      </c>
      <c r="O2210">
        <v>21727</v>
      </c>
      <c r="Q2210" t="s">
        <v>4763</v>
      </c>
      <c r="R2210" t="s">
        <v>145</v>
      </c>
      <c r="S2210" t="s">
        <v>52</v>
      </c>
      <c r="U2210">
        <v>890165</v>
      </c>
      <c r="V2210" s="3">
        <v>46037.95416666667</v>
      </c>
      <c r="W2210" t="s">
        <v>1107</v>
      </c>
      <c r="X2210" t="s">
        <v>1108</v>
      </c>
      <c r="Y2210" t="str">
        <f>"0407897784"</f>
        <v>0407897784</v>
      </c>
      <c r="Z2210" t="s">
        <v>4764</v>
      </c>
      <c r="AB2210" t="s">
        <v>2825</v>
      </c>
      <c r="AD2210" t="s">
        <v>75</v>
      </c>
      <c r="AE2210" t="s">
        <v>2826</v>
      </c>
      <c r="AF2210">
        <v>6005</v>
      </c>
      <c r="AG2210" t="s">
        <v>2827</v>
      </c>
      <c r="AI2210" t="s">
        <v>59</v>
      </c>
      <c r="AL2210" t="s">
        <v>4765</v>
      </c>
      <c r="AN2210" s="3">
        <v>46064.844444444447</v>
      </c>
      <c r="AO2210" t="s">
        <v>1107</v>
      </c>
    </row>
    <row r="2211" spans="1:41" x14ac:dyDescent="0.3">
      <c r="A2211" t="s">
        <v>306</v>
      </c>
      <c r="B2211" t="s">
        <v>1060</v>
      </c>
      <c r="C2211" t="s">
        <v>3250</v>
      </c>
      <c r="D2211" t="s">
        <v>184</v>
      </c>
      <c r="E2211" s="1">
        <v>46064</v>
      </c>
      <c r="F2211" t="s">
        <v>44</v>
      </c>
      <c r="G2211" t="s">
        <v>45</v>
      </c>
      <c r="H2211" s="2">
        <v>0.29166666666666669</v>
      </c>
      <c r="I2211" s="2">
        <v>0.60416666666666663</v>
      </c>
      <c r="J2211" t="s">
        <v>4234</v>
      </c>
      <c r="K2211" t="s">
        <v>530</v>
      </c>
      <c r="L2211" t="s">
        <v>531</v>
      </c>
      <c r="M2211" t="s">
        <v>1239</v>
      </c>
      <c r="N2211" t="s">
        <v>1240</v>
      </c>
      <c r="O2211">
        <v>5952284</v>
      </c>
      <c r="Q2211" t="s">
        <v>1063</v>
      </c>
      <c r="R2211" t="s">
        <v>556</v>
      </c>
      <c r="S2211" t="s">
        <v>119</v>
      </c>
      <c r="T2211" t="s">
        <v>414</v>
      </c>
      <c r="U2211">
        <v>890480</v>
      </c>
      <c r="V2211" s="3">
        <v>46063.783333333333</v>
      </c>
      <c r="W2211" t="s">
        <v>1241</v>
      </c>
      <c r="X2211" t="s">
        <v>1242</v>
      </c>
      <c r="Y2211" t="str">
        <f>"0402086188"</f>
        <v>0402086188</v>
      </c>
      <c r="Z2211" t="s">
        <v>70</v>
      </c>
      <c r="AB2211" t="s">
        <v>1066</v>
      </c>
      <c r="AD2211" t="s">
        <v>306</v>
      </c>
      <c r="AE2211" t="s">
        <v>1067</v>
      </c>
      <c r="AF2211">
        <v>3084</v>
      </c>
      <c r="AI2211" t="s">
        <v>59</v>
      </c>
      <c r="AL2211" t="s">
        <v>1361</v>
      </c>
      <c r="AM2211" t="s">
        <v>4766</v>
      </c>
      <c r="AN2211" s="3">
        <v>46063.784722222219</v>
      </c>
      <c r="AO2211" t="s">
        <v>556</v>
      </c>
    </row>
    <row r="2212" spans="1:41" x14ac:dyDescent="0.3">
      <c r="A2212" t="s">
        <v>61</v>
      </c>
      <c r="B2212" t="s">
        <v>158</v>
      </c>
      <c r="C2212" t="s">
        <v>43</v>
      </c>
      <c r="D2212" t="s">
        <v>127</v>
      </c>
      <c r="E2212" s="1">
        <v>46064</v>
      </c>
      <c r="F2212" t="s">
        <v>44</v>
      </c>
      <c r="G2212" t="s">
        <v>45</v>
      </c>
      <c r="H2212" s="2">
        <v>0.29166666666666669</v>
      </c>
      <c r="I2212" s="2">
        <v>0.98958333333333337</v>
      </c>
      <c r="J2212" t="s">
        <v>185</v>
      </c>
      <c r="K2212" t="s">
        <v>238</v>
      </c>
      <c r="L2212" t="s">
        <v>186</v>
      </c>
      <c r="M2212" t="s">
        <v>1295</v>
      </c>
      <c r="N2212" t="s">
        <v>489</v>
      </c>
      <c r="O2212">
        <v>22571</v>
      </c>
      <c r="Q2212" t="s">
        <v>162</v>
      </c>
      <c r="R2212" t="s">
        <v>67</v>
      </c>
      <c r="S2212" t="s">
        <v>52</v>
      </c>
      <c r="U2212">
        <v>890131</v>
      </c>
      <c r="V2212" s="3">
        <v>46057.443749999999</v>
      </c>
      <c r="W2212" t="s">
        <v>3313</v>
      </c>
      <c r="X2212" t="s">
        <v>3314</v>
      </c>
      <c r="Y2212" t="str">
        <f>"0402089755"</f>
        <v>0402089755</v>
      </c>
      <c r="Z2212" t="s">
        <v>3229</v>
      </c>
      <c r="AB2212" t="s">
        <v>166</v>
      </c>
      <c r="AD2212" t="s">
        <v>61</v>
      </c>
      <c r="AE2212" t="s">
        <v>167</v>
      </c>
      <c r="AF2212">
        <v>2011</v>
      </c>
      <c r="AG2212" t="s">
        <v>162</v>
      </c>
      <c r="AI2212" t="s">
        <v>59</v>
      </c>
      <c r="AL2212" t="s">
        <v>108</v>
      </c>
      <c r="AN2212" s="3">
        <v>46064.690972222219</v>
      </c>
      <c r="AO2212" t="s">
        <v>3313</v>
      </c>
    </row>
    <row r="2213" spans="1:41" x14ac:dyDescent="0.3">
      <c r="A2213" t="s">
        <v>61</v>
      </c>
      <c r="B2213" t="s">
        <v>507</v>
      </c>
      <c r="C2213" t="s">
        <v>183</v>
      </c>
      <c r="D2213" t="s">
        <v>63</v>
      </c>
      <c r="E2213" s="1">
        <v>46064</v>
      </c>
      <c r="F2213" t="s">
        <v>44</v>
      </c>
      <c r="G2213" t="s">
        <v>45</v>
      </c>
      <c r="H2213" s="2">
        <v>0.29166666666666669</v>
      </c>
      <c r="I2213" s="2">
        <v>0.58333333333333337</v>
      </c>
      <c r="J2213" t="s">
        <v>185</v>
      </c>
      <c r="L2213" t="s">
        <v>186</v>
      </c>
      <c r="M2213" t="s">
        <v>777</v>
      </c>
      <c r="N2213" t="s">
        <v>778</v>
      </c>
      <c r="O2213">
        <v>5952331</v>
      </c>
      <c r="Q2213" t="s">
        <v>2066</v>
      </c>
      <c r="R2213" t="s">
        <v>67</v>
      </c>
      <c r="S2213" t="s">
        <v>52</v>
      </c>
      <c r="U2213">
        <v>890114</v>
      </c>
      <c r="V2213" s="3">
        <v>46063.501388888886</v>
      </c>
      <c r="W2213" t="s">
        <v>780</v>
      </c>
      <c r="X2213" t="s">
        <v>781</v>
      </c>
      <c r="Y2213" t="str">
        <f>"0478730906"</f>
        <v>0478730906</v>
      </c>
      <c r="Z2213" t="s">
        <v>70</v>
      </c>
      <c r="AB2213" t="s">
        <v>514</v>
      </c>
      <c r="AD2213" t="s">
        <v>61</v>
      </c>
      <c r="AE2213" t="s">
        <v>515</v>
      </c>
      <c r="AF2213">
        <v>2086</v>
      </c>
      <c r="AG2213" t="s">
        <v>783</v>
      </c>
      <c r="AI2213" t="s">
        <v>59</v>
      </c>
      <c r="AL2213" t="s">
        <v>325</v>
      </c>
      <c r="AN2213" s="3">
        <v>46064.557638888888</v>
      </c>
      <c r="AO2213" t="s">
        <v>780</v>
      </c>
    </row>
    <row r="2214" spans="1:41" x14ac:dyDescent="0.3">
      <c r="A2214" t="s">
        <v>41</v>
      </c>
      <c r="B2214" t="s">
        <v>718</v>
      </c>
      <c r="C2214" t="s">
        <v>43</v>
      </c>
      <c r="D2214" t="s">
        <v>719</v>
      </c>
      <c r="E2214" s="1">
        <v>46064</v>
      </c>
      <c r="F2214" t="s">
        <v>44</v>
      </c>
      <c r="G2214" t="s">
        <v>45</v>
      </c>
      <c r="H2214" s="2">
        <v>0.29166666666666669</v>
      </c>
      <c r="I2214" s="2">
        <v>0.72916666666666663</v>
      </c>
      <c r="J2214" t="s">
        <v>101</v>
      </c>
      <c r="L2214" t="s">
        <v>159</v>
      </c>
      <c r="M2214" t="s">
        <v>720</v>
      </c>
      <c r="N2214" t="s">
        <v>721</v>
      </c>
      <c r="O2214">
        <v>5952347</v>
      </c>
      <c r="Q2214" t="s">
        <v>722</v>
      </c>
      <c r="R2214" t="s">
        <v>723</v>
      </c>
      <c r="S2214" t="s">
        <v>52</v>
      </c>
      <c r="U2214">
        <v>890151</v>
      </c>
      <c r="V2214" s="3">
        <v>46057.414583333331</v>
      </c>
      <c r="W2214" t="s">
        <v>724</v>
      </c>
      <c r="X2214" t="s">
        <v>725</v>
      </c>
      <c r="Y2214" t="str">
        <f>"0424329976"</f>
        <v>0424329976</v>
      </c>
      <c r="Z2214" t="s">
        <v>503</v>
      </c>
      <c r="AB2214" t="s">
        <v>726</v>
      </c>
      <c r="AD2214" t="s">
        <v>41</v>
      </c>
      <c r="AE2214" t="s">
        <v>727</v>
      </c>
      <c r="AF2214">
        <v>4032</v>
      </c>
      <c r="AG2214" t="s">
        <v>722</v>
      </c>
      <c r="AI2214" t="s">
        <v>59</v>
      </c>
      <c r="AL2214" t="s">
        <v>87</v>
      </c>
      <c r="AN2214" s="3">
        <v>46064.751388888886</v>
      </c>
      <c r="AO2214" t="s">
        <v>724</v>
      </c>
    </row>
    <row r="2215" spans="1:41" x14ac:dyDescent="0.3">
      <c r="A2215" t="s">
        <v>168</v>
      </c>
      <c r="B2215" t="s">
        <v>326</v>
      </c>
      <c r="C2215" t="s">
        <v>1150</v>
      </c>
      <c r="D2215" t="s">
        <v>127</v>
      </c>
      <c r="E2215" s="1">
        <v>46064</v>
      </c>
      <c r="F2215" t="s">
        <v>44</v>
      </c>
      <c r="G2215" t="s">
        <v>45</v>
      </c>
      <c r="H2215" s="2">
        <v>0.29166666666666669</v>
      </c>
      <c r="I2215" s="2">
        <v>0.54166666666666663</v>
      </c>
      <c r="J2215" t="s">
        <v>101</v>
      </c>
      <c r="L2215" t="s">
        <v>159</v>
      </c>
      <c r="M2215" t="s">
        <v>1588</v>
      </c>
      <c r="N2215" t="s">
        <v>1589</v>
      </c>
      <c r="O2215">
        <v>22701</v>
      </c>
      <c r="Q2215" t="s">
        <v>676</v>
      </c>
      <c r="R2215" t="s">
        <v>3993</v>
      </c>
      <c r="S2215" t="s">
        <v>52</v>
      </c>
      <c r="U2215">
        <v>890109</v>
      </c>
      <c r="V2215" s="3">
        <v>46053.53402777778</v>
      </c>
      <c r="W2215" t="s">
        <v>1591</v>
      </c>
      <c r="X2215" t="s">
        <v>1592</v>
      </c>
      <c r="Y2215" t="str">
        <f>"0401619357"</f>
        <v>0401619357</v>
      </c>
      <c r="Z2215" t="s">
        <v>70</v>
      </c>
      <c r="AA2215" s="1">
        <v>46064</v>
      </c>
      <c r="AB2215" t="s">
        <v>333</v>
      </c>
      <c r="AD2215" t="s">
        <v>168</v>
      </c>
      <c r="AE2215" t="s">
        <v>334</v>
      </c>
      <c r="AF2215">
        <v>5034</v>
      </c>
      <c r="AI2215" t="s">
        <v>59</v>
      </c>
      <c r="AL2215" t="s">
        <v>4767</v>
      </c>
      <c r="AM2215" t="s">
        <v>4768</v>
      </c>
      <c r="AN2215" s="3">
        <v>46064.520833333336</v>
      </c>
      <c r="AO2215" t="s">
        <v>1591</v>
      </c>
    </row>
    <row r="2216" spans="1:41" x14ac:dyDescent="0.3">
      <c r="A2216" t="s">
        <v>61</v>
      </c>
      <c r="B2216" t="s">
        <v>768</v>
      </c>
      <c r="C2216" t="s">
        <v>2308</v>
      </c>
      <c r="D2216" t="s">
        <v>769</v>
      </c>
      <c r="E2216" s="1">
        <v>46064</v>
      </c>
      <c r="F2216" t="s">
        <v>44</v>
      </c>
      <c r="G2216" t="s">
        <v>45</v>
      </c>
      <c r="H2216" s="2">
        <v>0.29166666666666669</v>
      </c>
      <c r="I2216" s="2">
        <v>0.58333333333333337</v>
      </c>
      <c r="J2216" t="s">
        <v>185</v>
      </c>
      <c r="L2216" t="s">
        <v>186</v>
      </c>
      <c r="M2216" t="s">
        <v>2333</v>
      </c>
      <c r="N2216" t="s">
        <v>2334</v>
      </c>
      <c r="O2216">
        <v>5950886</v>
      </c>
      <c r="Q2216" t="s">
        <v>2311</v>
      </c>
      <c r="R2216" t="s">
        <v>132</v>
      </c>
      <c r="S2216" t="s">
        <v>52</v>
      </c>
      <c r="U2216">
        <v>890103</v>
      </c>
      <c r="V2216" s="3">
        <v>46059.393750000003</v>
      </c>
      <c r="W2216" t="s">
        <v>2335</v>
      </c>
      <c r="X2216" t="s">
        <v>2336</v>
      </c>
      <c r="Y2216" t="str">
        <f>"0412581895"</f>
        <v>0412581895</v>
      </c>
      <c r="Z2216" t="s">
        <v>123</v>
      </c>
      <c r="AB2216" t="s">
        <v>775</v>
      </c>
      <c r="AD2216" t="s">
        <v>61</v>
      </c>
      <c r="AE2216" t="s">
        <v>776</v>
      </c>
      <c r="AF2216">
        <v>2076</v>
      </c>
      <c r="AG2216" t="s">
        <v>2311</v>
      </c>
      <c r="AI2216" t="s">
        <v>59</v>
      </c>
      <c r="AL2216" t="s">
        <v>108</v>
      </c>
      <c r="AN2216" s="3">
        <v>46064.432638888888</v>
      </c>
      <c r="AO2216" t="s">
        <v>2335</v>
      </c>
    </row>
    <row r="2217" spans="1:41" x14ac:dyDescent="0.3">
      <c r="A2217" t="s">
        <v>306</v>
      </c>
      <c r="B2217" t="s">
        <v>1650</v>
      </c>
      <c r="C2217" t="s">
        <v>1523</v>
      </c>
      <c r="D2217" t="s">
        <v>754</v>
      </c>
      <c r="E2217" s="1">
        <v>46064</v>
      </c>
      <c r="F2217" t="s">
        <v>44</v>
      </c>
      <c r="G2217" t="s">
        <v>45</v>
      </c>
      <c r="H2217" s="2">
        <v>0.29166666666666669</v>
      </c>
      <c r="I2217" s="2">
        <v>0.58333333333333337</v>
      </c>
      <c r="J2217" t="s">
        <v>296</v>
      </c>
      <c r="L2217" t="s">
        <v>1753</v>
      </c>
      <c r="M2217" t="s">
        <v>1754</v>
      </c>
      <c r="N2217" t="s">
        <v>1755</v>
      </c>
      <c r="O2217">
        <v>20486</v>
      </c>
      <c r="Q2217" t="s">
        <v>4769</v>
      </c>
      <c r="R2217" t="s">
        <v>314</v>
      </c>
      <c r="S2217" t="s">
        <v>119</v>
      </c>
      <c r="T2217" t="s">
        <v>1932</v>
      </c>
      <c r="U2217">
        <v>890636</v>
      </c>
      <c r="V2217" s="3">
        <v>46063.433333333334</v>
      </c>
      <c r="W2217" t="s">
        <v>1757</v>
      </c>
      <c r="X2217" t="s">
        <v>1758</v>
      </c>
      <c r="Y2217" t="str">
        <f>"0432381966"</f>
        <v>0432381966</v>
      </c>
      <c r="Z2217" t="s">
        <v>123</v>
      </c>
      <c r="AB2217" t="s">
        <v>1656</v>
      </c>
      <c r="AD2217" t="s">
        <v>306</v>
      </c>
      <c r="AE2217" t="s">
        <v>1657</v>
      </c>
      <c r="AF2217">
        <v>3170</v>
      </c>
      <c r="AG2217" t="s">
        <v>2860</v>
      </c>
      <c r="AI2217" t="s">
        <v>59</v>
      </c>
      <c r="AL2217" t="s">
        <v>87</v>
      </c>
      <c r="AN2217" s="3">
        <v>46063.4375</v>
      </c>
      <c r="AO2217" t="s">
        <v>314</v>
      </c>
    </row>
    <row r="2218" spans="1:41" x14ac:dyDescent="0.3">
      <c r="A2218" t="s">
        <v>61</v>
      </c>
      <c r="B2218" t="s">
        <v>1937</v>
      </c>
      <c r="C2218" t="s">
        <v>1732</v>
      </c>
      <c r="D2218" t="s">
        <v>184</v>
      </c>
      <c r="E2218" s="1">
        <v>46064</v>
      </c>
      <c r="F2218" t="s">
        <v>44</v>
      </c>
      <c r="G2218" t="s">
        <v>45</v>
      </c>
      <c r="H2218" s="2">
        <v>0.29166666666666669</v>
      </c>
      <c r="I2218" s="2">
        <v>0.64583333333333337</v>
      </c>
      <c r="J2218" t="s">
        <v>170</v>
      </c>
      <c r="L2218" t="s">
        <v>728</v>
      </c>
      <c r="M2218" t="s">
        <v>729</v>
      </c>
      <c r="N2218" t="s">
        <v>730</v>
      </c>
      <c r="O2218">
        <v>5952035</v>
      </c>
      <c r="Q2218" t="s">
        <v>4770</v>
      </c>
      <c r="R2218" t="s">
        <v>208</v>
      </c>
      <c r="S2218" t="s">
        <v>52</v>
      </c>
      <c r="U2218">
        <v>890124</v>
      </c>
      <c r="V2218" s="3">
        <v>46063.928472222222</v>
      </c>
      <c r="W2218" t="s">
        <v>732</v>
      </c>
      <c r="X2218" t="s">
        <v>733</v>
      </c>
      <c r="Y2218" t="str">
        <f>"0498946862"</f>
        <v>0498946862</v>
      </c>
      <c r="Z2218" t="s">
        <v>70</v>
      </c>
      <c r="AA2218" s="1">
        <v>46064</v>
      </c>
      <c r="AB2218" t="s">
        <v>1942</v>
      </c>
      <c r="AD2218" t="s">
        <v>61</v>
      </c>
      <c r="AE2218" t="s">
        <v>1943</v>
      </c>
      <c r="AF2218">
        <v>2065</v>
      </c>
      <c r="AG2218" t="s">
        <v>2986</v>
      </c>
      <c r="AI2218" t="s">
        <v>59</v>
      </c>
      <c r="AL2218" t="s">
        <v>4771</v>
      </c>
      <c r="AN2218" s="3">
        <v>46064.647222222222</v>
      </c>
      <c r="AO2218" t="s">
        <v>732</v>
      </c>
    </row>
    <row r="2219" spans="1:41" x14ac:dyDescent="0.3">
      <c r="A2219" t="s">
        <v>61</v>
      </c>
      <c r="B2219" t="s">
        <v>507</v>
      </c>
      <c r="D2219" t="s">
        <v>63</v>
      </c>
      <c r="E2219" s="1">
        <v>46064</v>
      </c>
      <c r="F2219" t="s">
        <v>44</v>
      </c>
      <c r="G2219" t="s">
        <v>45</v>
      </c>
      <c r="H2219" s="2">
        <v>0.29166666666666669</v>
      </c>
      <c r="I2219" s="2">
        <v>0.8125</v>
      </c>
      <c r="J2219" t="s">
        <v>296</v>
      </c>
      <c r="L2219" t="s">
        <v>633</v>
      </c>
      <c r="M2219" t="s">
        <v>4410</v>
      </c>
      <c r="N2219" t="s">
        <v>4411</v>
      </c>
      <c r="O2219">
        <v>402158</v>
      </c>
      <c r="Q2219" t="s">
        <v>516</v>
      </c>
      <c r="R2219" t="s">
        <v>67</v>
      </c>
      <c r="S2219" t="s">
        <v>52</v>
      </c>
      <c r="U2219">
        <v>890160</v>
      </c>
      <c r="V2219" s="3">
        <v>46056.451388888891</v>
      </c>
      <c r="W2219" t="s">
        <v>4412</v>
      </c>
      <c r="X2219" t="s">
        <v>4413</v>
      </c>
      <c r="Y2219" t="str">
        <f>"0423590735"</f>
        <v>0423590735</v>
      </c>
      <c r="Z2219" t="s">
        <v>4772</v>
      </c>
      <c r="AB2219" t="s">
        <v>514</v>
      </c>
      <c r="AD2219" t="s">
        <v>61</v>
      </c>
      <c r="AE2219" t="s">
        <v>515</v>
      </c>
      <c r="AF2219">
        <v>2086</v>
      </c>
      <c r="AG2219" t="s">
        <v>516</v>
      </c>
      <c r="AI2219" t="s">
        <v>59</v>
      </c>
      <c r="AL2219" t="s">
        <v>108</v>
      </c>
      <c r="AN2219" s="3">
        <v>46064.816666666666</v>
      </c>
      <c r="AO2219" t="s">
        <v>4412</v>
      </c>
    </row>
    <row r="2220" spans="1:41" x14ac:dyDescent="0.3">
      <c r="A2220" t="s">
        <v>168</v>
      </c>
      <c r="B2220" t="s">
        <v>326</v>
      </c>
      <c r="C2220" t="s">
        <v>43</v>
      </c>
      <c r="D2220" t="s">
        <v>127</v>
      </c>
      <c r="E2220" s="1">
        <v>46064</v>
      </c>
      <c r="F2220" t="s">
        <v>44</v>
      </c>
      <c r="G2220" t="s">
        <v>45</v>
      </c>
      <c r="H2220" s="2">
        <v>0.29166666666666669</v>
      </c>
      <c r="I2220" s="2">
        <v>0.54097222222222219</v>
      </c>
      <c r="J2220" t="s">
        <v>185</v>
      </c>
      <c r="K2220" t="s">
        <v>327</v>
      </c>
      <c r="L2220" t="s">
        <v>186</v>
      </c>
      <c r="M2220" t="s">
        <v>328</v>
      </c>
      <c r="N2220" t="s">
        <v>329</v>
      </c>
      <c r="O2220">
        <v>21236</v>
      </c>
      <c r="Q2220" t="s">
        <v>4773</v>
      </c>
      <c r="R2220" t="s">
        <v>3993</v>
      </c>
      <c r="S2220" t="s">
        <v>52</v>
      </c>
      <c r="U2220">
        <v>890126</v>
      </c>
      <c r="V2220" s="3">
        <v>45998.459722222222</v>
      </c>
      <c r="W2220" t="s">
        <v>331</v>
      </c>
      <c r="X2220" t="s">
        <v>332</v>
      </c>
      <c r="Y2220" t="str">
        <f>"0487444258"</f>
        <v>0487444258</v>
      </c>
      <c r="Z2220" t="s">
        <v>1909</v>
      </c>
      <c r="AB2220" t="s">
        <v>333</v>
      </c>
      <c r="AD2220" t="s">
        <v>168</v>
      </c>
      <c r="AE2220" t="s">
        <v>334</v>
      </c>
      <c r="AF2220">
        <v>5034</v>
      </c>
      <c r="AI2220" t="s">
        <v>59</v>
      </c>
      <c r="AL2220" t="s">
        <v>335</v>
      </c>
      <c r="AM2220" t="s">
        <v>4774</v>
      </c>
      <c r="AN2220" s="3">
        <v>46064.681944444441</v>
      </c>
      <c r="AO2220" t="s">
        <v>331</v>
      </c>
    </row>
    <row r="2221" spans="1:41" x14ac:dyDescent="0.3">
      <c r="A2221" t="s">
        <v>41</v>
      </c>
      <c r="B2221" t="s">
        <v>568</v>
      </c>
      <c r="C2221" t="s">
        <v>602</v>
      </c>
      <c r="D2221" t="s">
        <v>246</v>
      </c>
      <c r="E2221" s="1">
        <v>46064</v>
      </c>
      <c r="F2221" t="s">
        <v>44</v>
      </c>
      <c r="G2221" t="s">
        <v>45</v>
      </c>
      <c r="H2221" s="2">
        <v>0.29166666666666669</v>
      </c>
      <c r="I2221" s="2">
        <v>0.64583333333333337</v>
      </c>
      <c r="J2221" t="s">
        <v>269</v>
      </c>
      <c r="L2221" t="s">
        <v>47</v>
      </c>
      <c r="M2221" t="s">
        <v>603</v>
      </c>
      <c r="N2221" t="s">
        <v>604</v>
      </c>
      <c r="O2221">
        <v>80</v>
      </c>
      <c r="P2221" t="s">
        <v>571</v>
      </c>
      <c r="Q2221" t="s">
        <v>572</v>
      </c>
      <c r="R2221" t="s">
        <v>573</v>
      </c>
      <c r="S2221" t="s">
        <v>52</v>
      </c>
      <c r="T2221" t="s">
        <v>252</v>
      </c>
      <c r="U2221">
        <v>890751</v>
      </c>
      <c r="V2221" s="3">
        <v>46070.46597222222</v>
      </c>
      <c r="W2221" t="s">
        <v>605</v>
      </c>
      <c r="X2221" t="s">
        <v>606</v>
      </c>
      <c r="Y2221" t="str">
        <f>"0414330986"</f>
        <v>0414330986</v>
      </c>
      <c r="Z2221" t="s">
        <v>345</v>
      </c>
      <c r="AA2221" s="1">
        <v>46068</v>
      </c>
      <c r="AB2221" t="s">
        <v>576</v>
      </c>
      <c r="AD2221" t="s">
        <v>41</v>
      </c>
      <c r="AE2221" t="s">
        <v>577</v>
      </c>
      <c r="AF2221">
        <v>4700</v>
      </c>
      <c r="AG2221" t="s">
        <v>572</v>
      </c>
      <c r="AI2221" t="s">
        <v>59</v>
      </c>
      <c r="AJ2221" t="str">
        <f>"0050075176"</f>
        <v>0050075176</v>
      </c>
      <c r="AN2221" s="3">
        <v>46070.46597222222</v>
      </c>
      <c r="AO2221" t="s">
        <v>573</v>
      </c>
    </row>
    <row r="2222" spans="1:41" x14ac:dyDescent="0.3">
      <c r="A2222" t="s">
        <v>168</v>
      </c>
      <c r="B2222" t="s">
        <v>4775</v>
      </c>
      <c r="C2222" t="s">
        <v>170</v>
      </c>
      <c r="D2222" t="s">
        <v>127</v>
      </c>
      <c r="E2222" s="1">
        <v>46064</v>
      </c>
      <c r="F2222" t="s">
        <v>44</v>
      </c>
      <c r="G2222" t="s">
        <v>45</v>
      </c>
      <c r="H2222" s="2">
        <v>0.29166666666666669</v>
      </c>
      <c r="I2222" s="2">
        <v>0.625</v>
      </c>
      <c r="J2222" t="s">
        <v>101</v>
      </c>
      <c r="L2222" t="s">
        <v>159</v>
      </c>
      <c r="M2222" t="s">
        <v>1033</v>
      </c>
      <c r="N2222" t="s">
        <v>1034</v>
      </c>
      <c r="O2222">
        <v>5952456</v>
      </c>
      <c r="Q2222" t="s">
        <v>4776</v>
      </c>
      <c r="R2222" t="s">
        <v>231</v>
      </c>
      <c r="S2222" t="s">
        <v>52</v>
      </c>
      <c r="U2222">
        <v>890112</v>
      </c>
      <c r="V2222" s="3">
        <v>46044.601388888892</v>
      </c>
      <c r="W2222" t="s">
        <v>1035</v>
      </c>
      <c r="X2222" t="s">
        <v>1036</v>
      </c>
      <c r="Y2222" t="str">
        <f>"0431375216"</f>
        <v>0431375216</v>
      </c>
      <c r="Z2222" t="s">
        <v>503</v>
      </c>
      <c r="AB2222" t="s">
        <v>4777</v>
      </c>
      <c r="AD2222" t="s">
        <v>168</v>
      </c>
      <c r="AE2222" t="s">
        <v>223</v>
      </c>
      <c r="AF2222">
        <v>5069</v>
      </c>
      <c r="AG2222" t="s">
        <v>4778</v>
      </c>
      <c r="AI2222" t="s">
        <v>59</v>
      </c>
      <c r="AL2222" t="s">
        <v>4779</v>
      </c>
      <c r="AM2222" t="s">
        <v>4780</v>
      </c>
      <c r="AN2222" s="3">
        <v>46064.532638888886</v>
      </c>
      <c r="AO2222" t="s">
        <v>1035</v>
      </c>
    </row>
    <row r="2223" spans="1:41" x14ac:dyDescent="0.3">
      <c r="A2223" t="s">
        <v>168</v>
      </c>
      <c r="B2223" t="s">
        <v>326</v>
      </c>
      <c r="C2223" t="s">
        <v>1150</v>
      </c>
      <c r="D2223" t="s">
        <v>127</v>
      </c>
      <c r="E2223" s="1">
        <v>46064</v>
      </c>
      <c r="F2223" t="s">
        <v>44</v>
      </c>
      <c r="G2223" t="s">
        <v>45</v>
      </c>
      <c r="H2223" s="2">
        <v>0.29166666666666669</v>
      </c>
      <c r="I2223" s="2">
        <v>0.79166666666666663</v>
      </c>
      <c r="J2223" t="s">
        <v>101</v>
      </c>
      <c r="L2223" t="s">
        <v>47</v>
      </c>
      <c r="M2223" t="s">
        <v>1858</v>
      </c>
      <c r="N2223" t="s">
        <v>1859</v>
      </c>
      <c r="O2223">
        <v>22247</v>
      </c>
      <c r="Q2223" t="s">
        <v>676</v>
      </c>
      <c r="R2223" t="s">
        <v>176</v>
      </c>
      <c r="S2223" t="s">
        <v>52</v>
      </c>
      <c r="U2223">
        <v>890129</v>
      </c>
      <c r="V2223" s="3">
        <v>46044.385416666664</v>
      </c>
      <c r="W2223" t="s">
        <v>1860</v>
      </c>
      <c r="X2223" t="s">
        <v>1861</v>
      </c>
      <c r="Y2223" t="str">
        <f>"0450244995"</f>
        <v>0450244995</v>
      </c>
      <c r="Z2223" t="s">
        <v>1862</v>
      </c>
      <c r="AB2223" t="s">
        <v>333</v>
      </c>
      <c r="AD2223" t="s">
        <v>168</v>
      </c>
      <c r="AE2223" t="s">
        <v>334</v>
      </c>
      <c r="AF2223">
        <v>5034</v>
      </c>
      <c r="AG2223" t="s">
        <v>676</v>
      </c>
      <c r="AI2223" t="s">
        <v>59</v>
      </c>
      <c r="AL2223" t="s">
        <v>4781</v>
      </c>
      <c r="AN2223" s="3">
        <v>46064.684027777781</v>
      </c>
      <c r="AO2223" t="s">
        <v>1860</v>
      </c>
    </row>
    <row r="2224" spans="1:41" x14ac:dyDescent="0.3">
      <c r="A2224" t="s">
        <v>41</v>
      </c>
      <c r="B2224" t="s">
        <v>965</v>
      </c>
      <c r="C2224" t="s">
        <v>43</v>
      </c>
      <c r="D2224" t="s">
        <v>966</v>
      </c>
      <c r="E2224" s="1">
        <v>46064</v>
      </c>
      <c r="F2224" t="s">
        <v>44</v>
      </c>
      <c r="G2224" t="s">
        <v>45</v>
      </c>
      <c r="H2224" s="2">
        <v>0.29166666666666669</v>
      </c>
      <c r="I2224" s="2">
        <v>0.72916666666666663</v>
      </c>
      <c r="J2224" t="s">
        <v>101</v>
      </c>
      <c r="L2224" t="s">
        <v>159</v>
      </c>
      <c r="M2224" t="s">
        <v>465</v>
      </c>
      <c r="N2224" t="s">
        <v>3560</v>
      </c>
      <c r="O2224">
        <v>5951127</v>
      </c>
      <c r="P2224">
        <v>497580</v>
      </c>
      <c r="Q2224" t="s">
        <v>823</v>
      </c>
      <c r="R2224" t="s">
        <v>51</v>
      </c>
      <c r="S2224" t="s">
        <v>52</v>
      </c>
      <c r="U2224">
        <v>890123</v>
      </c>
      <c r="V2224" s="3">
        <v>46062.462500000001</v>
      </c>
      <c r="W2224" t="s">
        <v>3561</v>
      </c>
      <c r="X2224" t="s">
        <v>3562</v>
      </c>
      <c r="Y2224" t="str">
        <f>"0403766348"</f>
        <v>0403766348</v>
      </c>
      <c r="Z2224" t="s">
        <v>70</v>
      </c>
      <c r="AA2224" s="1">
        <v>46064</v>
      </c>
      <c r="AB2224" t="s">
        <v>972</v>
      </c>
      <c r="AD2224" t="s">
        <v>41</v>
      </c>
      <c r="AE2224" t="s">
        <v>973</v>
      </c>
      <c r="AF2224">
        <v>4068</v>
      </c>
      <c r="AG2224" t="s">
        <v>823</v>
      </c>
      <c r="AI2224" t="s">
        <v>59</v>
      </c>
      <c r="AL2224" t="s">
        <v>2236</v>
      </c>
      <c r="AN2224" s="3">
        <v>46064.64166666667</v>
      </c>
      <c r="AO2224" t="s">
        <v>3561</v>
      </c>
    </row>
    <row r="2225" spans="1:41" x14ac:dyDescent="0.3">
      <c r="A2225" t="s">
        <v>41</v>
      </c>
      <c r="B2225" t="s">
        <v>426</v>
      </c>
      <c r="C2225" t="s">
        <v>43</v>
      </c>
      <c r="D2225" t="s">
        <v>246</v>
      </c>
      <c r="E2225" s="1">
        <v>46064</v>
      </c>
      <c r="F2225" t="s">
        <v>44</v>
      </c>
      <c r="G2225" t="s">
        <v>45</v>
      </c>
      <c r="H2225" s="2">
        <v>0.29166666666666669</v>
      </c>
      <c r="I2225" s="2">
        <v>0.64583333333333337</v>
      </c>
      <c r="J2225" t="s">
        <v>296</v>
      </c>
      <c r="K2225" t="s">
        <v>2193</v>
      </c>
      <c r="L2225" t="s">
        <v>298</v>
      </c>
      <c r="M2225" t="s">
        <v>1401</v>
      </c>
      <c r="N2225" t="s">
        <v>1402</v>
      </c>
      <c r="O2225">
        <v>5952070</v>
      </c>
      <c r="Q2225" t="s">
        <v>2194</v>
      </c>
      <c r="R2225" t="s">
        <v>51</v>
      </c>
      <c r="S2225" t="s">
        <v>52</v>
      </c>
      <c r="U2225">
        <v>890125</v>
      </c>
      <c r="V2225" s="3">
        <v>46030.359027777777</v>
      </c>
      <c r="W2225" t="s">
        <v>1404</v>
      </c>
      <c r="X2225" t="s">
        <v>1405</v>
      </c>
      <c r="Y2225" t="str">
        <f>"0474506417"</f>
        <v>0474506417</v>
      </c>
      <c r="Z2225" t="s">
        <v>2466</v>
      </c>
      <c r="AB2225" t="s">
        <v>434</v>
      </c>
      <c r="AD2225" t="s">
        <v>41</v>
      </c>
      <c r="AE2225" t="s">
        <v>435</v>
      </c>
      <c r="AF2225">
        <v>4163</v>
      </c>
      <c r="AG2225" t="s">
        <v>2195</v>
      </c>
      <c r="AI2225" t="s">
        <v>59</v>
      </c>
      <c r="AL2225" t="s">
        <v>249</v>
      </c>
      <c r="AN2225" s="3">
        <v>46064.678472222222</v>
      </c>
      <c r="AO2225" t="s">
        <v>1404</v>
      </c>
    </row>
    <row r="2226" spans="1:41" x14ac:dyDescent="0.3">
      <c r="A2226" t="s">
        <v>61</v>
      </c>
      <c r="B2226" t="s">
        <v>507</v>
      </c>
      <c r="C2226" t="s">
        <v>1003</v>
      </c>
      <c r="D2226" t="s">
        <v>63</v>
      </c>
      <c r="E2226" s="1">
        <v>46064</v>
      </c>
      <c r="F2226" t="s">
        <v>44</v>
      </c>
      <c r="G2226" t="s">
        <v>45</v>
      </c>
      <c r="H2226" s="2">
        <v>0.29166666666666669</v>
      </c>
      <c r="I2226" s="2">
        <v>0.99861111111111112</v>
      </c>
      <c r="J2226" t="s">
        <v>101</v>
      </c>
      <c r="L2226" t="s">
        <v>159</v>
      </c>
      <c r="M2226" t="s">
        <v>1004</v>
      </c>
      <c r="N2226" t="s">
        <v>1005</v>
      </c>
      <c r="O2226">
        <v>5952129</v>
      </c>
      <c r="Q2226" t="s">
        <v>3008</v>
      </c>
      <c r="R2226" t="s">
        <v>67</v>
      </c>
      <c r="S2226" t="s">
        <v>52</v>
      </c>
      <c r="U2226">
        <v>890116</v>
      </c>
      <c r="V2226" s="3">
        <v>46063.487500000003</v>
      </c>
      <c r="W2226" t="s">
        <v>1007</v>
      </c>
      <c r="X2226" t="s">
        <v>1008</v>
      </c>
      <c r="Y2226" t="str">
        <f>"0422263194"</f>
        <v>0422263194</v>
      </c>
      <c r="Z2226" t="s">
        <v>70</v>
      </c>
      <c r="AB2226" t="s">
        <v>514</v>
      </c>
      <c r="AD2226" t="s">
        <v>61</v>
      </c>
      <c r="AE2226" t="s">
        <v>515</v>
      </c>
      <c r="AF2226">
        <v>2086</v>
      </c>
      <c r="AG2226" t="s">
        <v>4782</v>
      </c>
      <c r="AI2226" t="s">
        <v>59</v>
      </c>
      <c r="AL2226" t="s">
        <v>325</v>
      </c>
      <c r="AN2226" s="3">
        <v>46064.566666666666</v>
      </c>
      <c r="AO2226" t="s">
        <v>1007</v>
      </c>
    </row>
    <row r="2227" spans="1:41" x14ac:dyDescent="0.3">
      <c r="A2227" t="s">
        <v>168</v>
      </c>
      <c r="B2227" t="s">
        <v>1178</v>
      </c>
      <c r="C2227" t="s">
        <v>43</v>
      </c>
      <c r="D2227" t="s">
        <v>127</v>
      </c>
      <c r="E2227" s="1">
        <v>46064</v>
      </c>
      <c r="F2227" t="s">
        <v>44</v>
      </c>
      <c r="G2227" t="s">
        <v>45</v>
      </c>
      <c r="H2227" s="2">
        <v>0.29166666666666669</v>
      </c>
      <c r="I2227" s="2">
        <v>0.58333333333333337</v>
      </c>
      <c r="J2227" t="s">
        <v>185</v>
      </c>
      <c r="K2227" t="s">
        <v>1290</v>
      </c>
      <c r="L2227" t="s">
        <v>186</v>
      </c>
      <c r="M2227" t="s">
        <v>798</v>
      </c>
      <c r="N2227" t="s">
        <v>799</v>
      </c>
      <c r="O2227">
        <v>20875</v>
      </c>
      <c r="Q2227" t="s">
        <v>2047</v>
      </c>
      <c r="R2227" t="s">
        <v>176</v>
      </c>
      <c r="S2227" t="s">
        <v>52</v>
      </c>
      <c r="U2227">
        <v>890117</v>
      </c>
      <c r="V2227" s="3">
        <v>46041.809027777781</v>
      </c>
      <c r="W2227" t="s">
        <v>800</v>
      </c>
      <c r="X2227" t="s">
        <v>801</v>
      </c>
      <c r="Y2227" t="str">
        <f>"0417001267"</f>
        <v>0417001267</v>
      </c>
      <c r="Z2227" t="s">
        <v>84</v>
      </c>
      <c r="AB2227" t="s">
        <v>1184</v>
      </c>
      <c r="AD2227" t="s">
        <v>168</v>
      </c>
      <c r="AE2227" t="s">
        <v>1185</v>
      </c>
      <c r="AF2227">
        <v>5066</v>
      </c>
      <c r="AG2227" t="s">
        <v>2047</v>
      </c>
      <c r="AI2227" t="s">
        <v>59</v>
      </c>
      <c r="AL2227" t="s">
        <v>224</v>
      </c>
      <c r="AN2227" s="3">
        <v>46064.567361111112</v>
      </c>
      <c r="AO2227" t="s">
        <v>800</v>
      </c>
    </row>
    <row r="2228" spans="1:41" x14ac:dyDescent="0.3">
      <c r="A2228" t="s">
        <v>61</v>
      </c>
      <c r="B2228" t="s">
        <v>655</v>
      </c>
      <c r="C2228" t="s">
        <v>43</v>
      </c>
      <c r="D2228" t="s">
        <v>656</v>
      </c>
      <c r="E2228" s="1">
        <v>46064</v>
      </c>
      <c r="F2228" t="s">
        <v>44</v>
      </c>
      <c r="G2228" t="s">
        <v>45</v>
      </c>
      <c r="H2228" s="2">
        <v>0.30208333333333331</v>
      </c>
      <c r="I2228" s="2">
        <v>0.99861111111111112</v>
      </c>
      <c r="J2228" t="s">
        <v>101</v>
      </c>
      <c r="L2228" t="s">
        <v>47</v>
      </c>
      <c r="M2228" t="s">
        <v>785</v>
      </c>
      <c r="N2228" t="s">
        <v>905</v>
      </c>
      <c r="O2228">
        <v>5950885</v>
      </c>
      <c r="Q2228" t="s">
        <v>665</v>
      </c>
      <c r="R2228" t="s">
        <v>67</v>
      </c>
      <c r="S2228" t="s">
        <v>52</v>
      </c>
      <c r="U2228">
        <v>890132</v>
      </c>
      <c r="V2228" s="3">
        <v>46042.432638888888</v>
      </c>
      <c r="W2228" t="s">
        <v>906</v>
      </c>
      <c r="X2228" t="s">
        <v>907</v>
      </c>
      <c r="Y2228" t="str">
        <f>"0421650139"</f>
        <v>0421650139</v>
      </c>
      <c r="Z2228" t="s">
        <v>4516</v>
      </c>
      <c r="AB2228" t="s">
        <v>662</v>
      </c>
      <c r="AC2228" t="s">
        <v>663</v>
      </c>
      <c r="AD2228" t="s">
        <v>61</v>
      </c>
      <c r="AE2228" t="s">
        <v>664</v>
      </c>
      <c r="AF2228">
        <v>2067</v>
      </c>
      <c r="AG2228" t="s">
        <v>665</v>
      </c>
      <c r="AI2228" t="s">
        <v>59</v>
      </c>
      <c r="AL2228" t="s">
        <v>4783</v>
      </c>
      <c r="AN2228" s="3">
        <v>46064.694444444445</v>
      </c>
      <c r="AO2228" t="s">
        <v>906</v>
      </c>
    </row>
    <row r="2229" spans="1:41" x14ac:dyDescent="0.3">
      <c r="A2229" t="s">
        <v>61</v>
      </c>
      <c r="B2229" t="s">
        <v>655</v>
      </c>
      <c r="C2229" t="s">
        <v>43</v>
      </c>
      <c r="D2229" t="s">
        <v>656</v>
      </c>
      <c r="E2229" s="1">
        <v>46064</v>
      </c>
      <c r="F2229" t="s">
        <v>44</v>
      </c>
      <c r="G2229" t="s">
        <v>45</v>
      </c>
      <c r="H2229" s="2">
        <v>0.3125</v>
      </c>
      <c r="I2229" s="2">
        <v>0.99861111111111112</v>
      </c>
      <c r="J2229" t="s">
        <v>185</v>
      </c>
      <c r="K2229" t="s">
        <v>327</v>
      </c>
      <c r="L2229" t="s">
        <v>47</v>
      </c>
      <c r="M2229" t="s">
        <v>657</v>
      </c>
      <c r="N2229" t="s">
        <v>658</v>
      </c>
      <c r="O2229">
        <v>22959</v>
      </c>
      <c r="Q2229" t="s">
        <v>665</v>
      </c>
      <c r="R2229" t="s">
        <v>132</v>
      </c>
      <c r="S2229" t="s">
        <v>52</v>
      </c>
      <c r="U2229">
        <v>890140</v>
      </c>
      <c r="V2229" s="3">
        <v>46028.415277777778</v>
      </c>
      <c r="W2229" t="s">
        <v>660</v>
      </c>
      <c r="X2229" t="s">
        <v>661</v>
      </c>
      <c r="Y2229" t="str">
        <f>"0451533427"</f>
        <v>0451533427</v>
      </c>
      <c r="Z2229" t="s">
        <v>4784</v>
      </c>
      <c r="AB2229" t="s">
        <v>662</v>
      </c>
      <c r="AC2229" t="s">
        <v>663</v>
      </c>
      <c r="AD2229" t="s">
        <v>61</v>
      </c>
      <c r="AE2229" t="s">
        <v>664</v>
      </c>
      <c r="AF2229">
        <v>2067</v>
      </c>
      <c r="AG2229" t="s">
        <v>665</v>
      </c>
      <c r="AI2229" t="s">
        <v>59</v>
      </c>
      <c r="AL2229" t="s">
        <v>4785</v>
      </c>
      <c r="AN2229" s="3">
        <v>46064.71597222222</v>
      </c>
      <c r="AO2229" t="s">
        <v>660</v>
      </c>
    </row>
    <row r="2230" spans="1:41" x14ac:dyDescent="0.3">
      <c r="A2230" t="s">
        <v>306</v>
      </c>
      <c r="B2230" t="s">
        <v>4786</v>
      </c>
      <c r="C2230" t="s">
        <v>245</v>
      </c>
      <c r="D2230" t="s">
        <v>90</v>
      </c>
      <c r="E2230" s="1">
        <v>46064</v>
      </c>
      <c r="F2230" t="s">
        <v>44</v>
      </c>
      <c r="G2230" t="s">
        <v>45</v>
      </c>
      <c r="H2230" s="2">
        <v>0.3125</v>
      </c>
      <c r="I2230" s="2">
        <v>0.75</v>
      </c>
      <c r="J2230" t="s">
        <v>701</v>
      </c>
      <c r="L2230" t="s">
        <v>702</v>
      </c>
      <c r="M2230" t="s">
        <v>1796</v>
      </c>
      <c r="N2230" t="s">
        <v>1797</v>
      </c>
      <c r="O2230">
        <v>5951239</v>
      </c>
      <c r="Q2230" t="s">
        <v>1245</v>
      </c>
      <c r="R2230" t="s">
        <v>314</v>
      </c>
      <c r="S2230" t="s">
        <v>52</v>
      </c>
      <c r="U2230">
        <v>890149</v>
      </c>
      <c r="V2230" s="3">
        <v>46056.646527777775</v>
      </c>
      <c r="W2230" t="s">
        <v>1799</v>
      </c>
      <c r="X2230" t="s">
        <v>1800</v>
      </c>
      <c r="Y2230" t="str">
        <f>"0459929657"</f>
        <v>0459929657</v>
      </c>
      <c r="Z2230" t="s">
        <v>123</v>
      </c>
      <c r="AB2230" t="s">
        <v>4787</v>
      </c>
      <c r="AD2230" t="s">
        <v>306</v>
      </c>
      <c r="AE2230" t="s">
        <v>4788</v>
      </c>
      <c r="AF2230">
        <v>3101</v>
      </c>
      <c r="AG2230" t="s">
        <v>98</v>
      </c>
      <c r="AI2230" t="s">
        <v>59</v>
      </c>
      <c r="AL2230" t="s">
        <v>87</v>
      </c>
      <c r="AN2230" s="3">
        <v>46064.743055555555</v>
      </c>
      <c r="AO2230" t="s">
        <v>1799</v>
      </c>
    </row>
    <row r="2231" spans="1:41" x14ac:dyDescent="0.3">
      <c r="A2231" t="s">
        <v>168</v>
      </c>
      <c r="B2231" t="s">
        <v>282</v>
      </c>
      <c r="C2231" t="s">
        <v>43</v>
      </c>
      <c r="D2231" t="s">
        <v>283</v>
      </c>
      <c r="E2231" s="1">
        <v>46064</v>
      </c>
      <c r="F2231" t="s">
        <v>44</v>
      </c>
      <c r="G2231" t="s">
        <v>45</v>
      </c>
      <c r="H2231" s="2">
        <v>0.3125</v>
      </c>
      <c r="I2231" s="2">
        <v>0.52083333333333337</v>
      </c>
      <c r="J2231" t="s">
        <v>185</v>
      </c>
      <c r="K2231" t="s">
        <v>284</v>
      </c>
      <c r="L2231" t="s">
        <v>186</v>
      </c>
      <c r="M2231" t="s">
        <v>285</v>
      </c>
      <c r="N2231" t="s">
        <v>286</v>
      </c>
      <c r="O2231">
        <v>5951416</v>
      </c>
      <c r="Q2231" t="s">
        <v>294</v>
      </c>
      <c r="R2231" t="s">
        <v>176</v>
      </c>
      <c r="S2231" t="s">
        <v>52</v>
      </c>
      <c r="U2231">
        <v>890110</v>
      </c>
      <c r="V2231" s="3">
        <v>46062.640972222223</v>
      </c>
      <c r="W2231" t="s">
        <v>288</v>
      </c>
      <c r="X2231" t="s">
        <v>289</v>
      </c>
      <c r="Y2231" t="str">
        <f>"0423562542"</f>
        <v>0423562542</v>
      </c>
      <c r="Z2231" t="s">
        <v>585</v>
      </c>
      <c r="AA2231" s="1">
        <v>46064</v>
      </c>
      <c r="AB2231" t="s">
        <v>291</v>
      </c>
      <c r="AC2231" t="s">
        <v>292</v>
      </c>
      <c r="AD2231" t="s">
        <v>168</v>
      </c>
      <c r="AE2231" t="s">
        <v>293</v>
      </c>
      <c r="AF2231">
        <v>5037</v>
      </c>
      <c r="AG2231" t="s">
        <v>294</v>
      </c>
      <c r="AI2231" t="s">
        <v>59</v>
      </c>
      <c r="AL2231" t="s">
        <v>224</v>
      </c>
      <c r="AN2231" s="3">
        <v>46064.522222222222</v>
      </c>
      <c r="AO2231" t="s">
        <v>288</v>
      </c>
    </row>
    <row r="2232" spans="1:41" x14ac:dyDescent="0.3">
      <c r="A2232" t="s">
        <v>306</v>
      </c>
      <c r="B2232" t="s">
        <v>820</v>
      </c>
      <c r="C2232" t="s">
        <v>100</v>
      </c>
      <c r="D2232" t="s">
        <v>127</v>
      </c>
      <c r="E2232" s="1">
        <v>46064</v>
      </c>
      <c r="F2232" t="s">
        <v>44</v>
      </c>
      <c r="G2232" t="s">
        <v>45</v>
      </c>
      <c r="H2232" s="2">
        <v>0.3125</v>
      </c>
      <c r="I2232" s="2">
        <v>0.75</v>
      </c>
      <c r="J2232" t="s">
        <v>451</v>
      </c>
      <c r="L2232" t="s">
        <v>452</v>
      </c>
      <c r="M2232" t="s">
        <v>821</v>
      </c>
      <c r="N2232" t="s">
        <v>822</v>
      </c>
      <c r="O2232">
        <v>20712</v>
      </c>
      <c r="Q2232" t="s">
        <v>823</v>
      </c>
      <c r="R2232" t="s">
        <v>476</v>
      </c>
      <c r="S2232" t="s">
        <v>52</v>
      </c>
      <c r="U2232">
        <v>890135</v>
      </c>
      <c r="V2232" s="3">
        <v>46057.55</v>
      </c>
      <c r="W2232" t="s">
        <v>824</v>
      </c>
      <c r="X2232" t="s">
        <v>825</v>
      </c>
      <c r="Y2232" t="str">
        <f>"0439419256"</f>
        <v>0439419256</v>
      </c>
      <c r="Z2232" t="s">
        <v>70</v>
      </c>
      <c r="AA2232" s="1">
        <v>46064</v>
      </c>
      <c r="AB2232" t="s">
        <v>826</v>
      </c>
      <c r="AD2232" t="s">
        <v>306</v>
      </c>
      <c r="AE2232" t="s">
        <v>827</v>
      </c>
      <c r="AF2232">
        <v>3181</v>
      </c>
      <c r="AG2232" t="s">
        <v>823</v>
      </c>
      <c r="AI2232" t="s">
        <v>59</v>
      </c>
      <c r="AL2232" t="s">
        <v>87</v>
      </c>
      <c r="AN2232" s="3">
        <v>46064.703472222223</v>
      </c>
      <c r="AO2232" t="s">
        <v>824</v>
      </c>
    </row>
    <row r="2233" spans="1:41" x14ac:dyDescent="0.3">
      <c r="A2233" t="s">
        <v>61</v>
      </c>
      <c r="B2233" t="s">
        <v>655</v>
      </c>
      <c r="C2233" t="s">
        <v>43</v>
      </c>
      <c r="D2233" t="s">
        <v>656</v>
      </c>
      <c r="E2233" s="1">
        <v>46064</v>
      </c>
      <c r="F2233" t="s">
        <v>44</v>
      </c>
      <c r="G2233" t="s">
        <v>45</v>
      </c>
      <c r="H2233" s="2">
        <v>0.3125</v>
      </c>
      <c r="I2233" s="2">
        <v>0.99861111111111112</v>
      </c>
      <c r="J2233" t="s">
        <v>185</v>
      </c>
      <c r="K2233" t="s">
        <v>327</v>
      </c>
      <c r="L2233" t="s">
        <v>186</v>
      </c>
      <c r="M2233" t="s">
        <v>2588</v>
      </c>
      <c r="N2233" t="s">
        <v>2589</v>
      </c>
      <c r="O2233">
        <v>5951854</v>
      </c>
      <c r="Q2233" t="s">
        <v>2590</v>
      </c>
      <c r="R2233" t="s">
        <v>132</v>
      </c>
      <c r="S2233" t="s">
        <v>52</v>
      </c>
      <c r="U2233">
        <v>890134</v>
      </c>
      <c r="V2233" s="3">
        <v>46028.415277777778</v>
      </c>
      <c r="W2233" t="s">
        <v>2591</v>
      </c>
      <c r="X2233" t="s">
        <v>2592</v>
      </c>
      <c r="Y2233" t="str">
        <f>"0452497186"</f>
        <v>0452497186</v>
      </c>
      <c r="Z2233" t="s">
        <v>4789</v>
      </c>
      <c r="AB2233" t="s">
        <v>662</v>
      </c>
      <c r="AC2233" t="s">
        <v>663</v>
      </c>
      <c r="AD2233" t="s">
        <v>61</v>
      </c>
      <c r="AE2233" t="s">
        <v>664</v>
      </c>
      <c r="AF2233">
        <v>2067</v>
      </c>
      <c r="AG2233" t="s">
        <v>665</v>
      </c>
      <c r="AI2233" t="s">
        <v>59</v>
      </c>
      <c r="AL2233" t="s">
        <v>4790</v>
      </c>
      <c r="AN2233" s="3">
        <v>46064.698611111111</v>
      </c>
      <c r="AO2233" t="s">
        <v>2591</v>
      </c>
    </row>
    <row r="2234" spans="1:41" x14ac:dyDescent="0.3">
      <c r="A2234" t="s">
        <v>75</v>
      </c>
      <c r="B2234" t="s">
        <v>2210</v>
      </c>
      <c r="C2234" t="s">
        <v>2211</v>
      </c>
      <c r="D2234" t="s">
        <v>2212</v>
      </c>
      <c r="E2234" s="1">
        <v>46064</v>
      </c>
      <c r="F2234" t="s">
        <v>44</v>
      </c>
      <c r="G2234" t="s">
        <v>45</v>
      </c>
      <c r="H2234" s="2">
        <v>0.3125</v>
      </c>
      <c r="I2234" s="2">
        <v>0.72916666666666663</v>
      </c>
      <c r="J2234" t="s">
        <v>101</v>
      </c>
      <c r="L2234" t="s">
        <v>159</v>
      </c>
      <c r="M2234" t="s">
        <v>1051</v>
      </c>
      <c r="N2234" t="s">
        <v>2213</v>
      </c>
      <c r="O2234">
        <v>22543</v>
      </c>
      <c r="Q2234" t="s">
        <v>2214</v>
      </c>
      <c r="R2234" t="s">
        <v>926</v>
      </c>
      <c r="S2234" t="s">
        <v>52</v>
      </c>
      <c r="U2234">
        <v>890164</v>
      </c>
      <c r="V2234" s="3">
        <v>46057.637499999997</v>
      </c>
      <c r="W2234" t="s">
        <v>2215</v>
      </c>
      <c r="X2234" t="s">
        <v>2216</v>
      </c>
      <c r="Y2234" t="str">
        <f>"0433875003"</f>
        <v>0433875003</v>
      </c>
      <c r="Z2234" t="s">
        <v>123</v>
      </c>
      <c r="AB2234" t="s">
        <v>2217</v>
      </c>
      <c r="AD2234" t="s">
        <v>75</v>
      </c>
      <c r="AE2234" t="s">
        <v>903</v>
      </c>
      <c r="AF2234">
        <v>6009</v>
      </c>
      <c r="AG2234" t="s">
        <v>2214</v>
      </c>
      <c r="AI2234" t="s">
        <v>59</v>
      </c>
      <c r="AL2234" t="s">
        <v>2218</v>
      </c>
      <c r="AN2234" s="3">
        <v>46064.84375</v>
      </c>
      <c r="AO2234" t="s">
        <v>2215</v>
      </c>
    </row>
    <row r="2235" spans="1:41" x14ac:dyDescent="0.3">
      <c r="A2235" t="s">
        <v>168</v>
      </c>
      <c r="B2235" t="s">
        <v>376</v>
      </c>
      <c r="C2235" t="s">
        <v>43</v>
      </c>
      <c r="D2235" t="s">
        <v>127</v>
      </c>
      <c r="E2235" s="1">
        <v>46064</v>
      </c>
      <c r="F2235" t="s">
        <v>44</v>
      </c>
      <c r="G2235" t="s">
        <v>45</v>
      </c>
      <c r="H2235" s="2">
        <v>0.3125</v>
      </c>
      <c r="I2235" s="2">
        <v>0.625</v>
      </c>
      <c r="J2235" t="s">
        <v>185</v>
      </c>
      <c r="L2235" t="s">
        <v>186</v>
      </c>
      <c r="M2235" t="s">
        <v>835</v>
      </c>
      <c r="N2235" t="s">
        <v>836</v>
      </c>
      <c r="O2235">
        <v>22947</v>
      </c>
      <c r="Q2235" t="s">
        <v>670</v>
      </c>
      <c r="R2235" t="s">
        <v>231</v>
      </c>
      <c r="S2235" t="s">
        <v>52</v>
      </c>
      <c r="U2235">
        <v>890119</v>
      </c>
      <c r="V2235" s="3">
        <v>46035.645833333336</v>
      </c>
      <c r="W2235" t="s">
        <v>837</v>
      </c>
      <c r="X2235" t="s">
        <v>838</v>
      </c>
      <c r="Y2235" t="str">
        <f>"0415626656"</f>
        <v>0415626656</v>
      </c>
      <c r="Z2235" t="s">
        <v>503</v>
      </c>
      <c r="AB2235" t="s">
        <v>383</v>
      </c>
      <c r="AD2235" t="s">
        <v>168</v>
      </c>
      <c r="AE2235" t="s">
        <v>384</v>
      </c>
      <c r="AF2235">
        <v>5000</v>
      </c>
      <c r="AG2235" t="s">
        <v>674</v>
      </c>
      <c r="AI2235" t="s">
        <v>59</v>
      </c>
      <c r="AL2235" t="s">
        <v>4791</v>
      </c>
      <c r="AN2235" s="3">
        <v>46064.575694444444</v>
      </c>
      <c r="AO2235" t="s">
        <v>837</v>
      </c>
    </row>
    <row r="2236" spans="1:41" x14ac:dyDescent="0.3">
      <c r="A2236" t="s">
        <v>61</v>
      </c>
      <c r="B2236" t="s">
        <v>62</v>
      </c>
      <c r="C2236" t="s">
        <v>43</v>
      </c>
      <c r="D2236" t="s">
        <v>63</v>
      </c>
      <c r="E2236" s="1">
        <v>46064</v>
      </c>
      <c r="F2236" t="s">
        <v>44</v>
      </c>
      <c r="G2236" t="s">
        <v>45</v>
      </c>
      <c r="H2236" s="2">
        <v>0.3125</v>
      </c>
      <c r="I2236" s="2">
        <v>0.98958333333333337</v>
      </c>
      <c r="J2236" t="s">
        <v>185</v>
      </c>
      <c r="L2236" t="s">
        <v>790</v>
      </c>
      <c r="M2236" t="s">
        <v>791</v>
      </c>
      <c r="N2236" t="s">
        <v>792</v>
      </c>
      <c r="O2236">
        <v>5952334</v>
      </c>
      <c r="Q2236" t="s">
        <v>66</v>
      </c>
      <c r="R2236" t="s">
        <v>67</v>
      </c>
      <c r="S2236" t="s">
        <v>52</v>
      </c>
      <c r="U2236">
        <v>890139</v>
      </c>
      <c r="V2236" s="3">
        <v>46058.355555555558</v>
      </c>
      <c r="W2236" t="s">
        <v>793</v>
      </c>
      <c r="X2236" t="s">
        <v>794</v>
      </c>
      <c r="Y2236" t="str">
        <f>"0422273393"</f>
        <v>0422273393</v>
      </c>
      <c r="Z2236" t="s">
        <v>70</v>
      </c>
      <c r="AB2236" t="s">
        <v>71</v>
      </c>
      <c r="AD2236" t="s">
        <v>61</v>
      </c>
      <c r="AE2236" t="s">
        <v>72</v>
      </c>
      <c r="AF2236">
        <v>2747</v>
      </c>
      <c r="AG2236" t="s">
        <v>73</v>
      </c>
      <c r="AI2236" t="s">
        <v>59</v>
      </c>
      <c r="AL2236" t="s">
        <v>4792</v>
      </c>
      <c r="AN2236" s="3">
        <v>46064.713194444441</v>
      </c>
      <c r="AO2236" t="s">
        <v>793</v>
      </c>
    </row>
    <row r="2237" spans="1:41" x14ac:dyDescent="0.3">
      <c r="A2237" t="s">
        <v>168</v>
      </c>
      <c r="B2237" t="s">
        <v>1199</v>
      </c>
      <c r="C2237" t="s">
        <v>216</v>
      </c>
      <c r="D2237" t="s">
        <v>127</v>
      </c>
      <c r="E2237" s="1">
        <v>46064</v>
      </c>
      <c r="F2237" t="s">
        <v>44</v>
      </c>
      <c r="G2237" t="s">
        <v>45</v>
      </c>
      <c r="H2237" s="2">
        <v>0.3125</v>
      </c>
      <c r="I2237" s="2">
        <v>0.52083333333333337</v>
      </c>
      <c r="J2237" t="s">
        <v>101</v>
      </c>
      <c r="L2237" t="s">
        <v>743</v>
      </c>
      <c r="M2237" t="s">
        <v>744</v>
      </c>
      <c r="N2237" t="s">
        <v>745</v>
      </c>
      <c r="O2237">
        <v>5951894</v>
      </c>
      <c r="Q2237" t="s">
        <v>1200</v>
      </c>
      <c r="R2237" t="s">
        <v>231</v>
      </c>
      <c r="S2237" t="s">
        <v>52</v>
      </c>
      <c r="U2237">
        <v>890111</v>
      </c>
      <c r="V2237" s="3">
        <v>46063.392361111109</v>
      </c>
      <c r="W2237" t="s">
        <v>746</v>
      </c>
      <c r="X2237" t="s">
        <v>747</v>
      </c>
      <c r="Y2237" t="str">
        <f>"0420536678"</f>
        <v>0420536678</v>
      </c>
      <c r="Z2237" t="s">
        <v>70</v>
      </c>
      <c r="AA2237" s="1">
        <v>46064</v>
      </c>
      <c r="AB2237" t="s">
        <v>1202</v>
      </c>
      <c r="AD2237" t="s">
        <v>168</v>
      </c>
      <c r="AE2237" t="s">
        <v>1203</v>
      </c>
      <c r="AF2237">
        <v>5152</v>
      </c>
      <c r="AG2237" t="s">
        <v>4793</v>
      </c>
      <c r="AI2237" t="s">
        <v>59</v>
      </c>
      <c r="AL2237" t="s">
        <v>4794</v>
      </c>
      <c r="AN2237" s="3">
        <v>46064.53125</v>
      </c>
      <c r="AO2237" t="s">
        <v>746</v>
      </c>
    </row>
    <row r="2238" spans="1:41" x14ac:dyDescent="0.3">
      <c r="A2238" t="s">
        <v>75</v>
      </c>
      <c r="B2238" t="s">
        <v>358</v>
      </c>
      <c r="C2238" t="s">
        <v>43</v>
      </c>
      <c r="D2238" t="s">
        <v>184</v>
      </c>
      <c r="E2238" s="1">
        <v>46064</v>
      </c>
      <c r="F2238" t="s">
        <v>44</v>
      </c>
      <c r="G2238" t="s">
        <v>45</v>
      </c>
      <c r="H2238" s="2">
        <v>0.3125</v>
      </c>
      <c r="I2238" s="2">
        <v>0.75</v>
      </c>
      <c r="J2238" t="s">
        <v>185</v>
      </c>
      <c r="K2238" t="s">
        <v>678</v>
      </c>
      <c r="L2238" t="s">
        <v>186</v>
      </c>
      <c r="M2238" t="s">
        <v>806</v>
      </c>
      <c r="N2238" t="s">
        <v>807</v>
      </c>
      <c r="O2238">
        <v>5951855</v>
      </c>
      <c r="Q2238" t="s">
        <v>4795</v>
      </c>
      <c r="R2238" t="s">
        <v>926</v>
      </c>
      <c r="S2238" t="s">
        <v>52</v>
      </c>
      <c r="U2238">
        <v>890163</v>
      </c>
      <c r="V2238" s="3">
        <v>46063.645138888889</v>
      </c>
      <c r="W2238" t="s">
        <v>809</v>
      </c>
      <c r="X2238" t="s">
        <v>810</v>
      </c>
      <c r="Y2238" t="str">
        <f>"0450257692"</f>
        <v>0450257692</v>
      </c>
      <c r="Z2238" t="s">
        <v>70</v>
      </c>
      <c r="AA2238" s="1">
        <v>46064</v>
      </c>
      <c r="AB2238" t="s">
        <v>367</v>
      </c>
      <c r="AD2238" t="s">
        <v>75</v>
      </c>
      <c r="AE2238" t="s">
        <v>368</v>
      </c>
      <c r="AF2238">
        <v>6027</v>
      </c>
      <c r="AG2238" t="s">
        <v>4796</v>
      </c>
      <c r="AI2238" t="s">
        <v>59</v>
      </c>
      <c r="AL2238" t="s">
        <v>87</v>
      </c>
      <c r="AN2238" s="3">
        <v>46064.84097222222</v>
      </c>
      <c r="AO2238" t="s">
        <v>809</v>
      </c>
    </row>
    <row r="2239" spans="1:41" x14ac:dyDescent="0.3">
      <c r="A2239" t="s">
        <v>61</v>
      </c>
      <c r="B2239" t="s">
        <v>507</v>
      </c>
      <c r="C2239" t="s">
        <v>202</v>
      </c>
      <c r="D2239" t="s">
        <v>63</v>
      </c>
      <c r="E2239" s="1">
        <v>46064</v>
      </c>
      <c r="F2239" t="s">
        <v>44</v>
      </c>
      <c r="G2239" t="s">
        <v>45</v>
      </c>
      <c r="H2239" s="2">
        <v>0.33333333333333331</v>
      </c>
      <c r="I2239" s="2">
        <v>0.6875</v>
      </c>
      <c r="J2239" t="s">
        <v>46</v>
      </c>
      <c r="L2239" t="s">
        <v>1453</v>
      </c>
      <c r="M2239" t="s">
        <v>3538</v>
      </c>
      <c r="N2239" t="s">
        <v>3539</v>
      </c>
      <c r="O2239">
        <v>5952132</v>
      </c>
      <c r="Q2239" t="s">
        <v>371</v>
      </c>
      <c r="R2239" t="s">
        <v>67</v>
      </c>
      <c r="S2239" t="s">
        <v>52</v>
      </c>
      <c r="U2239">
        <v>890133</v>
      </c>
      <c r="V2239" s="3">
        <v>46059.474999999999</v>
      </c>
      <c r="W2239" t="s">
        <v>3540</v>
      </c>
      <c r="X2239" t="s">
        <v>3541</v>
      </c>
      <c r="Y2239" t="str">
        <f>"0401507107"</f>
        <v>0401507107</v>
      </c>
      <c r="Z2239" t="s">
        <v>4797</v>
      </c>
      <c r="AB2239" t="s">
        <v>514</v>
      </c>
      <c r="AD2239" t="s">
        <v>61</v>
      </c>
      <c r="AE2239" t="s">
        <v>515</v>
      </c>
      <c r="AF2239">
        <v>2086</v>
      </c>
      <c r="AG2239" t="s">
        <v>371</v>
      </c>
      <c r="AI2239" t="s">
        <v>59</v>
      </c>
      <c r="AL2239" t="s">
        <v>108</v>
      </c>
      <c r="AN2239" s="3">
        <v>46064.697222222225</v>
      </c>
      <c r="AO2239" t="s">
        <v>3540</v>
      </c>
    </row>
    <row r="2240" spans="1:41" x14ac:dyDescent="0.3">
      <c r="A2240" t="s">
        <v>41</v>
      </c>
      <c r="B2240" t="s">
        <v>965</v>
      </c>
      <c r="C2240" t="s">
        <v>43</v>
      </c>
      <c r="D2240" t="s">
        <v>966</v>
      </c>
      <c r="E2240" s="1">
        <v>46064</v>
      </c>
      <c r="F2240" t="s">
        <v>44</v>
      </c>
      <c r="G2240" t="s">
        <v>45</v>
      </c>
      <c r="H2240" s="2">
        <v>0.33333333333333331</v>
      </c>
      <c r="I2240" s="2">
        <v>0.77083333333333337</v>
      </c>
      <c r="J2240" t="s">
        <v>101</v>
      </c>
      <c r="L2240" t="s">
        <v>967</v>
      </c>
      <c r="M2240" t="s">
        <v>968</v>
      </c>
      <c r="N2240" t="s">
        <v>969</v>
      </c>
      <c r="O2240">
        <v>5952467</v>
      </c>
      <c r="Q2240" t="s">
        <v>823</v>
      </c>
      <c r="R2240" t="s">
        <v>723</v>
      </c>
      <c r="S2240" t="s">
        <v>52</v>
      </c>
      <c r="U2240">
        <v>890155</v>
      </c>
      <c r="V2240" s="3">
        <v>46058.505555555559</v>
      </c>
      <c r="W2240" t="s">
        <v>970</v>
      </c>
      <c r="X2240" t="s">
        <v>971</v>
      </c>
      <c r="Y2240" t="str">
        <f>"0433979184"</f>
        <v>0433979184</v>
      </c>
      <c r="Z2240" t="s">
        <v>70</v>
      </c>
      <c r="AA2240" s="1">
        <v>46064</v>
      </c>
      <c r="AB2240" t="s">
        <v>972</v>
      </c>
      <c r="AD2240" t="s">
        <v>41</v>
      </c>
      <c r="AE2240" t="s">
        <v>973</v>
      </c>
      <c r="AF2240">
        <v>4068</v>
      </c>
      <c r="AG2240" t="s">
        <v>823</v>
      </c>
      <c r="AI2240" t="s">
        <v>59</v>
      </c>
      <c r="AL2240" t="s">
        <v>4285</v>
      </c>
      <c r="AN2240" s="3">
        <v>46064.78402777778</v>
      </c>
      <c r="AO2240" t="s">
        <v>970</v>
      </c>
    </row>
    <row r="2241" spans="1:41" x14ac:dyDescent="0.3">
      <c r="A2241" t="s">
        <v>168</v>
      </c>
      <c r="B2241" t="s">
        <v>282</v>
      </c>
      <c r="C2241" t="s">
        <v>170</v>
      </c>
      <c r="D2241" t="s">
        <v>283</v>
      </c>
      <c r="E2241" s="1">
        <v>46064</v>
      </c>
      <c r="F2241" t="s">
        <v>44</v>
      </c>
      <c r="G2241" t="s">
        <v>45</v>
      </c>
      <c r="H2241" s="2">
        <v>0.33333333333333331</v>
      </c>
      <c r="I2241" s="2">
        <v>0.5</v>
      </c>
      <c r="J2241" t="s">
        <v>170</v>
      </c>
      <c r="K2241" t="s">
        <v>77</v>
      </c>
      <c r="L2241" t="s">
        <v>204</v>
      </c>
      <c r="M2241" t="s">
        <v>205</v>
      </c>
      <c r="N2241" t="s">
        <v>206</v>
      </c>
      <c r="O2241">
        <v>21706</v>
      </c>
      <c r="Q2241" t="s">
        <v>294</v>
      </c>
      <c r="R2241" t="s">
        <v>176</v>
      </c>
      <c r="S2241" t="s">
        <v>52</v>
      </c>
      <c r="U2241">
        <v>890108</v>
      </c>
      <c r="V2241" s="3">
        <v>46062.640972222223</v>
      </c>
      <c r="W2241" t="s">
        <v>209</v>
      </c>
      <c r="X2241" t="s">
        <v>210</v>
      </c>
      <c r="Y2241" t="str">
        <f>"0415862070"</f>
        <v>0415862070</v>
      </c>
      <c r="Z2241" t="s">
        <v>254</v>
      </c>
      <c r="AA2241" s="1">
        <v>46064</v>
      </c>
      <c r="AB2241" t="s">
        <v>291</v>
      </c>
      <c r="AC2241" t="s">
        <v>292</v>
      </c>
      <c r="AD2241" t="s">
        <v>168</v>
      </c>
      <c r="AE2241" t="s">
        <v>293</v>
      </c>
      <c r="AF2241">
        <v>5037</v>
      </c>
      <c r="AG2241" t="s">
        <v>294</v>
      </c>
      <c r="AI2241" t="s">
        <v>59</v>
      </c>
      <c r="AL2241" t="s">
        <v>224</v>
      </c>
      <c r="AN2241" s="3">
        <v>46064.517361111109</v>
      </c>
      <c r="AO2241" t="s">
        <v>209</v>
      </c>
    </row>
    <row r="2242" spans="1:41" x14ac:dyDescent="0.3">
      <c r="A2242" t="s">
        <v>168</v>
      </c>
      <c r="B2242" t="s">
        <v>607</v>
      </c>
      <c r="C2242" t="s">
        <v>267</v>
      </c>
      <c r="D2242" t="s">
        <v>268</v>
      </c>
      <c r="E2242" s="1">
        <v>46064</v>
      </c>
      <c r="F2242" t="s">
        <v>44</v>
      </c>
      <c r="G2242" t="s">
        <v>45</v>
      </c>
      <c r="H2242" s="2">
        <v>0.33333333333333331</v>
      </c>
      <c r="I2242" s="2">
        <v>0.6875</v>
      </c>
      <c r="J2242" t="s">
        <v>269</v>
      </c>
      <c r="K2242" t="s">
        <v>608</v>
      </c>
      <c r="L2242" t="s">
        <v>609</v>
      </c>
      <c r="M2242" t="s">
        <v>610</v>
      </c>
      <c r="N2242" t="s">
        <v>611</v>
      </c>
      <c r="O2242">
        <v>5952121</v>
      </c>
      <c r="P2242" t="s">
        <v>249</v>
      </c>
      <c r="Q2242" t="s">
        <v>612</v>
      </c>
      <c r="R2242" t="s">
        <v>613</v>
      </c>
      <c r="S2242" t="s">
        <v>52</v>
      </c>
      <c r="T2242" t="s">
        <v>252</v>
      </c>
      <c r="U2242">
        <v>890619</v>
      </c>
      <c r="V2242" s="3">
        <v>46069.460416666669</v>
      </c>
      <c r="W2242" t="s">
        <v>613</v>
      </c>
      <c r="X2242" t="s">
        <v>614</v>
      </c>
      <c r="Y2242" t="str">
        <f>"0412297150"</f>
        <v>0412297150</v>
      </c>
      <c r="Z2242" t="s">
        <v>366</v>
      </c>
      <c r="AA2242" s="1">
        <v>46077</v>
      </c>
      <c r="AB2242" t="s">
        <v>615</v>
      </c>
      <c r="AC2242" t="s">
        <v>616</v>
      </c>
      <c r="AD2242" t="s">
        <v>168</v>
      </c>
      <c r="AE2242" t="s">
        <v>617</v>
      </c>
      <c r="AF2242">
        <v>5290</v>
      </c>
      <c r="AG2242" t="s">
        <v>618</v>
      </c>
      <c r="AI2242" t="s">
        <v>59</v>
      </c>
      <c r="AJ2242" t="str">
        <f>"0020171780"</f>
        <v>0020171780</v>
      </c>
      <c r="AN2242" s="3">
        <v>46069.460416666669</v>
      </c>
      <c r="AO2242" t="s">
        <v>613</v>
      </c>
    </row>
    <row r="2243" spans="1:41" x14ac:dyDescent="0.3">
      <c r="A2243" t="s">
        <v>168</v>
      </c>
      <c r="B2243" t="s">
        <v>326</v>
      </c>
      <c r="D2243" t="s">
        <v>127</v>
      </c>
      <c r="E2243" s="1">
        <v>46064</v>
      </c>
      <c r="F2243" t="s">
        <v>44</v>
      </c>
      <c r="G2243" t="s">
        <v>45</v>
      </c>
      <c r="H2243" s="2">
        <v>0.33333333333333331</v>
      </c>
      <c r="I2243" s="2">
        <v>0.58333333333333337</v>
      </c>
      <c r="J2243" t="s">
        <v>46</v>
      </c>
      <c r="L2243" t="s">
        <v>47</v>
      </c>
      <c r="M2243" t="s">
        <v>1089</v>
      </c>
      <c r="N2243" t="s">
        <v>1024</v>
      </c>
      <c r="O2243">
        <v>20963</v>
      </c>
      <c r="Q2243" t="s">
        <v>676</v>
      </c>
      <c r="R2243" t="s">
        <v>3993</v>
      </c>
      <c r="S2243" t="s">
        <v>52</v>
      </c>
      <c r="U2243">
        <v>890115</v>
      </c>
      <c r="V2243" s="3">
        <v>46053.532638888886</v>
      </c>
      <c r="W2243" t="s">
        <v>1091</v>
      </c>
      <c r="X2243" t="s">
        <v>1092</v>
      </c>
      <c r="Y2243" t="str">
        <f>"0430222501"</f>
        <v>0430222501</v>
      </c>
      <c r="Z2243" t="s">
        <v>70</v>
      </c>
      <c r="AA2243" s="1">
        <v>46064</v>
      </c>
      <c r="AB2243" t="s">
        <v>333</v>
      </c>
      <c r="AD2243" t="s">
        <v>168</v>
      </c>
      <c r="AE2243" t="s">
        <v>334</v>
      </c>
      <c r="AF2243">
        <v>5034</v>
      </c>
      <c r="AI2243" t="s">
        <v>59</v>
      </c>
      <c r="AL2243" t="s">
        <v>4798</v>
      </c>
      <c r="AM2243" t="s">
        <v>4799</v>
      </c>
      <c r="AN2243" s="3">
        <v>46064.563194444447</v>
      </c>
      <c r="AO2243" t="s">
        <v>1091</v>
      </c>
    </row>
    <row r="2244" spans="1:41" x14ac:dyDescent="0.3">
      <c r="A2244" t="s">
        <v>168</v>
      </c>
      <c r="B2244" t="s">
        <v>2251</v>
      </c>
      <c r="C2244" t="s">
        <v>43</v>
      </c>
      <c r="D2244" t="s">
        <v>127</v>
      </c>
      <c r="E2244" s="1">
        <v>46064</v>
      </c>
      <c r="F2244" t="s">
        <v>44</v>
      </c>
      <c r="G2244" t="s">
        <v>45</v>
      </c>
      <c r="H2244" s="2">
        <v>0.34375</v>
      </c>
      <c r="I2244" s="2">
        <v>0.69791666666666663</v>
      </c>
      <c r="J2244" t="s">
        <v>185</v>
      </c>
      <c r="K2244" t="s">
        <v>238</v>
      </c>
      <c r="L2244" t="s">
        <v>2243</v>
      </c>
      <c r="M2244" t="s">
        <v>2244</v>
      </c>
      <c r="N2244" t="s">
        <v>2245</v>
      </c>
      <c r="O2244">
        <v>22748</v>
      </c>
      <c r="Q2244" t="s">
        <v>2252</v>
      </c>
      <c r="R2244" t="s">
        <v>176</v>
      </c>
      <c r="S2244" t="s">
        <v>52</v>
      </c>
      <c r="U2244">
        <v>890146</v>
      </c>
      <c r="V2244" s="3">
        <v>46044.504166666666</v>
      </c>
      <c r="W2244" t="s">
        <v>2246</v>
      </c>
      <c r="X2244" t="s">
        <v>2247</v>
      </c>
      <c r="Y2244" t="str">
        <f>"0423555385"</f>
        <v>0423555385</v>
      </c>
      <c r="Z2244" t="s">
        <v>70</v>
      </c>
      <c r="AA2244" s="1">
        <v>46064</v>
      </c>
      <c r="AB2244" t="s">
        <v>2253</v>
      </c>
      <c r="AD2244" t="s">
        <v>168</v>
      </c>
      <c r="AE2244" t="s">
        <v>2254</v>
      </c>
      <c r="AF2244">
        <v>5041</v>
      </c>
      <c r="AG2244" t="s">
        <v>2252</v>
      </c>
      <c r="AI2244" t="s">
        <v>59</v>
      </c>
      <c r="AL2244" t="s">
        <v>4800</v>
      </c>
      <c r="AM2244" t="s">
        <v>4800</v>
      </c>
      <c r="AN2244" s="3">
        <v>46064.727777777778</v>
      </c>
      <c r="AO2244" t="s">
        <v>2246</v>
      </c>
    </row>
    <row r="2245" spans="1:41" x14ac:dyDescent="0.3">
      <c r="A2245" t="s">
        <v>61</v>
      </c>
      <c r="B2245" t="s">
        <v>88</v>
      </c>
      <c r="C2245" t="s">
        <v>1856</v>
      </c>
      <c r="D2245" t="s">
        <v>90</v>
      </c>
      <c r="E2245" s="1">
        <v>46064</v>
      </c>
      <c r="F2245" t="s">
        <v>44</v>
      </c>
      <c r="G2245" t="s">
        <v>45</v>
      </c>
      <c r="H2245" s="2">
        <v>0.35416666666666669</v>
      </c>
      <c r="I2245" s="2">
        <v>0.70833333333333337</v>
      </c>
      <c r="J2245" t="s">
        <v>46</v>
      </c>
      <c r="L2245" t="s">
        <v>47</v>
      </c>
      <c r="M2245" t="s">
        <v>914</v>
      </c>
      <c r="N2245" t="s">
        <v>915</v>
      </c>
      <c r="O2245">
        <v>5951931</v>
      </c>
      <c r="P2245">
        <v>11585898</v>
      </c>
      <c r="Q2245" t="s">
        <v>1245</v>
      </c>
      <c r="R2245" t="s">
        <v>132</v>
      </c>
      <c r="S2245" t="s">
        <v>52</v>
      </c>
      <c r="U2245">
        <v>890143</v>
      </c>
      <c r="V2245" s="3">
        <v>46063.452777777777</v>
      </c>
      <c r="W2245" t="s">
        <v>917</v>
      </c>
      <c r="X2245" t="s">
        <v>918</v>
      </c>
      <c r="Y2245" t="str">
        <f>"0402155331"</f>
        <v>0402155331</v>
      </c>
      <c r="Z2245" t="s">
        <v>123</v>
      </c>
      <c r="AA2245" s="1">
        <v>46064</v>
      </c>
      <c r="AB2245" t="s">
        <v>96</v>
      </c>
      <c r="AD2245" t="s">
        <v>61</v>
      </c>
      <c r="AE2245" t="s">
        <v>97</v>
      </c>
      <c r="AF2245">
        <v>2010</v>
      </c>
      <c r="AG2245" t="s">
        <v>98</v>
      </c>
      <c r="AI2245" t="s">
        <v>59</v>
      </c>
      <c r="AL2245" t="s">
        <v>99</v>
      </c>
      <c r="AN2245" s="3">
        <v>46064.724999999999</v>
      </c>
      <c r="AO2245" t="s">
        <v>917</v>
      </c>
    </row>
    <row r="2246" spans="1:41" x14ac:dyDescent="0.3">
      <c r="A2246" t="s">
        <v>168</v>
      </c>
      <c r="B2246" t="s">
        <v>282</v>
      </c>
      <c r="C2246" t="s">
        <v>170</v>
      </c>
      <c r="D2246" t="s">
        <v>283</v>
      </c>
      <c r="E2246" s="1">
        <v>46064</v>
      </c>
      <c r="F2246" t="s">
        <v>44</v>
      </c>
      <c r="G2246" t="s">
        <v>45</v>
      </c>
      <c r="H2246" s="2">
        <v>0.35416666666666669</v>
      </c>
      <c r="I2246" s="2">
        <v>0.52083333333333337</v>
      </c>
      <c r="J2246" t="s">
        <v>170</v>
      </c>
      <c r="K2246" t="s">
        <v>203</v>
      </c>
      <c r="L2246" t="s">
        <v>204</v>
      </c>
      <c r="M2246" t="s">
        <v>1774</v>
      </c>
      <c r="N2246" t="s">
        <v>1775</v>
      </c>
      <c r="O2246">
        <v>5952428</v>
      </c>
      <c r="Q2246" t="s">
        <v>294</v>
      </c>
      <c r="R2246" t="s">
        <v>176</v>
      </c>
      <c r="S2246" t="s">
        <v>52</v>
      </c>
      <c r="U2246">
        <v>890113</v>
      </c>
      <c r="V2246" s="3">
        <v>46062.640972222223</v>
      </c>
      <c r="W2246" t="s">
        <v>1777</v>
      </c>
      <c r="X2246" t="s">
        <v>1778</v>
      </c>
      <c r="Y2246" t="str">
        <f>"0433533329"</f>
        <v>0433533329</v>
      </c>
      <c r="Z2246" t="s">
        <v>345</v>
      </c>
      <c r="AA2246" s="1">
        <v>46064</v>
      </c>
      <c r="AB2246" t="s">
        <v>291</v>
      </c>
      <c r="AC2246" t="s">
        <v>292</v>
      </c>
      <c r="AD2246" t="s">
        <v>168</v>
      </c>
      <c r="AE2246" t="s">
        <v>293</v>
      </c>
      <c r="AF2246">
        <v>5037</v>
      </c>
      <c r="AG2246" t="s">
        <v>294</v>
      </c>
      <c r="AI2246" t="s">
        <v>59</v>
      </c>
      <c r="AL2246" t="s">
        <v>224</v>
      </c>
      <c r="AN2246" s="3">
        <v>46064.539583333331</v>
      </c>
      <c r="AO2246" t="s">
        <v>1777</v>
      </c>
    </row>
    <row r="2247" spans="1:41" x14ac:dyDescent="0.3">
      <c r="A2247" t="s">
        <v>61</v>
      </c>
      <c r="B2247" t="s">
        <v>655</v>
      </c>
      <c r="C2247" t="s">
        <v>43</v>
      </c>
      <c r="D2247" t="s">
        <v>656</v>
      </c>
      <c r="E2247" s="1">
        <v>46064</v>
      </c>
      <c r="F2247" t="s">
        <v>44</v>
      </c>
      <c r="G2247" t="s">
        <v>45</v>
      </c>
      <c r="H2247" s="2">
        <v>0.35416666666666669</v>
      </c>
      <c r="I2247" s="2">
        <v>0.70833333333333337</v>
      </c>
      <c r="J2247" t="s">
        <v>100</v>
      </c>
      <c r="L2247" t="s">
        <v>100</v>
      </c>
      <c r="M2247" t="s">
        <v>1039</v>
      </c>
      <c r="N2247" t="s">
        <v>1040</v>
      </c>
      <c r="O2247">
        <v>5951110</v>
      </c>
      <c r="Q2247" t="s">
        <v>665</v>
      </c>
      <c r="R2247" t="s">
        <v>145</v>
      </c>
      <c r="S2247" t="s">
        <v>52</v>
      </c>
      <c r="U2247">
        <v>890137</v>
      </c>
      <c r="V2247" s="3">
        <v>46037.762499999997</v>
      </c>
      <c r="W2247" t="s">
        <v>1042</v>
      </c>
      <c r="X2247" t="s">
        <v>1043</v>
      </c>
      <c r="Y2247" t="str">
        <f>"0424952006"</f>
        <v>0424952006</v>
      </c>
      <c r="Z2247" t="s">
        <v>4801</v>
      </c>
      <c r="AB2247" t="s">
        <v>662</v>
      </c>
      <c r="AC2247" t="s">
        <v>663</v>
      </c>
      <c r="AD2247" t="s">
        <v>61</v>
      </c>
      <c r="AE2247" t="s">
        <v>664</v>
      </c>
      <c r="AF2247">
        <v>2067</v>
      </c>
      <c r="AG2247" t="s">
        <v>1571</v>
      </c>
      <c r="AI2247" t="s">
        <v>59</v>
      </c>
      <c r="AL2247" t="s">
        <v>108</v>
      </c>
      <c r="AN2247" s="3">
        <v>46064.709722222222</v>
      </c>
      <c r="AO2247" t="s">
        <v>1042</v>
      </c>
    </row>
    <row r="2248" spans="1:41" x14ac:dyDescent="0.3">
      <c r="A2248" t="s">
        <v>168</v>
      </c>
      <c r="B2248" t="s">
        <v>689</v>
      </c>
      <c r="C2248" t="s">
        <v>43</v>
      </c>
      <c r="D2248" t="s">
        <v>268</v>
      </c>
      <c r="E2248" s="1">
        <v>46064</v>
      </c>
      <c r="F2248" t="s">
        <v>44</v>
      </c>
      <c r="G2248" t="s">
        <v>45</v>
      </c>
      <c r="H2248" s="2">
        <v>0.35416666666666669</v>
      </c>
      <c r="I2248" s="2">
        <v>0.70833333333333337</v>
      </c>
      <c r="J2248" t="s">
        <v>100</v>
      </c>
      <c r="L2248" t="s">
        <v>100</v>
      </c>
      <c r="M2248" t="s">
        <v>862</v>
      </c>
      <c r="N2248" t="s">
        <v>863</v>
      </c>
      <c r="O2248">
        <v>5952375</v>
      </c>
      <c r="Q2248" t="s">
        <v>692</v>
      </c>
      <c r="R2248" t="s">
        <v>864</v>
      </c>
      <c r="S2248" t="s">
        <v>52</v>
      </c>
      <c r="T2248" t="s">
        <v>252</v>
      </c>
      <c r="U2248">
        <v>890610</v>
      </c>
      <c r="V2248" s="3">
        <v>46069.457638888889</v>
      </c>
      <c r="W2248" t="s">
        <v>864</v>
      </c>
      <c r="X2248" t="s">
        <v>865</v>
      </c>
      <c r="Y2248" t="str">
        <f>"0433092113"</f>
        <v>0433092113</v>
      </c>
      <c r="Z2248" t="s">
        <v>550</v>
      </c>
      <c r="AA2248" s="1">
        <v>46075</v>
      </c>
      <c r="AB2248" t="s">
        <v>695</v>
      </c>
      <c r="AD2248" t="s">
        <v>168</v>
      </c>
      <c r="AE2248" t="s">
        <v>696</v>
      </c>
      <c r="AF2248">
        <v>5606</v>
      </c>
      <c r="AG2248" t="s">
        <v>866</v>
      </c>
      <c r="AI2248" t="s">
        <v>59</v>
      </c>
      <c r="AJ2248" t="str">
        <f>"0020187960"</f>
        <v>0020187960</v>
      </c>
      <c r="AN2248" s="3">
        <v>46069.457638888889</v>
      </c>
      <c r="AO2248" t="s">
        <v>864</v>
      </c>
    </row>
    <row r="2249" spans="1:41" x14ac:dyDescent="0.3">
      <c r="A2249" t="s">
        <v>874</v>
      </c>
      <c r="B2249" t="s">
        <v>875</v>
      </c>
      <c r="D2249" t="s">
        <v>388</v>
      </c>
      <c r="E2249" s="1">
        <v>46064</v>
      </c>
      <c r="F2249" t="s">
        <v>44</v>
      </c>
      <c r="G2249" t="s">
        <v>45</v>
      </c>
      <c r="H2249" s="2">
        <v>0.35416666666666669</v>
      </c>
      <c r="I2249" s="2">
        <v>0.70833333333333337</v>
      </c>
      <c r="J2249" t="s">
        <v>876</v>
      </c>
      <c r="L2249" t="s">
        <v>877</v>
      </c>
      <c r="M2249" t="s">
        <v>878</v>
      </c>
      <c r="N2249" t="s">
        <v>879</v>
      </c>
      <c r="O2249">
        <v>5951689</v>
      </c>
      <c r="P2249" t="s">
        <v>249</v>
      </c>
      <c r="Q2249" t="s">
        <v>880</v>
      </c>
      <c r="R2249" t="s">
        <v>392</v>
      </c>
      <c r="S2249" t="s">
        <v>52</v>
      </c>
      <c r="T2249" t="s">
        <v>252</v>
      </c>
      <c r="U2249">
        <v>890596</v>
      </c>
      <c r="V2249" s="3">
        <v>46069.382638888892</v>
      </c>
      <c r="W2249" t="s">
        <v>881</v>
      </c>
      <c r="X2249" t="s">
        <v>882</v>
      </c>
      <c r="Y2249" t="str">
        <f>"0474765680"</f>
        <v>0474765680</v>
      </c>
      <c r="Z2249" t="s">
        <v>345</v>
      </c>
      <c r="AA2249" s="1">
        <v>46110</v>
      </c>
      <c r="AB2249" t="s">
        <v>883</v>
      </c>
      <c r="AD2249" t="s">
        <v>397</v>
      </c>
      <c r="AE2249" t="s">
        <v>884</v>
      </c>
      <c r="AG2249" t="s">
        <v>880</v>
      </c>
      <c r="AI2249" t="s">
        <v>59</v>
      </c>
      <c r="AJ2249" t="str">
        <f>"0090000061"</f>
        <v>0090000061</v>
      </c>
      <c r="AN2249" s="3">
        <v>46069.382638888892</v>
      </c>
      <c r="AO2249" t="s">
        <v>392</v>
      </c>
    </row>
    <row r="2250" spans="1:41" x14ac:dyDescent="0.3">
      <c r="A2250" t="s">
        <v>168</v>
      </c>
      <c r="B2250" t="s">
        <v>689</v>
      </c>
      <c r="C2250" t="s">
        <v>43</v>
      </c>
      <c r="D2250" t="s">
        <v>268</v>
      </c>
      <c r="E2250" s="1">
        <v>46064</v>
      </c>
      <c r="F2250" t="s">
        <v>44</v>
      </c>
      <c r="G2250" t="s">
        <v>45</v>
      </c>
      <c r="H2250" s="2">
        <v>0.375</v>
      </c>
      <c r="I2250" s="2">
        <v>0.72916666666666663</v>
      </c>
      <c r="J2250" t="s">
        <v>101</v>
      </c>
      <c r="L2250" t="s">
        <v>159</v>
      </c>
      <c r="M2250" t="s">
        <v>690</v>
      </c>
      <c r="N2250" t="s">
        <v>691</v>
      </c>
      <c r="O2250">
        <v>5950774</v>
      </c>
      <c r="P2250" t="s">
        <v>249</v>
      </c>
      <c r="Q2250" t="s">
        <v>692</v>
      </c>
      <c r="R2250" t="s">
        <v>693</v>
      </c>
      <c r="S2250" t="s">
        <v>52</v>
      </c>
      <c r="T2250" t="s">
        <v>252</v>
      </c>
      <c r="U2250">
        <v>890604</v>
      </c>
      <c r="V2250" s="3">
        <v>46069.416666666664</v>
      </c>
      <c r="W2250" t="s">
        <v>693</v>
      </c>
      <c r="X2250" t="s">
        <v>694</v>
      </c>
      <c r="Y2250" t="str">
        <f>"0404019300"</f>
        <v>0404019300</v>
      </c>
      <c r="Z2250" t="s">
        <v>395</v>
      </c>
      <c r="AA2250" s="1">
        <v>46117</v>
      </c>
      <c r="AB2250" t="s">
        <v>695</v>
      </c>
      <c r="AD2250" t="s">
        <v>168</v>
      </c>
      <c r="AE2250" t="s">
        <v>696</v>
      </c>
      <c r="AF2250">
        <v>5606</v>
      </c>
      <c r="AG2250" t="s">
        <v>697</v>
      </c>
      <c r="AI2250" t="s">
        <v>59</v>
      </c>
      <c r="AJ2250" t="str">
        <f>"0020188040"</f>
        <v>0020188040</v>
      </c>
      <c r="AM2250" t="s">
        <v>698</v>
      </c>
      <c r="AN2250" s="3">
        <v>46069.416666666664</v>
      </c>
      <c r="AO2250" t="s">
        <v>693</v>
      </c>
    </row>
    <row r="2251" spans="1:41" x14ac:dyDescent="0.3">
      <c r="A2251" t="s">
        <v>61</v>
      </c>
      <c r="B2251" t="s">
        <v>62</v>
      </c>
      <c r="C2251" t="s">
        <v>43</v>
      </c>
      <c r="D2251" t="s">
        <v>63</v>
      </c>
      <c r="E2251" s="1">
        <v>46064</v>
      </c>
      <c r="F2251" t="s">
        <v>44</v>
      </c>
      <c r="G2251" t="s">
        <v>45</v>
      </c>
      <c r="H2251" s="2">
        <v>0.375</v>
      </c>
      <c r="I2251" s="2">
        <v>0.98958333333333337</v>
      </c>
      <c r="J2251" t="s">
        <v>185</v>
      </c>
      <c r="L2251" t="s">
        <v>784</v>
      </c>
      <c r="M2251" t="s">
        <v>785</v>
      </c>
      <c r="N2251" t="s">
        <v>786</v>
      </c>
      <c r="O2251">
        <v>5951112</v>
      </c>
      <c r="Q2251" t="s">
        <v>66</v>
      </c>
      <c r="R2251" t="s">
        <v>67</v>
      </c>
      <c r="S2251" t="s">
        <v>52</v>
      </c>
      <c r="U2251">
        <v>890122</v>
      </c>
      <c r="V2251" s="3">
        <v>46056.431944444441</v>
      </c>
      <c r="W2251" t="s">
        <v>787</v>
      </c>
      <c r="X2251" t="s">
        <v>788</v>
      </c>
      <c r="Y2251" t="str">
        <f>"0423329386"</f>
        <v>0423329386</v>
      </c>
      <c r="Z2251" t="s">
        <v>2486</v>
      </c>
      <c r="AB2251" t="s">
        <v>71</v>
      </c>
      <c r="AD2251" t="s">
        <v>61</v>
      </c>
      <c r="AE2251" t="s">
        <v>72</v>
      </c>
      <c r="AF2251">
        <v>2747</v>
      </c>
      <c r="AG2251" t="s">
        <v>73</v>
      </c>
      <c r="AI2251" t="s">
        <v>59</v>
      </c>
      <c r="AL2251" t="s">
        <v>4792</v>
      </c>
      <c r="AN2251" s="3">
        <v>46064.601388888892</v>
      </c>
      <c r="AO2251" t="s">
        <v>787</v>
      </c>
    </row>
    <row r="2252" spans="1:41" x14ac:dyDescent="0.3">
      <c r="A2252" t="s">
        <v>306</v>
      </c>
      <c r="B2252" t="s">
        <v>450</v>
      </c>
      <c r="C2252" t="s">
        <v>100</v>
      </c>
      <c r="D2252" t="s">
        <v>63</v>
      </c>
      <c r="E2252" s="1">
        <v>46064</v>
      </c>
      <c r="F2252" t="s">
        <v>44</v>
      </c>
      <c r="G2252" t="s">
        <v>45</v>
      </c>
      <c r="H2252" s="2">
        <v>0.375</v>
      </c>
      <c r="I2252" s="2">
        <v>0.58333333333333337</v>
      </c>
      <c r="J2252" t="s">
        <v>451</v>
      </c>
      <c r="L2252" t="s">
        <v>452</v>
      </c>
      <c r="M2252" t="s">
        <v>1122</v>
      </c>
      <c r="N2252" t="s">
        <v>1123</v>
      </c>
      <c r="O2252">
        <v>5951585</v>
      </c>
      <c r="Q2252" t="s">
        <v>455</v>
      </c>
      <c r="R2252" t="s">
        <v>314</v>
      </c>
      <c r="S2252" t="s">
        <v>52</v>
      </c>
      <c r="U2252">
        <v>890120</v>
      </c>
      <c r="V2252" s="3">
        <v>46057.522222222222</v>
      </c>
      <c r="W2252" t="s">
        <v>1124</v>
      </c>
      <c r="X2252" t="s">
        <v>1125</v>
      </c>
      <c r="Y2252" t="str">
        <f>"0406622986"</f>
        <v>0406622986</v>
      </c>
      <c r="Z2252" t="s">
        <v>2548</v>
      </c>
      <c r="AB2252" t="s">
        <v>459</v>
      </c>
      <c r="AD2252" t="s">
        <v>306</v>
      </c>
      <c r="AE2252" t="s">
        <v>460</v>
      </c>
      <c r="AF2252">
        <v>3058</v>
      </c>
      <c r="AG2252" t="s">
        <v>461</v>
      </c>
      <c r="AI2252" t="s">
        <v>59</v>
      </c>
      <c r="AL2252" t="s">
        <v>87</v>
      </c>
      <c r="AN2252" s="3">
        <v>46064.584722222222</v>
      </c>
      <c r="AO2252" t="s">
        <v>1124</v>
      </c>
    </row>
    <row r="2253" spans="1:41" x14ac:dyDescent="0.3">
      <c r="A2253" t="s">
        <v>61</v>
      </c>
      <c r="B2253" t="s">
        <v>182</v>
      </c>
      <c r="C2253" t="s">
        <v>484</v>
      </c>
      <c r="D2253" t="s">
        <v>184</v>
      </c>
      <c r="E2253" s="1">
        <v>46073</v>
      </c>
      <c r="F2253" t="s">
        <v>2113</v>
      </c>
      <c r="G2253" t="s">
        <v>485</v>
      </c>
      <c r="H2253" s="2">
        <v>0.89583333333333337</v>
      </c>
      <c r="I2253" s="2">
        <v>0.29166666666666669</v>
      </c>
      <c r="J2253" t="s">
        <v>486</v>
      </c>
      <c r="L2253" t="s">
        <v>487</v>
      </c>
      <c r="M2253" t="s">
        <v>1490</v>
      </c>
      <c r="N2253" t="s">
        <v>1491</v>
      </c>
      <c r="O2253">
        <v>21218</v>
      </c>
      <c r="Q2253" t="s">
        <v>490</v>
      </c>
      <c r="R2253" t="s">
        <v>67</v>
      </c>
      <c r="S2253" t="s">
        <v>52</v>
      </c>
      <c r="U2253">
        <v>891329</v>
      </c>
      <c r="V2253" s="3">
        <v>46051.538194444445</v>
      </c>
      <c r="W2253" t="s">
        <v>1493</v>
      </c>
      <c r="X2253" t="s">
        <v>1494</v>
      </c>
      <c r="Y2253" t="str">
        <f>"0401746606"</f>
        <v>0401746606</v>
      </c>
      <c r="Z2253" t="s">
        <v>4802</v>
      </c>
      <c r="AB2253" t="s">
        <v>193</v>
      </c>
      <c r="AD2253" t="s">
        <v>61</v>
      </c>
      <c r="AE2253" t="s">
        <v>194</v>
      </c>
      <c r="AF2253">
        <v>2229</v>
      </c>
      <c r="AG2253" t="s">
        <v>129</v>
      </c>
      <c r="AI2253" t="s">
        <v>59</v>
      </c>
      <c r="AL2253" t="s">
        <v>4586</v>
      </c>
      <c r="AN2253" s="3">
        <v>46074.287499999999</v>
      </c>
      <c r="AO2253" t="s">
        <v>1493</v>
      </c>
    </row>
    <row r="2254" spans="1:41" x14ac:dyDescent="0.3">
      <c r="A2254" t="s">
        <v>306</v>
      </c>
      <c r="B2254" t="s">
        <v>1751</v>
      </c>
      <c r="C2254" t="s">
        <v>2947</v>
      </c>
      <c r="D2254" t="s">
        <v>184</v>
      </c>
      <c r="E2254" s="1">
        <v>46073</v>
      </c>
      <c r="F2254" t="s">
        <v>2113</v>
      </c>
      <c r="G2254" t="s">
        <v>485</v>
      </c>
      <c r="H2254" s="2">
        <v>0.91666666666666663</v>
      </c>
      <c r="I2254" s="2">
        <v>0.3125</v>
      </c>
      <c r="J2254" t="s">
        <v>2948</v>
      </c>
      <c r="K2254" t="s">
        <v>530</v>
      </c>
      <c r="L2254" t="s">
        <v>531</v>
      </c>
      <c r="M2254" t="s">
        <v>532</v>
      </c>
      <c r="N2254" t="s">
        <v>533</v>
      </c>
      <c r="O2254">
        <v>20495</v>
      </c>
      <c r="Q2254" t="s">
        <v>4803</v>
      </c>
      <c r="R2254" t="s">
        <v>208</v>
      </c>
      <c r="S2254" t="s">
        <v>119</v>
      </c>
      <c r="T2254" t="s">
        <v>414</v>
      </c>
      <c r="U2254">
        <v>891508</v>
      </c>
      <c r="V2254" s="3">
        <v>46073.765277777777</v>
      </c>
      <c r="W2254" t="s">
        <v>535</v>
      </c>
      <c r="X2254" t="s">
        <v>536</v>
      </c>
      <c r="Y2254" t="str">
        <f>"0447625522"</f>
        <v>0447625522</v>
      </c>
      <c r="Z2254" t="s">
        <v>70</v>
      </c>
      <c r="AB2254" t="s">
        <v>1759</v>
      </c>
      <c r="AD2254" t="s">
        <v>306</v>
      </c>
      <c r="AE2254" t="s">
        <v>1760</v>
      </c>
      <c r="AF2254">
        <v>3199</v>
      </c>
      <c r="AI2254" t="s">
        <v>59</v>
      </c>
      <c r="AL2254" t="s">
        <v>1729</v>
      </c>
      <c r="AM2254" t="s">
        <v>4804</v>
      </c>
      <c r="AN2254" s="3">
        <v>46073.790972222225</v>
      </c>
      <c r="AO2254" t="s">
        <v>1302</v>
      </c>
    </row>
    <row r="2255" spans="1:41" x14ac:dyDescent="0.3">
      <c r="A2255" t="s">
        <v>168</v>
      </c>
      <c r="B2255" t="s">
        <v>1963</v>
      </c>
      <c r="C2255" t="s">
        <v>484</v>
      </c>
      <c r="D2255" t="s">
        <v>401</v>
      </c>
      <c r="E2255" s="1">
        <v>46073</v>
      </c>
      <c r="F2255" t="s">
        <v>2113</v>
      </c>
      <c r="G2255" t="s">
        <v>485</v>
      </c>
      <c r="H2255" s="2">
        <v>0.92708333333333337</v>
      </c>
      <c r="I2255" s="2">
        <v>0.30208333333333331</v>
      </c>
      <c r="J2255" t="s">
        <v>486</v>
      </c>
      <c r="K2255" t="s">
        <v>2083</v>
      </c>
      <c r="L2255" t="s">
        <v>487</v>
      </c>
      <c r="M2255" t="s">
        <v>1483</v>
      </c>
      <c r="N2255" t="s">
        <v>4805</v>
      </c>
      <c r="O2255">
        <v>5951074</v>
      </c>
      <c r="Q2255" t="s">
        <v>2753</v>
      </c>
      <c r="R2255" t="s">
        <v>231</v>
      </c>
      <c r="S2255" t="s">
        <v>52</v>
      </c>
      <c r="U2255">
        <v>891330</v>
      </c>
      <c r="V2255" s="3">
        <v>46073.375694444447</v>
      </c>
      <c r="W2255" t="s">
        <v>4806</v>
      </c>
      <c r="X2255" t="s">
        <v>4807</v>
      </c>
      <c r="Y2255" t="str">
        <f>"0450497630"</f>
        <v>0450497630</v>
      </c>
      <c r="Z2255" t="s">
        <v>70</v>
      </c>
      <c r="AA2255" s="1">
        <v>46073</v>
      </c>
      <c r="AB2255" t="s">
        <v>1967</v>
      </c>
      <c r="AD2255" t="s">
        <v>168</v>
      </c>
      <c r="AE2255" t="s">
        <v>1968</v>
      </c>
      <c r="AF2255">
        <v>5000</v>
      </c>
      <c r="AG2255" t="s">
        <v>1662</v>
      </c>
      <c r="AI2255" t="s">
        <v>59</v>
      </c>
      <c r="AL2255" t="s">
        <v>4808</v>
      </c>
      <c r="AN2255" s="3">
        <v>46074.288194444445</v>
      </c>
      <c r="AO2255" t="s">
        <v>4806</v>
      </c>
    </row>
    <row r="2256" spans="1:41" x14ac:dyDescent="0.3">
      <c r="A2256" t="s">
        <v>168</v>
      </c>
      <c r="B2256" t="s">
        <v>1963</v>
      </c>
      <c r="C2256" t="s">
        <v>484</v>
      </c>
      <c r="D2256" t="s">
        <v>401</v>
      </c>
      <c r="E2256" s="1">
        <v>46073</v>
      </c>
      <c r="F2256" t="s">
        <v>2113</v>
      </c>
      <c r="G2256" t="s">
        <v>485</v>
      </c>
      <c r="H2256" s="2">
        <v>0.92708333333333337</v>
      </c>
      <c r="I2256" s="2">
        <v>0.30208333333333331</v>
      </c>
      <c r="J2256" t="s">
        <v>486</v>
      </c>
      <c r="K2256" t="s">
        <v>2083</v>
      </c>
      <c r="L2256" t="s">
        <v>487</v>
      </c>
      <c r="M2256" t="s">
        <v>1483</v>
      </c>
      <c r="N2256" t="s">
        <v>4805</v>
      </c>
      <c r="O2256">
        <v>5951074</v>
      </c>
      <c r="R2256" t="s">
        <v>759</v>
      </c>
      <c r="S2256" t="s">
        <v>119</v>
      </c>
      <c r="T2256" t="s">
        <v>760</v>
      </c>
      <c r="U2256" t="s">
        <v>4809</v>
      </c>
      <c r="V2256" s="3">
        <v>46084.856944444444</v>
      </c>
      <c r="W2256" t="s">
        <v>4806</v>
      </c>
      <c r="X2256" t="s">
        <v>4807</v>
      </c>
      <c r="Y2256" t="str">
        <f>"0450497630"</f>
        <v>0450497630</v>
      </c>
      <c r="Z2256" t="s">
        <v>70</v>
      </c>
      <c r="AB2256" t="s">
        <v>1967</v>
      </c>
      <c r="AD2256" t="s">
        <v>168</v>
      </c>
      <c r="AE2256" t="s">
        <v>1968</v>
      </c>
      <c r="AF2256">
        <v>5000</v>
      </c>
      <c r="AI2256" t="s">
        <v>59</v>
      </c>
      <c r="AM2256" t="s">
        <v>4810</v>
      </c>
      <c r="AN2256" s="3">
        <v>46084.856944444444</v>
      </c>
      <c r="AO2256" t="s">
        <v>759</v>
      </c>
    </row>
    <row r="2257" spans="1:41" x14ac:dyDescent="0.3">
      <c r="A2257" t="s">
        <v>168</v>
      </c>
      <c r="B2257" t="s">
        <v>1963</v>
      </c>
      <c r="C2257" t="s">
        <v>484</v>
      </c>
      <c r="D2257" t="s">
        <v>401</v>
      </c>
      <c r="E2257" s="1">
        <v>46073</v>
      </c>
      <c r="F2257" t="s">
        <v>2113</v>
      </c>
      <c r="G2257" t="s">
        <v>485</v>
      </c>
      <c r="H2257" s="2">
        <v>0.92708333333333337</v>
      </c>
      <c r="I2257" s="2">
        <v>0.30208333333333331</v>
      </c>
      <c r="J2257" t="s">
        <v>486</v>
      </c>
      <c r="K2257" t="s">
        <v>2083</v>
      </c>
      <c r="L2257" t="s">
        <v>487</v>
      </c>
      <c r="M2257" t="s">
        <v>1483</v>
      </c>
      <c r="N2257" t="s">
        <v>4805</v>
      </c>
      <c r="O2257">
        <v>5951074</v>
      </c>
      <c r="R2257" t="s">
        <v>759</v>
      </c>
      <c r="S2257" t="s">
        <v>119</v>
      </c>
      <c r="T2257" t="s">
        <v>760</v>
      </c>
      <c r="U2257" t="s">
        <v>4811</v>
      </c>
      <c r="V2257" s="3">
        <v>46084.857638888891</v>
      </c>
      <c r="W2257" t="s">
        <v>4806</v>
      </c>
      <c r="X2257" t="s">
        <v>4807</v>
      </c>
      <c r="Y2257" t="str">
        <f>"0450497630"</f>
        <v>0450497630</v>
      </c>
      <c r="Z2257" t="s">
        <v>70</v>
      </c>
      <c r="AB2257" t="s">
        <v>1967</v>
      </c>
      <c r="AD2257" t="s">
        <v>168</v>
      </c>
      <c r="AE2257" t="s">
        <v>1968</v>
      </c>
      <c r="AF2257">
        <v>5000</v>
      </c>
      <c r="AI2257" t="s">
        <v>59</v>
      </c>
      <c r="AM2257" t="s">
        <v>4810</v>
      </c>
      <c r="AN2257" s="3">
        <v>46084.857638888891</v>
      </c>
      <c r="AO2257" t="s">
        <v>759</v>
      </c>
    </row>
    <row r="2258" spans="1:41" x14ac:dyDescent="0.3">
      <c r="A2258" t="s">
        <v>168</v>
      </c>
      <c r="B2258" t="s">
        <v>4812</v>
      </c>
      <c r="C2258" t="s">
        <v>4813</v>
      </c>
      <c r="D2258" t="s">
        <v>401</v>
      </c>
      <c r="E2258" s="1">
        <v>46073</v>
      </c>
      <c r="F2258" t="s">
        <v>2113</v>
      </c>
      <c r="G2258" t="s">
        <v>485</v>
      </c>
      <c r="H2258" s="2">
        <v>0.92708333333333337</v>
      </c>
      <c r="I2258" s="2">
        <v>0.30208333333333331</v>
      </c>
      <c r="J2258" t="s">
        <v>296</v>
      </c>
      <c r="K2258" t="s">
        <v>360</v>
      </c>
      <c r="L2258" t="s">
        <v>47</v>
      </c>
      <c r="M2258" t="s">
        <v>2028</v>
      </c>
      <c r="N2258" t="s">
        <v>2029</v>
      </c>
      <c r="O2258">
        <v>22243</v>
      </c>
      <c r="Q2258" t="s">
        <v>228</v>
      </c>
      <c r="R2258" t="s">
        <v>208</v>
      </c>
      <c r="S2258" t="s">
        <v>52</v>
      </c>
      <c r="U2258">
        <v>891331</v>
      </c>
      <c r="V2258" s="3">
        <v>46072.879166666666</v>
      </c>
      <c r="W2258" t="s">
        <v>2030</v>
      </c>
      <c r="X2258" t="s">
        <v>2031</v>
      </c>
      <c r="Y2258" t="str">
        <f>"0425554764"</f>
        <v>0425554764</v>
      </c>
      <c r="Z2258" t="s">
        <v>545</v>
      </c>
      <c r="AA2258" s="1">
        <v>46073</v>
      </c>
      <c r="AB2258" t="s">
        <v>4814</v>
      </c>
      <c r="AD2258" t="s">
        <v>168</v>
      </c>
      <c r="AE2258" t="s">
        <v>2401</v>
      </c>
      <c r="AF2258">
        <v>5006</v>
      </c>
      <c r="AG2258" t="s">
        <v>228</v>
      </c>
      <c r="AI2258" t="s">
        <v>59</v>
      </c>
      <c r="AL2258" t="s">
        <v>87</v>
      </c>
      <c r="AN2258" s="3">
        <v>46074.289583333331</v>
      </c>
      <c r="AO2258" t="s">
        <v>2030</v>
      </c>
    </row>
    <row r="2259" spans="1:41" x14ac:dyDescent="0.3">
      <c r="A2259" t="s">
        <v>168</v>
      </c>
      <c r="B2259" t="s">
        <v>607</v>
      </c>
      <c r="C2259" t="s">
        <v>267</v>
      </c>
      <c r="D2259" t="s">
        <v>268</v>
      </c>
      <c r="E2259" s="1">
        <v>46043</v>
      </c>
      <c r="F2259" t="s">
        <v>44</v>
      </c>
      <c r="G2259" t="s">
        <v>45</v>
      </c>
      <c r="H2259" s="2">
        <v>0.33333333333333331</v>
      </c>
      <c r="I2259" s="2">
        <v>0.6875</v>
      </c>
      <c r="J2259" t="s">
        <v>269</v>
      </c>
      <c r="K2259" t="s">
        <v>608</v>
      </c>
      <c r="L2259" t="s">
        <v>609</v>
      </c>
      <c r="M2259" t="s">
        <v>610</v>
      </c>
      <c r="N2259" t="s">
        <v>611</v>
      </c>
      <c r="O2259">
        <v>5952121</v>
      </c>
      <c r="P2259" t="s">
        <v>249</v>
      </c>
      <c r="Q2259" t="s">
        <v>612</v>
      </c>
      <c r="R2259" t="s">
        <v>613</v>
      </c>
      <c r="S2259" t="s">
        <v>52</v>
      </c>
      <c r="T2259" t="s">
        <v>252</v>
      </c>
      <c r="U2259">
        <v>888333</v>
      </c>
      <c r="V2259" s="3">
        <v>46048.029166666667</v>
      </c>
      <c r="W2259" t="s">
        <v>613</v>
      </c>
      <c r="X2259" t="s">
        <v>614</v>
      </c>
      <c r="Y2259" t="str">
        <f>"0412297150"</f>
        <v>0412297150</v>
      </c>
      <c r="Z2259" t="s">
        <v>2417</v>
      </c>
      <c r="AA2259" s="1">
        <v>46077</v>
      </c>
      <c r="AB2259" t="s">
        <v>615</v>
      </c>
      <c r="AC2259" t="s">
        <v>616</v>
      </c>
      <c r="AD2259" t="s">
        <v>168</v>
      </c>
      <c r="AE2259" t="s">
        <v>617</v>
      </c>
      <c r="AF2259">
        <v>5290</v>
      </c>
      <c r="AG2259" t="s">
        <v>618</v>
      </c>
      <c r="AI2259" t="s">
        <v>59</v>
      </c>
      <c r="AJ2259" t="str">
        <f>"0020171780"</f>
        <v>0020171780</v>
      </c>
      <c r="AM2259" t="s">
        <v>2441</v>
      </c>
      <c r="AN2259" s="3">
        <v>46048.029166666667</v>
      </c>
      <c r="AO2259" t="s">
        <v>613</v>
      </c>
    </row>
    <row r="2260" spans="1:41" x14ac:dyDescent="0.3">
      <c r="A2260" t="s">
        <v>168</v>
      </c>
      <c r="B2260" t="s">
        <v>689</v>
      </c>
      <c r="C2260" t="s">
        <v>43</v>
      </c>
      <c r="D2260" t="s">
        <v>268</v>
      </c>
      <c r="E2260" s="1">
        <v>46043</v>
      </c>
      <c r="F2260" t="s">
        <v>44</v>
      </c>
      <c r="G2260" t="s">
        <v>45</v>
      </c>
      <c r="H2260" s="2">
        <v>0.375</v>
      </c>
      <c r="I2260" s="2">
        <v>0.72916666666666663</v>
      </c>
      <c r="J2260" t="s">
        <v>100</v>
      </c>
      <c r="L2260" t="s">
        <v>100</v>
      </c>
      <c r="M2260" t="s">
        <v>402</v>
      </c>
      <c r="N2260" t="s">
        <v>403</v>
      </c>
      <c r="O2260">
        <v>21398</v>
      </c>
      <c r="P2260" t="s">
        <v>249</v>
      </c>
      <c r="Q2260" t="s">
        <v>2110</v>
      </c>
      <c r="R2260" t="s">
        <v>405</v>
      </c>
      <c r="S2260" t="s">
        <v>52</v>
      </c>
      <c r="T2260" t="s">
        <v>252</v>
      </c>
      <c r="U2260">
        <v>888374</v>
      </c>
      <c r="V2260" s="3">
        <v>46049.447222222225</v>
      </c>
      <c r="W2260" t="s">
        <v>405</v>
      </c>
      <c r="X2260" t="s">
        <v>406</v>
      </c>
      <c r="Y2260" t="str">
        <f>"0423877972"</f>
        <v>0423877972</v>
      </c>
      <c r="Z2260" t="s">
        <v>345</v>
      </c>
      <c r="AA2260" s="1">
        <v>46075</v>
      </c>
      <c r="AB2260" t="s">
        <v>695</v>
      </c>
      <c r="AD2260" t="s">
        <v>168</v>
      </c>
      <c r="AE2260" t="s">
        <v>696</v>
      </c>
      <c r="AF2260">
        <v>5606</v>
      </c>
      <c r="AG2260" t="s">
        <v>866</v>
      </c>
      <c r="AI2260" t="s">
        <v>59</v>
      </c>
      <c r="AJ2260" t="str">
        <f>"0020185674"</f>
        <v>0020185674</v>
      </c>
      <c r="AN2260" s="3">
        <v>46049.447222222225</v>
      </c>
      <c r="AO2260" t="s">
        <v>405</v>
      </c>
    </row>
    <row r="2261" spans="1:41" x14ac:dyDescent="0.3">
      <c r="A2261" t="s">
        <v>41</v>
      </c>
      <c r="B2261" t="s">
        <v>568</v>
      </c>
      <c r="D2261" t="s">
        <v>246</v>
      </c>
      <c r="E2261" s="1">
        <v>46043</v>
      </c>
      <c r="F2261" t="s">
        <v>44</v>
      </c>
      <c r="G2261" t="s">
        <v>128</v>
      </c>
      <c r="H2261" s="2">
        <v>0.60416666666666663</v>
      </c>
      <c r="I2261" s="2">
        <v>0.95833333333333337</v>
      </c>
      <c r="J2261" t="s">
        <v>269</v>
      </c>
      <c r="L2261" t="s">
        <v>172</v>
      </c>
      <c r="M2261" t="s">
        <v>311</v>
      </c>
      <c r="N2261" t="s">
        <v>570</v>
      </c>
      <c r="O2261">
        <v>5951685</v>
      </c>
      <c r="P2261" t="s">
        <v>571</v>
      </c>
      <c r="Q2261" t="s">
        <v>572</v>
      </c>
      <c r="R2261" t="s">
        <v>573</v>
      </c>
      <c r="S2261" t="s">
        <v>52</v>
      </c>
      <c r="T2261" t="s">
        <v>252</v>
      </c>
      <c r="U2261">
        <v>888435</v>
      </c>
      <c r="V2261" s="3">
        <v>46049.585416666669</v>
      </c>
      <c r="W2261" t="s">
        <v>574</v>
      </c>
      <c r="X2261" t="s">
        <v>575</v>
      </c>
      <c r="Y2261" t="str">
        <f>"0407007024"</f>
        <v>0407007024</v>
      </c>
      <c r="Z2261" t="s">
        <v>1862</v>
      </c>
      <c r="AA2261" s="1">
        <v>46075</v>
      </c>
      <c r="AB2261" t="s">
        <v>576</v>
      </c>
      <c r="AD2261" t="s">
        <v>41</v>
      </c>
      <c r="AE2261" t="s">
        <v>577</v>
      </c>
      <c r="AF2261">
        <v>4700</v>
      </c>
      <c r="AG2261" t="s">
        <v>572</v>
      </c>
      <c r="AI2261" t="s">
        <v>59</v>
      </c>
      <c r="AJ2261" t="str">
        <f>"0050076113"</f>
        <v>0050076113</v>
      </c>
      <c r="AN2261" s="3">
        <v>46049.585416666669</v>
      </c>
      <c r="AO2261" t="s">
        <v>573</v>
      </c>
    </row>
    <row r="2262" spans="1:41" x14ac:dyDescent="0.3">
      <c r="A2262" t="s">
        <v>41</v>
      </c>
      <c r="B2262" t="s">
        <v>589</v>
      </c>
      <c r="C2262" t="s">
        <v>590</v>
      </c>
      <c r="D2262" t="s">
        <v>246</v>
      </c>
      <c r="E2262" s="1">
        <v>46043</v>
      </c>
      <c r="F2262" t="s">
        <v>44</v>
      </c>
      <c r="G2262" t="s">
        <v>128</v>
      </c>
      <c r="H2262" s="2">
        <v>0.60416666666666663</v>
      </c>
      <c r="I2262" s="2">
        <v>0.94791666666666663</v>
      </c>
      <c r="J2262" t="s">
        <v>591</v>
      </c>
      <c r="L2262" t="s">
        <v>592</v>
      </c>
      <c r="M2262" t="s">
        <v>593</v>
      </c>
      <c r="N2262" t="s">
        <v>594</v>
      </c>
      <c r="O2262">
        <v>5952427</v>
      </c>
      <c r="P2262" t="s">
        <v>249</v>
      </c>
      <c r="Q2262" t="s">
        <v>596</v>
      </c>
      <c r="R2262" t="s">
        <v>392</v>
      </c>
      <c r="S2262" t="s">
        <v>52</v>
      </c>
      <c r="T2262" t="s">
        <v>252</v>
      </c>
      <c r="U2262">
        <v>888370</v>
      </c>
      <c r="V2262" s="3">
        <v>46049.378472222219</v>
      </c>
      <c r="W2262" t="s">
        <v>597</v>
      </c>
      <c r="X2262" t="s">
        <v>598</v>
      </c>
      <c r="Y2262" t="str">
        <f>"0432677728"</f>
        <v>0432677728</v>
      </c>
      <c r="Z2262" t="s">
        <v>503</v>
      </c>
      <c r="AA2262" s="1">
        <v>46054</v>
      </c>
      <c r="AB2262" t="s">
        <v>599</v>
      </c>
      <c r="AC2262" t="s">
        <v>600</v>
      </c>
      <c r="AD2262" t="s">
        <v>41</v>
      </c>
      <c r="AE2262" t="s">
        <v>600</v>
      </c>
      <c r="AF2262">
        <v>4610</v>
      </c>
      <c r="AG2262" t="s">
        <v>601</v>
      </c>
      <c r="AI2262" t="s">
        <v>59</v>
      </c>
      <c r="AJ2262" t="str">
        <f>"0050075752"</f>
        <v>0050075752</v>
      </c>
      <c r="AN2262" s="3">
        <v>46049.378472222219</v>
      </c>
      <c r="AO2262" t="s">
        <v>392</v>
      </c>
    </row>
    <row r="2263" spans="1:41" x14ac:dyDescent="0.3">
      <c r="A2263" t="s">
        <v>61</v>
      </c>
      <c r="B2263" t="s">
        <v>578</v>
      </c>
      <c r="D2263" t="s">
        <v>579</v>
      </c>
      <c r="E2263" s="1">
        <v>46043</v>
      </c>
      <c r="F2263" t="s">
        <v>44</v>
      </c>
      <c r="G2263" t="s">
        <v>485</v>
      </c>
      <c r="H2263" s="2">
        <v>0.875</v>
      </c>
      <c r="I2263" s="2">
        <v>0.35416666666666669</v>
      </c>
      <c r="J2263" t="s">
        <v>269</v>
      </c>
      <c r="L2263" t="s">
        <v>172</v>
      </c>
      <c r="M2263" t="s">
        <v>580</v>
      </c>
      <c r="N2263" t="s">
        <v>581</v>
      </c>
      <c r="O2263">
        <v>5951721</v>
      </c>
      <c r="P2263" t="s">
        <v>571</v>
      </c>
      <c r="Q2263" t="s">
        <v>582</v>
      </c>
      <c r="R2263" t="s">
        <v>573</v>
      </c>
      <c r="S2263" t="s">
        <v>52</v>
      </c>
      <c r="T2263" t="s">
        <v>252</v>
      </c>
      <c r="U2263">
        <v>888581</v>
      </c>
      <c r="V2263" s="3">
        <v>46050.645833333336</v>
      </c>
      <c r="W2263" t="s">
        <v>583</v>
      </c>
      <c r="X2263" t="s">
        <v>584</v>
      </c>
      <c r="Y2263" t="str">
        <f>"0456677559"</f>
        <v>0456677559</v>
      </c>
      <c r="Z2263" t="s">
        <v>345</v>
      </c>
      <c r="AA2263" s="1">
        <v>46061</v>
      </c>
      <c r="AB2263" t="s">
        <v>586</v>
      </c>
      <c r="AD2263" t="s">
        <v>61</v>
      </c>
      <c r="AE2263" t="s">
        <v>587</v>
      </c>
      <c r="AF2263">
        <v>2320</v>
      </c>
      <c r="AG2263" t="s">
        <v>588</v>
      </c>
      <c r="AI2263" t="s">
        <v>59</v>
      </c>
      <c r="AJ2263" t="str">
        <f>"0010193654"</f>
        <v>0010193654</v>
      </c>
      <c r="AN2263" s="3">
        <v>46050.645833333336</v>
      </c>
      <c r="AO2263" t="s">
        <v>573</v>
      </c>
    </row>
    <row r="2264" spans="1:41" x14ac:dyDescent="0.3">
      <c r="A2264" t="s">
        <v>41</v>
      </c>
      <c r="B2264" t="s">
        <v>568</v>
      </c>
      <c r="C2264" t="s">
        <v>602</v>
      </c>
      <c r="D2264" t="s">
        <v>246</v>
      </c>
      <c r="E2264" s="1">
        <v>46043</v>
      </c>
      <c r="F2264" t="s">
        <v>44</v>
      </c>
      <c r="G2264" t="s">
        <v>485</v>
      </c>
      <c r="H2264" s="2">
        <v>0.94791666666666663</v>
      </c>
      <c r="I2264" s="2">
        <v>0.30208333333333331</v>
      </c>
      <c r="J2264" t="s">
        <v>269</v>
      </c>
      <c r="L2264" t="s">
        <v>47</v>
      </c>
      <c r="M2264" t="s">
        <v>603</v>
      </c>
      <c r="N2264" t="s">
        <v>604</v>
      </c>
      <c r="O2264">
        <v>80</v>
      </c>
      <c r="P2264" t="s">
        <v>571</v>
      </c>
      <c r="Q2264" t="s">
        <v>572</v>
      </c>
      <c r="R2264" t="s">
        <v>573</v>
      </c>
      <c r="S2264" t="s">
        <v>52</v>
      </c>
      <c r="T2264" t="s">
        <v>252</v>
      </c>
      <c r="U2264">
        <v>888442</v>
      </c>
      <c r="V2264" s="3">
        <v>46049.587500000001</v>
      </c>
      <c r="W2264" t="s">
        <v>605</v>
      </c>
      <c r="X2264" t="s">
        <v>606</v>
      </c>
      <c r="Y2264" t="str">
        <f>"0414330986"</f>
        <v>0414330986</v>
      </c>
      <c r="Z2264" t="s">
        <v>254</v>
      </c>
      <c r="AA2264" s="1">
        <v>46068</v>
      </c>
      <c r="AB2264" t="s">
        <v>576</v>
      </c>
      <c r="AD2264" t="s">
        <v>41</v>
      </c>
      <c r="AE2264" t="s">
        <v>577</v>
      </c>
      <c r="AF2264">
        <v>4700</v>
      </c>
      <c r="AG2264" t="s">
        <v>572</v>
      </c>
      <c r="AI2264" t="s">
        <v>59</v>
      </c>
      <c r="AJ2264" t="str">
        <f>"0050075176"</f>
        <v>0050075176</v>
      </c>
      <c r="AN2264" s="3">
        <v>46049.587500000001</v>
      </c>
      <c r="AO2264" t="s">
        <v>573</v>
      </c>
    </row>
    <row r="2265" spans="1:41" x14ac:dyDescent="0.3">
      <c r="A2265" t="s">
        <v>168</v>
      </c>
      <c r="B2265" t="s">
        <v>689</v>
      </c>
      <c r="C2265" t="s">
        <v>1496</v>
      </c>
      <c r="D2265" t="s">
        <v>268</v>
      </c>
      <c r="E2265" s="1">
        <v>46074</v>
      </c>
      <c r="F2265" t="s">
        <v>1374</v>
      </c>
      <c r="G2265" t="s">
        <v>45</v>
      </c>
      <c r="H2265" s="2">
        <v>0.25</v>
      </c>
      <c r="I2265" s="2">
        <v>0.25347222222222221</v>
      </c>
      <c r="J2265" t="s">
        <v>46</v>
      </c>
      <c r="L2265" t="s">
        <v>47</v>
      </c>
      <c r="M2265" t="s">
        <v>1497</v>
      </c>
      <c r="N2265" t="s">
        <v>465</v>
      </c>
      <c r="O2265">
        <v>5950806</v>
      </c>
      <c r="P2265" t="s">
        <v>249</v>
      </c>
      <c r="Q2265" t="s">
        <v>692</v>
      </c>
      <c r="R2265" t="s">
        <v>1498</v>
      </c>
      <c r="S2265" t="s">
        <v>52</v>
      </c>
      <c r="T2265" t="s">
        <v>252</v>
      </c>
      <c r="U2265">
        <v>891453</v>
      </c>
      <c r="V2265" s="3">
        <v>46076.447222222225</v>
      </c>
      <c r="W2265" t="s">
        <v>1498</v>
      </c>
      <c r="X2265" t="s">
        <v>1499</v>
      </c>
      <c r="Y2265" t="str">
        <f>"0425332962"</f>
        <v>0425332962</v>
      </c>
      <c r="Z2265" t="s">
        <v>366</v>
      </c>
      <c r="AA2265" s="1">
        <v>46117</v>
      </c>
      <c r="AB2265" t="s">
        <v>695</v>
      </c>
      <c r="AD2265" t="s">
        <v>168</v>
      </c>
      <c r="AE2265" t="s">
        <v>696</v>
      </c>
      <c r="AF2265">
        <v>5606</v>
      </c>
      <c r="AG2265" t="s">
        <v>866</v>
      </c>
      <c r="AI2265" t="s">
        <v>59</v>
      </c>
      <c r="AJ2265" t="str">
        <f>"0020188039"</f>
        <v>0020188039</v>
      </c>
      <c r="AN2265" s="3">
        <v>46076.447222222225</v>
      </c>
      <c r="AO2265" t="s">
        <v>1498</v>
      </c>
    </row>
    <row r="2266" spans="1:41" x14ac:dyDescent="0.3">
      <c r="A2266" t="s">
        <v>168</v>
      </c>
      <c r="B2266" t="s">
        <v>689</v>
      </c>
      <c r="C2266" t="s">
        <v>43</v>
      </c>
      <c r="D2266" t="s">
        <v>268</v>
      </c>
      <c r="E2266" s="1">
        <v>46074</v>
      </c>
      <c r="F2266" t="s">
        <v>1374</v>
      </c>
      <c r="G2266" t="s">
        <v>45</v>
      </c>
      <c r="H2266" s="2">
        <v>0.25</v>
      </c>
      <c r="I2266" s="2">
        <v>0.25347222222222221</v>
      </c>
      <c r="J2266" t="s">
        <v>100</v>
      </c>
      <c r="L2266" t="s">
        <v>100</v>
      </c>
      <c r="M2266" t="s">
        <v>862</v>
      </c>
      <c r="N2266" t="s">
        <v>863</v>
      </c>
      <c r="O2266">
        <v>5952375</v>
      </c>
      <c r="Q2266" t="s">
        <v>692</v>
      </c>
      <c r="R2266" t="s">
        <v>864</v>
      </c>
      <c r="S2266" t="s">
        <v>52</v>
      </c>
      <c r="T2266" t="s">
        <v>252</v>
      </c>
      <c r="U2266">
        <v>891626</v>
      </c>
      <c r="V2266" s="3">
        <v>46077.597916666666</v>
      </c>
      <c r="W2266" t="s">
        <v>864</v>
      </c>
      <c r="X2266" t="s">
        <v>865</v>
      </c>
      <c r="Y2266" t="str">
        <f>"0433092113"</f>
        <v>0433092113</v>
      </c>
      <c r="Z2266" t="s">
        <v>70</v>
      </c>
      <c r="AA2266" s="1">
        <v>46075</v>
      </c>
      <c r="AB2266" t="s">
        <v>695</v>
      </c>
      <c r="AD2266" t="s">
        <v>168</v>
      </c>
      <c r="AE2266" t="s">
        <v>696</v>
      </c>
      <c r="AF2266">
        <v>5606</v>
      </c>
      <c r="AG2266" t="s">
        <v>866</v>
      </c>
      <c r="AI2266" t="s">
        <v>59</v>
      </c>
      <c r="AJ2266" t="str">
        <f>"0020187960"</f>
        <v>0020187960</v>
      </c>
      <c r="AN2266" s="3">
        <v>46077.597916666666</v>
      </c>
      <c r="AO2266" t="s">
        <v>864</v>
      </c>
    </row>
    <row r="2267" spans="1:41" x14ac:dyDescent="0.3">
      <c r="A2267" t="s">
        <v>874</v>
      </c>
      <c r="B2267" t="s">
        <v>875</v>
      </c>
      <c r="D2267" t="s">
        <v>388</v>
      </c>
      <c r="E2267" s="1">
        <v>46074</v>
      </c>
      <c r="F2267" t="s">
        <v>1374</v>
      </c>
      <c r="G2267" t="s">
        <v>45</v>
      </c>
      <c r="H2267" s="2">
        <v>0.25</v>
      </c>
      <c r="I2267" s="2">
        <v>0.25069444444444444</v>
      </c>
      <c r="J2267" t="s">
        <v>876</v>
      </c>
      <c r="L2267" t="s">
        <v>877</v>
      </c>
      <c r="M2267" t="s">
        <v>878</v>
      </c>
      <c r="N2267" t="s">
        <v>879</v>
      </c>
      <c r="O2267">
        <v>5951689</v>
      </c>
      <c r="P2267" t="s">
        <v>249</v>
      </c>
      <c r="Q2267" t="s">
        <v>880</v>
      </c>
      <c r="R2267" t="s">
        <v>392</v>
      </c>
      <c r="S2267" t="s">
        <v>52</v>
      </c>
      <c r="T2267" t="s">
        <v>252</v>
      </c>
      <c r="U2267">
        <v>891428</v>
      </c>
      <c r="V2267" s="3">
        <v>46076.375</v>
      </c>
      <c r="W2267" t="s">
        <v>881</v>
      </c>
      <c r="X2267" t="s">
        <v>882</v>
      </c>
      <c r="Y2267" t="str">
        <f>"0474765680"</f>
        <v>0474765680</v>
      </c>
      <c r="Z2267" t="s">
        <v>70</v>
      </c>
      <c r="AA2267" s="1">
        <v>46110</v>
      </c>
      <c r="AB2267" t="s">
        <v>883</v>
      </c>
      <c r="AD2267" t="s">
        <v>397</v>
      </c>
      <c r="AE2267" t="s">
        <v>884</v>
      </c>
      <c r="AG2267" t="s">
        <v>880</v>
      </c>
      <c r="AI2267" t="s">
        <v>59</v>
      </c>
      <c r="AJ2267" t="str">
        <f>"0090000061"</f>
        <v>0090000061</v>
      </c>
      <c r="AN2267" s="3">
        <v>46076.375</v>
      </c>
      <c r="AO2267" t="s">
        <v>392</v>
      </c>
    </row>
    <row r="2268" spans="1:41" x14ac:dyDescent="0.3">
      <c r="A2268" t="s">
        <v>41</v>
      </c>
      <c r="B2268" t="s">
        <v>1284</v>
      </c>
      <c r="C2268" t="s">
        <v>296</v>
      </c>
      <c r="D2268" t="s">
        <v>1286</v>
      </c>
      <c r="E2268" s="1">
        <v>46074</v>
      </c>
      <c r="F2268" t="s">
        <v>1374</v>
      </c>
      <c r="G2268" t="s">
        <v>45</v>
      </c>
      <c r="H2268" s="2">
        <v>0.27083333333333331</v>
      </c>
      <c r="I2268" s="2">
        <v>0.625</v>
      </c>
      <c r="J2268" t="s">
        <v>296</v>
      </c>
      <c r="L2268" t="s">
        <v>2114</v>
      </c>
      <c r="M2268" t="s">
        <v>3733</v>
      </c>
      <c r="N2268" t="s">
        <v>4815</v>
      </c>
      <c r="O2268">
        <v>22502</v>
      </c>
      <c r="Q2268" t="s">
        <v>2098</v>
      </c>
      <c r="R2268" t="s">
        <v>51</v>
      </c>
      <c r="S2268" t="s">
        <v>52</v>
      </c>
      <c r="U2268">
        <v>891350</v>
      </c>
      <c r="V2268" s="3">
        <v>46063.442361111112</v>
      </c>
      <c r="W2268" t="s">
        <v>4816</v>
      </c>
      <c r="X2268" t="s">
        <v>4817</v>
      </c>
      <c r="Y2268" t="str">
        <f>"0401409610"</f>
        <v>0401409610</v>
      </c>
      <c r="Z2268" t="s">
        <v>2466</v>
      </c>
      <c r="AB2268" t="s">
        <v>1288</v>
      </c>
      <c r="AD2268" t="s">
        <v>41</v>
      </c>
      <c r="AE2268" t="s">
        <v>150</v>
      </c>
      <c r="AF2268">
        <v>4000</v>
      </c>
      <c r="AG2268" t="s">
        <v>2098</v>
      </c>
      <c r="AI2268" t="s">
        <v>59</v>
      </c>
      <c r="AL2268" t="s">
        <v>4818</v>
      </c>
      <c r="AN2268" s="3">
        <v>46074.667361111111</v>
      </c>
      <c r="AO2268" t="s">
        <v>4816</v>
      </c>
    </row>
    <row r="2269" spans="1:41" x14ac:dyDescent="0.3">
      <c r="A2269" t="s">
        <v>61</v>
      </c>
      <c r="B2269" t="s">
        <v>350</v>
      </c>
      <c r="C2269" t="s">
        <v>296</v>
      </c>
      <c r="D2269" t="s">
        <v>63</v>
      </c>
      <c r="E2269" s="1">
        <v>46074</v>
      </c>
      <c r="F2269" t="s">
        <v>1374</v>
      </c>
      <c r="G2269" t="s">
        <v>45</v>
      </c>
      <c r="H2269" s="2">
        <v>0.29166666666666669</v>
      </c>
      <c r="I2269" s="2">
        <v>0.60416666666666663</v>
      </c>
      <c r="J2269" t="s">
        <v>296</v>
      </c>
      <c r="L2269" t="s">
        <v>298</v>
      </c>
      <c r="M2269" t="s">
        <v>770</v>
      </c>
      <c r="N2269" t="s">
        <v>771</v>
      </c>
      <c r="O2269">
        <v>5952291</v>
      </c>
      <c r="Q2269" t="s">
        <v>4819</v>
      </c>
      <c r="R2269" t="s">
        <v>1248</v>
      </c>
      <c r="S2269" t="s">
        <v>52</v>
      </c>
      <c r="U2269">
        <v>891347</v>
      </c>
      <c r="V2269" s="3">
        <v>46074.246527777781</v>
      </c>
      <c r="W2269" t="s">
        <v>773</v>
      </c>
      <c r="X2269" t="s">
        <v>774</v>
      </c>
      <c r="Y2269" t="str">
        <f>"0432174467"</f>
        <v>0432174467</v>
      </c>
      <c r="Z2269" t="s">
        <v>70</v>
      </c>
      <c r="AA2269" s="1">
        <v>46074</v>
      </c>
      <c r="AB2269" t="s">
        <v>356</v>
      </c>
      <c r="AD2269" t="s">
        <v>61</v>
      </c>
      <c r="AE2269" t="s">
        <v>357</v>
      </c>
      <c r="AF2269">
        <v>2153</v>
      </c>
      <c r="AG2269" t="s">
        <v>4337</v>
      </c>
      <c r="AI2269" t="s">
        <v>59</v>
      </c>
      <c r="AN2269" s="3">
        <v>46074.617361111108</v>
      </c>
      <c r="AO2269" t="s">
        <v>773</v>
      </c>
    </row>
    <row r="2270" spans="1:41" x14ac:dyDescent="0.3">
      <c r="A2270" t="s">
        <v>61</v>
      </c>
      <c r="B2270" t="s">
        <v>507</v>
      </c>
      <c r="C2270" t="s">
        <v>2889</v>
      </c>
      <c r="D2270" t="s">
        <v>63</v>
      </c>
      <c r="E2270" s="1">
        <v>46074</v>
      </c>
      <c r="F2270" t="s">
        <v>1374</v>
      </c>
      <c r="G2270" t="s">
        <v>45</v>
      </c>
      <c r="H2270" s="2">
        <v>0.29166666666666669</v>
      </c>
      <c r="I2270" s="2">
        <v>0.8125</v>
      </c>
      <c r="J2270" t="s">
        <v>269</v>
      </c>
      <c r="L2270" t="s">
        <v>2890</v>
      </c>
      <c r="M2270" t="s">
        <v>2891</v>
      </c>
      <c r="N2270" t="s">
        <v>2892</v>
      </c>
      <c r="O2270">
        <v>22668</v>
      </c>
      <c r="Q2270" t="s">
        <v>1780</v>
      </c>
      <c r="R2270" t="s">
        <v>132</v>
      </c>
      <c r="S2270" t="s">
        <v>52</v>
      </c>
      <c r="U2270">
        <v>891356</v>
      </c>
      <c r="V2270" s="3">
        <v>46058.374305555553</v>
      </c>
      <c r="W2270" t="s">
        <v>2893</v>
      </c>
      <c r="X2270" t="s">
        <v>2894</v>
      </c>
      <c r="Y2270" t="str">
        <f>"0420932618"</f>
        <v>0420932618</v>
      </c>
      <c r="Z2270" t="s">
        <v>4175</v>
      </c>
      <c r="AB2270" t="s">
        <v>514</v>
      </c>
      <c r="AD2270" t="s">
        <v>61</v>
      </c>
      <c r="AE2270" t="s">
        <v>515</v>
      </c>
      <c r="AF2270">
        <v>2086</v>
      </c>
      <c r="AG2270" t="s">
        <v>2895</v>
      </c>
      <c r="AI2270" t="s">
        <v>59</v>
      </c>
      <c r="AL2270" t="s">
        <v>1088</v>
      </c>
      <c r="AN2270" s="3">
        <v>46074.823611111111</v>
      </c>
      <c r="AO2270" t="s">
        <v>2893</v>
      </c>
    </row>
    <row r="2271" spans="1:41" x14ac:dyDescent="0.3">
      <c r="A2271" t="s">
        <v>306</v>
      </c>
      <c r="B2271" t="s">
        <v>386</v>
      </c>
      <c r="C2271" t="s">
        <v>387</v>
      </c>
      <c r="D2271" t="s">
        <v>388</v>
      </c>
      <c r="E2271" s="1">
        <v>46074</v>
      </c>
      <c r="F2271" t="s">
        <v>1374</v>
      </c>
      <c r="G2271" t="s">
        <v>45</v>
      </c>
      <c r="H2271" s="2">
        <v>0.29166666666666669</v>
      </c>
      <c r="I2271" s="2">
        <v>0.625</v>
      </c>
      <c r="J2271" t="s">
        <v>389</v>
      </c>
      <c r="L2271" t="s">
        <v>298</v>
      </c>
      <c r="M2271" t="s">
        <v>195</v>
      </c>
      <c r="N2271" t="s">
        <v>390</v>
      </c>
      <c r="O2271">
        <v>5951661</v>
      </c>
      <c r="P2271" t="s">
        <v>249</v>
      </c>
      <c r="Q2271" t="s">
        <v>391</v>
      </c>
      <c r="R2271" t="s">
        <v>392</v>
      </c>
      <c r="S2271" t="s">
        <v>52</v>
      </c>
      <c r="T2271" t="s">
        <v>252</v>
      </c>
      <c r="U2271">
        <v>891643</v>
      </c>
      <c r="V2271" s="3">
        <v>46077.668749999997</v>
      </c>
      <c r="W2271" t="s">
        <v>393</v>
      </c>
      <c r="X2271" t="s">
        <v>394</v>
      </c>
      <c r="Y2271" t="str">
        <f>"0427371732"</f>
        <v>0427371732</v>
      </c>
      <c r="Z2271" t="s">
        <v>366</v>
      </c>
      <c r="AA2271" s="1">
        <v>46141</v>
      </c>
      <c r="AB2271" t="s">
        <v>396</v>
      </c>
      <c r="AD2271" t="s">
        <v>397</v>
      </c>
      <c r="AE2271" t="s">
        <v>398</v>
      </c>
      <c r="AF2271">
        <v>7919</v>
      </c>
      <c r="AG2271" t="s">
        <v>399</v>
      </c>
      <c r="AI2271" t="s">
        <v>59</v>
      </c>
      <c r="AJ2271" t="str">
        <f>"0090000067"</f>
        <v>0090000067</v>
      </c>
      <c r="AN2271" s="3">
        <v>46077.668749999997</v>
      </c>
      <c r="AO2271" t="s">
        <v>392</v>
      </c>
    </row>
    <row r="2272" spans="1:41" x14ac:dyDescent="0.3">
      <c r="A2272" t="s">
        <v>61</v>
      </c>
      <c r="B2272" t="s">
        <v>1079</v>
      </c>
      <c r="C2272" t="s">
        <v>43</v>
      </c>
      <c r="D2272" t="s">
        <v>63</v>
      </c>
      <c r="E2272" s="1">
        <v>46074</v>
      </c>
      <c r="F2272" t="s">
        <v>1374</v>
      </c>
      <c r="G2272" t="s">
        <v>45</v>
      </c>
      <c r="H2272" s="2">
        <v>0.29166666666666669</v>
      </c>
      <c r="I2272" s="2">
        <v>0.5625</v>
      </c>
      <c r="J2272" t="s">
        <v>101</v>
      </c>
      <c r="L2272" t="s">
        <v>159</v>
      </c>
      <c r="M2272" t="s">
        <v>4279</v>
      </c>
      <c r="N2272" t="s">
        <v>4280</v>
      </c>
      <c r="O2272">
        <v>5950744</v>
      </c>
      <c r="Q2272" t="s">
        <v>1116</v>
      </c>
      <c r="R2272" t="s">
        <v>67</v>
      </c>
      <c r="S2272" t="s">
        <v>52</v>
      </c>
      <c r="U2272">
        <v>891343</v>
      </c>
      <c r="V2272" s="3">
        <v>46071.61041666667</v>
      </c>
      <c r="W2272" t="s">
        <v>4281</v>
      </c>
      <c r="X2272" t="s">
        <v>4282</v>
      </c>
      <c r="Y2272" t="str">
        <f>"0431947335"</f>
        <v>0431947335</v>
      </c>
      <c r="Z2272" t="s">
        <v>70</v>
      </c>
      <c r="AA2272" s="1">
        <v>46074</v>
      </c>
      <c r="AB2272" t="s">
        <v>1085</v>
      </c>
      <c r="AD2272" t="s">
        <v>61</v>
      </c>
      <c r="AE2272" t="s">
        <v>1086</v>
      </c>
      <c r="AF2272">
        <v>2031</v>
      </c>
      <c r="AG2272" t="s">
        <v>1116</v>
      </c>
      <c r="AI2272" t="s">
        <v>59</v>
      </c>
      <c r="AL2272" t="s">
        <v>1088</v>
      </c>
      <c r="AN2272" s="3">
        <v>46074.529166666667</v>
      </c>
      <c r="AO2272" t="s">
        <v>4281</v>
      </c>
    </row>
    <row r="2273" spans="1:41" x14ac:dyDescent="0.3">
      <c r="A2273" t="s">
        <v>75</v>
      </c>
      <c r="B2273" t="s">
        <v>895</v>
      </c>
      <c r="C2273" t="s">
        <v>4820</v>
      </c>
      <c r="D2273" t="s">
        <v>184</v>
      </c>
      <c r="E2273" s="1">
        <v>46074</v>
      </c>
      <c r="F2273" t="s">
        <v>1374</v>
      </c>
      <c r="G2273" t="s">
        <v>45</v>
      </c>
      <c r="H2273" s="2">
        <v>0.29166666666666669</v>
      </c>
      <c r="I2273" s="2">
        <v>0.54166666666666663</v>
      </c>
      <c r="J2273" t="s">
        <v>296</v>
      </c>
      <c r="L2273" t="s">
        <v>1453</v>
      </c>
      <c r="M2273" t="s">
        <v>3334</v>
      </c>
      <c r="N2273" t="s">
        <v>3335</v>
      </c>
      <c r="O2273">
        <v>5951764</v>
      </c>
      <c r="Q2273" t="s">
        <v>2159</v>
      </c>
      <c r="R2273" t="s">
        <v>81</v>
      </c>
      <c r="S2273" t="s">
        <v>52</v>
      </c>
      <c r="U2273">
        <v>891351</v>
      </c>
      <c r="V2273" s="3">
        <v>46066.425000000003</v>
      </c>
      <c r="W2273" t="s">
        <v>3336</v>
      </c>
      <c r="X2273" t="s">
        <v>3337</v>
      </c>
      <c r="Y2273" t="str">
        <f>"0466977945"</f>
        <v>0466977945</v>
      </c>
      <c r="Z2273" t="s">
        <v>4821</v>
      </c>
      <c r="AB2273" t="s">
        <v>902</v>
      </c>
      <c r="AD2273" t="s">
        <v>75</v>
      </c>
      <c r="AE2273" t="s">
        <v>903</v>
      </c>
      <c r="AF2273">
        <v>6009</v>
      </c>
      <c r="AG2273" t="s">
        <v>2159</v>
      </c>
      <c r="AI2273" t="s">
        <v>59</v>
      </c>
      <c r="AL2273" t="s">
        <v>4822</v>
      </c>
      <c r="AN2273" s="3">
        <v>46074.704861111109</v>
      </c>
      <c r="AO2273" t="s">
        <v>3336</v>
      </c>
    </row>
    <row r="2274" spans="1:41" x14ac:dyDescent="0.3">
      <c r="A2274" t="s">
        <v>61</v>
      </c>
      <c r="B2274" t="s">
        <v>1079</v>
      </c>
      <c r="C2274" t="s">
        <v>43</v>
      </c>
      <c r="D2274" t="s">
        <v>63</v>
      </c>
      <c r="E2274" s="1">
        <v>46074</v>
      </c>
      <c r="F2274" t="s">
        <v>1374</v>
      </c>
      <c r="G2274" t="s">
        <v>45</v>
      </c>
      <c r="H2274" s="2">
        <v>0.29166666666666669</v>
      </c>
      <c r="I2274" s="2">
        <v>0.83333333333333337</v>
      </c>
      <c r="J2274" t="s">
        <v>101</v>
      </c>
      <c r="L2274" t="s">
        <v>159</v>
      </c>
      <c r="M2274" t="s">
        <v>1126</v>
      </c>
      <c r="N2274" t="s">
        <v>1127</v>
      </c>
      <c r="O2274">
        <v>21552</v>
      </c>
      <c r="Q2274" t="s">
        <v>3450</v>
      </c>
      <c r="R2274" t="s">
        <v>67</v>
      </c>
      <c r="S2274" t="s">
        <v>52</v>
      </c>
      <c r="U2274">
        <v>891352</v>
      </c>
      <c r="V2274" s="3">
        <v>46071.604861111111</v>
      </c>
      <c r="W2274" t="s">
        <v>1129</v>
      </c>
      <c r="X2274" t="s">
        <v>1130</v>
      </c>
      <c r="Y2274" t="str">
        <f>"0401723179"</f>
        <v>0401723179</v>
      </c>
      <c r="Z2274" t="s">
        <v>70</v>
      </c>
      <c r="AA2274" s="1">
        <v>46074</v>
      </c>
      <c r="AB2274" t="s">
        <v>1085</v>
      </c>
      <c r="AD2274" t="s">
        <v>61</v>
      </c>
      <c r="AE2274" t="s">
        <v>1086</v>
      </c>
      <c r="AF2274">
        <v>2031</v>
      </c>
      <c r="AG2274" t="s">
        <v>3450</v>
      </c>
      <c r="AI2274" t="s">
        <v>59</v>
      </c>
      <c r="AL2274" t="s">
        <v>4823</v>
      </c>
      <c r="AN2274" s="3">
        <v>46074.727083333331</v>
      </c>
      <c r="AO2274" t="s">
        <v>1129</v>
      </c>
    </row>
    <row r="2275" spans="1:41" x14ac:dyDescent="0.3">
      <c r="A2275" t="s">
        <v>61</v>
      </c>
      <c r="B2275" t="s">
        <v>507</v>
      </c>
      <c r="D2275" t="s">
        <v>63</v>
      </c>
      <c r="E2275" s="1">
        <v>46074</v>
      </c>
      <c r="F2275" t="s">
        <v>1374</v>
      </c>
      <c r="G2275" t="s">
        <v>45</v>
      </c>
      <c r="H2275" s="2">
        <v>0.29166666666666669</v>
      </c>
      <c r="I2275" s="2">
        <v>0.8125</v>
      </c>
      <c r="J2275" t="s">
        <v>296</v>
      </c>
      <c r="L2275" t="s">
        <v>728</v>
      </c>
      <c r="M2275" t="s">
        <v>729</v>
      </c>
      <c r="N2275" t="s">
        <v>730</v>
      </c>
      <c r="O2275">
        <v>5952035</v>
      </c>
      <c r="Q2275" t="s">
        <v>3005</v>
      </c>
      <c r="R2275" t="s">
        <v>67</v>
      </c>
      <c r="S2275" t="s">
        <v>52</v>
      </c>
      <c r="U2275">
        <v>891355</v>
      </c>
      <c r="V2275" s="3">
        <v>46062.590277777781</v>
      </c>
      <c r="W2275" t="s">
        <v>732</v>
      </c>
      <c r="X2275" t="s">
        <v>733</v>
      </c>
      <c r="Y2275" t="str">
        <f>"0498946862"</f>
        <v>0498946862</v>
      </c>
      <c r="Z2275" t="s">
        <v>2876</v>
      </c>
      <c r="AB2275" t="s">
        <v>514</v>
      </c>
      <c r="AD2275" t="s">
        <v>61</v>
      </c>
      <c r="AE2275" t="s">
        <v>515</v>
      </c>
      <c r="AF2275">
        <v>2086</v>
      </c>
      <c r="AG2275" t="s">
        <v>516</v>
      </c>
      <c r="AI2275" t="s">
        <v>59</v>
      </c>
      <c r="AL2275" t="s">
        <v>1088</v>
      </c>
      <c r="AN2275" s="3">
        <v>46074.813194444447</v>
      </c>
      <c r="AO2275" t="s">
        <v>732</v>
      </c>
    </row>
    <row r="2276" spans="1:41" x14ac:dyDescent="0.3">
      <c r="A2276" t="s">
        <v>61</v>
      </c>
      <c r="B2276" t="s">
        <v>1462</v>
      </c>
      <c r="C2276" t="s">
        <v>296</v>
      </c>
      <c r="D2276" t="s">
        <v>90</v>
      </c>
      <c r="E2276" s="1">
        <v>46074</v>
      </c>
      <c r="F2276" t="s">
        <v>1374</v>
      </c>
      <c r="G2276" t="s">
        <v>45</v>
      </c>
      <c r="H2276" s="2">
        <v>0.29166666666666669</v>
      </c>
      <c r="I2276" s="2">
        <v>0.60416666666666663</v>
      </c>
      <c r="J2276" t="s">
        <v>296</v>
      </c>
      <c r="L2276" t="s">
        <v>298</v>
      </c>
      <c r="M2276" t="s">
        <v>729</v>
      </c>
      <c r="N2276" t="s">
        <v>2870</v>
      </c>
      <c r="O2276">
        <v>5952286</v>
      </c>
      <c r="Q2276" t="s">
        <v>1578</v>
      </c>
      <c r="R2276" t="s">
        <v>1248</v>
      </c>
      <c r="S2276" t="s">
        <v>52</v>
      </c>
      <c r="U2276">
        <v>891346</v>
      </c>
      <c r="V2276" s="3">
        <v>46074.209027777775</v>
      </c>
      <c r="W2276" t="s">
        <v>2872</v>
      </c>
      <c r="X2276" t="s">
        <v>2873</v>
      </c>
      <c r="Y2276" t="str">
        <f>"0411260975"</f>
        <v>0411260975</v>
      </c>
      <c r="Z2276" t="s">
        <v>70</v>
      </c>
      <c r="AA2276" s="1">
        <v>46074</v>
      </c>
      <c r="AB2276" t="s">
        <v>1468</v>
      </c>
      <c r="AD2276" t="s">
        <v>61</v>
      </c>
      <c r="AE2276" t="s">
        <v>1469</v>
      </c>
      <c r="AF2276">
        <v>2060</v>
      </c>
      <c r="AG2276" t="s">
        <v>2126</v>
      </c>
      <c r="AI2276" t="s">
        <v>59</v>
      </c>
      <c r="AL2276" t="s">
        <v>87</v>
      </c>
      <c r="AN2276" s="3">
        <v>46074.616666666669</v>
      </c>
      <c r="AO2276" t="s">
        <v>2872</v>
      </c>
    </row>
    <row r="2277" spans="1:41" x14ac:dyDescent="0.3">
      <c r="A2277" t="s">
        <v>61</v>
      </c>
      <c r="B2277" t="s">
        <v>1271</v>
      </c>
      <c r="C2277" t="s">
        <v>1272</v>
      </c>
      <c r="D2277" t="s">
        <v>184</v>
      </c>
      <c r="E2277" s="1">
        <v>46074</v>
      </c>
      <c r="F2277" t="s">
        <v>1374</v>
      </c>
      <c r="G2277" t="s">
        <v>45</v>
      </c>
      <c r="H2277" s="2">
        <v>0.29166666666666669</v>
      </c>
      <c r="I2277" s="2">
        <v>0.64583333333333337</v>
      </c>
      <c r="J2277" t="s">
        <v>486</v>
      </c>
      <c r="L2277" t="s">
        <v>487</v>
      </c>
      <c r="M2277" t="s">
        <v>2323</v>
      </c>
      <c r="N2277" t="s">
        <v>2913</v>
      </c>
      <c r="O2277">
        <v>5952343</v>
      </c>
      <c r="Q2277" t="s">
        <v>1190</v>
      </c>
      <c r="R2277" t="s">
        <v>132</v>
      </c>
      <c r="S2277" t="s">
        <v>52</v>
      </c>
      <c r="U2277">
        <v>891349</v>
      </c>
      <c r="V2277" s="3">
        <v>46049.609027777777</v>
      </c>
      <c r="W2277" t="s">
        <v>2915</v>
      </c>
      <c r="X2277" t="s">
        <v>2916</v>
      </c>
      <c r="Y2277" t="str">
        <f>"0416096368"</f>
        <v>0416096368</v>
      </c>
      <c r="Z2277" t="s">
        <v>70</v>
      </c>
      <c r="AA2277" s="1">
        <v>46074</v>
      </c>
      <c r="AB2277" t="s">
        <v>1278</v>
      </c>
      <c r="AD2277" t="s">
        <v>61</v>
      </c>
      <c r="AE2277" t="s">
        <v>1279</v>
      </c>
      <c r="AF2277">
        <v>2145</v>
      </c>
      <c r="AG2277" t="s">
        <v>2463</v>
      </c>
      <c r="AI2277" t="s">
        <v>59</v>
      </c>
      <c r="AL2277" t="s">
        <v>4824</v>
      </c>
      <c r="AN2277" s="3">
        <v>46074.646527777775</v>
      </c>
      <c r="AO2277" t="s">
        <v>2915</v>
      </c>
    </row>
    <row r="2278" spans="1:41" x14ac:dyDescent="0.3">
      <c r="A2278" t="s">
        <v>61</v>
      </c>
      <c r="B2278" t="s">
        <v>62</v>
      </c>
      <c r="C2278" t="s">
        <v>296</v>
      </c>
      <c r="D2278" t="s">
        <v>63</v>
      </c>
      <c r="E2278" s="1">
        <v>46074</v>
      </c>
      <c r="F2278" t="s">
        <v>1374</v>
      </c>
      <c r="G2278" t="s">
        <v>45</v>
      </c>
      <c r="H2278" s="2">
        <v>0.29166666666666669</v>
      </c>
      <c r="I2278" s="2">
        <v>0.625</v>
      </c>
      <c r="J2278" t="s">
        <v>296</v>
      </c>
      <c r="L2278" t="s">
        <v>298</v>
      </c>
      <c r="M2278" t="s">
        <v>1264</v>
      </c>
      <c r="N2278" t="s">
        <v>1265</v>
      </c>
      <c r="O2278">
        <v>5952469</v>
      </c>
      <c r="Q2278" t="s">
        <v>2529</v>
      </c>
      <c r="R2278" t="s">
        <v>67</v>
      </c>
      <c r="S2278" t="s">
        <v>52</v>
      </c>
      <c r="U2278">
        <v>891348</v>
      </c>
      <c r="V2278" s="3">
        <v>46072.557638888888</v>
      </c>
      <c r="W2278" t="s">
        <v>1266</v>
      </c>
      <c r="X2278" t="s">
        <v>1267</v>
      </c>
      <c r="Y2278" t="str">
        <f>"0401273390"</f>
        <v>0401273390</v>
      </c>
      <c r="Z2278" t="s">
        <v>2548</v>
      </c>
      <c r="AB2278" t="s">
        <v>71</v>
      </c>
      <c r="AD2278" t="s">
        <v>61</v>
      </c>
      <c r="AE2278" t="s">
        <v>72</v>
      </c>
      <c r="AF2278">
        <v>2747</v>
      </c>
      <c r="AG2278" t="s">
        <v>4825</v>
      </c>
      <c r="AI2278" t="s">
        <v>59</v>
      </c>
      <c r="AL2278" t="s">
        <v>4826</v>
      </c>
      <c r="AN2278" s="3">
        <v>46074.628472222219</v>
      </c>
      <c r="AO2278" t="s">
        <v>1266</v>
      </c>
    </row>
    <row r="2279" spans="1:41" x14ac:dyDescent="0.3">
      <c r="A2279" t="s">
        <v>61</v>
      </c>
      <c r="B2279" t="s">
        <v>1462</v>
      </c>
      <c r="C2279" t="s">
        <v>296</v>
      </c>
      <c r="D2279" t="s">
        <v>90</v>
      </c>
      <c r="E2279" s="1">
        <v>46074</v>
      </c>
      <c r="F2279" t="s">
        <v>1374</v>
      </c>
      <c r="G2279" t="s">
        <v>45</v>
      </c>
      <c r="H2279" s="2">
        <v>0.29166666666666669</v>
      </c>
      <c r="I2279" s="2">
        <v>0.60416666666666663</v>
      </c>
      <c r="J2279" t="s">
        <v>296</v>
      </c>
      <c r="L2279" t="s">
        <v>1453</v>
      </c>
      <c r="M2279" t="s">
        <v>4222</v>
      </c>
      <c r="N2279" t="s">
        <v>4223</v>
      </c>
      <c r="O2279">
        <v>5952422</v>
      </c>
      <c r="Q2279" t="s">
        <v>2875</v>
      </c>
      <c r="R2279" t="s">
        <v>67</v>
      </c>
      <c r="S2279" t="s">
        <v>52</v>
      </c>
      <c r="U2279">
        <v>891345</v>
      </c>
      <c r="V2279" s="3">
        <v>46070.446527777778</v>
      </c>
      <c r="W2279" t="s">
        <v>4225</v>
      </c>
      <c r="X2279" t="s">
        <v>4226</v>
      </c>
      <c r="Y2279" t="str">
        <f>"0450516294"</f>
        <v>0450516294</v>
      </c>
      <c r="Z2279" t="s">
        <v>290</v>
      </c>
      <c r="AB2279" t="s">
        <v>1468</v>
      </c>
      <c r="AD2279" t="s">
        <v>61</v>
      </c>
      <c r="AE2279" t="s">
        <v>1469</v>
      </c>
      <c r="AF2279">
        <v>2060</v>
      </c>
      <c r="AG2279" t="s">
        <v>2126</v>
      </c>
      <c r="AI2279" t="s">
        <v>59</v>
      </c>
      <c r="AL2279" t="s">
        <v>2126</v>
      </c>
      <c r="AN2279" s="3">
        <v>46074.604861111111</v>
      </c>
      <c r="AO2279" t="s">
        <v>4225</v>
      </c>
    </row>
    <row r="2280" spans="1:41" x14ac:dyDescent="0.3">
      <c r="A2280" t="s">
        <v>61</v>
      </c>
      <c r="B2280" t="s">
        <v>1271</v>
      </c>
      <c r="C2280" t="s">
        <v>1272</v>
      </c>
      <c r="D2280" t="s">
        <v>184</v>
      </c>
      <c r="E2280" s="1">
        <v>46074</v>
      </c>
      <c r="F2280" t="s">
        <v>1374</v>
      </c>
      <c r="G2280" t="s">
        <v>45</v>
      </c>
      <c r="H2280" s="2">
        <v>0.29166666666666669</v>
      </c>
      <c r="I2280" s="2">
        <v>0.64583333333333337</v>
      </c>
      <c r="J2280" t="s">
        <v>389</v>
      </c>
      <c r="L2280" t="s">
        <v>487</v>
      </c>
      <c r="M2280" t="s">
        <v>596</v>
      </c>
      <c r="N2280" t="s">
        <v>1280</v>
      </c>
      <c r="O2280">
        <v>5952187</v>
      </c>
      <c r="Q2280" t="s">
        <v>1190</v>
      </c>
      <c r="R2280" t="s">
        <v>67</v>
      </c>
      <c r="S2280" t="s">
        <v>52</v>
      </c>
      <c r="U2280">
        <v>891342</v>
      </c>
      <c r="V2280" s="3">
        <v>46073.377083333333</v>
      </c>
      <c r="W2280" t="s">
        <v>1281</v>
      </c>
      <c r="X2280" t="s">
        <v>1282</v>
      </c>
      <c r="Y2280" t="str">
        <f>"0417203844"</f>
        <v>0417203844</v>
      </c>
      <c r="Z2280" t="s">
        <v>254</v>
      </c>
      <c r="AB2280" t="s">
        <v>1278</v>
      </c>
      <c r="AD2280" t="s">
        <v>61</v>
      </c>
      <c r="AE2280" t="s">
        <v>1279</v>
      </c>
      <c r="AF2280">
        <v>2145</v>
      </c>
      <c r="AG2280" t="s">
        <v>1190</v>
      </c>
      <c r="AI2280" t="s">
        <v>59</v>
      </c>
      <c r="AL2280" t="s">
        <v>2152</v>
      </c>
      <c r="AN2280" s="3">
        <v>46074.427777777775</v>
      </c>
      <c r="AO2280" t="s">
        <v>1281</v>
      </c>
    </row>
    <row r="2281" spans="1:41" x14ac:dyDescent="0.3">
      <c r="A2281" t="s">
        <v>75</v>
      </c>
      <c r="B2281" t="s">
        <v>3690</v>
      </c>
      <c r="C2281" t="s">
        <v>43</v>
      </c>
      <c r="D2281" t="s">
        <v>3691</v>
      </c>
      <c r="E2281" s="1">
        <v>46074</v>
      </c>
      <c r="F2281" t="s">
        <v>1374</v>
      </c>
      <c r="G2281" t="s">
        <v>45</v>
      </c>
      <c r="H2281" s="2">
        <v>0.35416666666666669</v>
      </c>
      <c r="I2281" s="2">
        <v>0.6875</v>
      </c>
      <c r="J2281" t="s">
        <v>46</v>
      </c>
      <c r="K2281" t="s">
        <v>77</v>
      </c>
      <c r="L2281" t="s">
        <v>47</v>
      </c>
      <c r="M2281" t="s">
        <v>1828</v>
      </c>
      <c r="N2281" t="s">
        <v>1829</v>
      </c>
      <c r="O2281">
        <v>5951238</v>
      </c>
      <c r="Q2281" t="s">
        <v>3692</v>
      </c>
      <c r="R2281" t="s">
        <v>556</v>
      </c>
      <c r="S2281" t="s">
        <v>52</v>
      </c>
      <c r="U2281">
        <v>891354</v>
      </c>
      <c r="V2281" s="3">
        <v>46057.762499999997</v>
      </c>
      <c r="W2281" t="s">
        <v>1831</v>
      </c>
      <c r="X2281" t="s">
        <v>1832</v>
      </c>
      <c r="Y2281" t="str">
        <f>"0423470636"</f>
        <v>0423470636</v>
      </c>
      <c r="Z2281" t="s">
        <v>585</v>
      </c>
      <c r="AB2281" t="s">
        <v>3693</v>
      </c>
      <c r="AD2281" t="s">
        <v>75</v>
      </c>
      <c r="AE2281" t="s">
        <v>3694</v>
      </c>
      <c r="AF2281">
        <v>6056</v>
      </c>
      <c r="AG2281" t="s">
        <v>3695</v>
      </c>
      <c r="AI2281" t="s">
        <v>59</v>
      </c>
      <c r="AL2281" t="s">
        <v>4105</v>
      </c>
      <c r="AN2281" s="3">
        <v>46074.797222222223</v>
      </c>
      <c r="AO2281" t="s">
        <v>1831</v>
      </c>
    </row>
    <row r="2282" spans="1:41" x14ac:dyDescent="0.3">
      <c r="A2282" t="s">
        <v>41</v>
      </c>
      <c r="B2282" t="s">
        <v>244</v>
      </c>
      <c r="C2282" t="s">
        <v>245</v>
      </c>
      <c r="D2282" t="s">
        <v>246</v>
      </c>
      <c r="E2282" s="1">
        <v>46074</v>
      </c>
      <c r="F2282" t="s">
        <v>1374</v>
      </c>
      <c r="G2282" t="s">
        <v>45</v>
      </c>
      <c r="H2282" s="2">
        <v>0.41666666666666669</v>
      </c>
      <c r="I2282" s="2">
        <v>0.77083333333333337</v>
      </c>
      <c r="J2282" t="s">
        <v>100</v>
      </c>
      <c r="L2282" t="s">
        <v>452</v>
      </c>
      <c r="M2282" t="s">
        <v>1122</v>
      </c>
      <c r="N2282" t="s">
        <v>1123</v>
      </c>
      <c r="O2282">
        <v>5951585</v>
      </c>
      <c r="P2282" t="s">
        <v>249</v>
      </c>
      <c r="Q2282" t="s">
        <v>250</v>
      </c>
      <c r="R2282" t="s">
        <v>1124</v>
      </c>
      <c r="S2282" t="s">
        <v>52</v>
      </c>
      <c r="T2282" t="s">
        <v>252</v>
      </c>
      <c r="U2282">
        <v>891479</v>
      </c>
      <c r="V2282" s="3">
        <v>46076.592361111114</v>
      </c>
      <c r="W2282" t="s">
        <v>1124</v>
      </c>
      <c r="X2282" t="s">
        <v>1125</v>
      </c>
      <c r="Y2282" t="str">
        <f>"0406622986"</f>
        <v>0406622986</v>
      </c>
      <c r="Z2282" t="s">
        <v>234</v>
      </c>
      <c r="AA2282" s="1">
        <v>46082</v>
      </c>
      <c r="AB2282" t="s">
        <v>255</v>
      </c>
      <c r="AD2282" t="s">
        <v>41</v>
      </c>
      <c r="AE2282" t="s">
        <v>256</v>
      </c>
      <c r="AF2282">
        <v>4655</v>
      </c>
      <c r="AG2282" t="s">
        <v>3449</v>
      </c>
      <c r="AI2282" t="s">
        <v>59</v>
      </c>
      <c r="AJ2282" t="str">
        <f>"0050076953"</f>
        <v>0050076953</v>
      </c>
      <c r="AN2282" s="3">
        <v>46076.592361111114</v>
      </c>
      <c r="AO2282" t="s">
        <v>1124</v>
      </c>
    </row>
    <row r="2283" spans="1:41" x14ac:dyDescent="0.3">
      <c r="A2283" t="s">
        <v>61</v>
      </c>
      <c r="B2283" t="s">
        <v>1079</v>
      </c>
      <c r="C2283" t="s">
        <v>2037</v>
      </c>
      <c r="D2283" t="s">
        <v>63</v>
      </c>
      <c r="E2283" s="1">
        <v>46074</v>
      </c>
      <c r="F2283" t="s">
        <v>1374</v>
      </c>
      <c r="G2283" t="s">
        <v>128</v>
      </c>
      <c r="H2283" s="2">
        <v>0.52083333333333337</v>
      </c>
      <c r="I2283" s="2">
        <v>0.875</v>
      </c>
      <c r="J2283" t="s">
        <v>46</v>
      </c>
      <c r="L2283" t="s">
        <v>47</v>
      </c>
      <c r="M2283" t="s">
        <v>4106</v>
      </c>
      <c r="N2283" t="s">
        <v>4107</v>
      </c>
      <c r="O2283">
        <v>21085</v>
      </c>
      <c r="Q2283" t="s">
        <v>4108</v>
      </c>
      <c r="R2283" t="s">
        <v>132</v>
      </c>
      <c r="S2283" t="s">
        <v>52</v>
      </c>
      <c r="U2283">
        <v>891358</v>
      </c>
      <c r="V2283" s="3">
        <v>46069.392361111109</v>
      </c>
      <c r="W2283" t="s">
        <v>4109</v>
      </c>
      <c r="X2283" t="s">
        <v>4110</v>
      </c>
      <c r="Y2283" t="str">
        <f>"0401833113"</f>
        <v>0401833113</v>
      </c>
      <c r="Z2283" t="s">
        <v>55</v>
      </c>
      <c r="AA2283" s="1">
        <v>46074</v>
      </c>
      <c r="AB2283" t="s">
        <v>1085</v>
      </c>
      <c r="AD2283" t="s">
        <v>61</v>
      </c>
      <c r="AE2283" t="s">
        <v>1086</v>
      </c>
      <c r="AF2283">
        <v>2031</v>
      </c>
      <c r="AG2283" t="s">
        <v>4108</v>
      </c>
      <c r="AI2283" t="s">
        <v>59</v>
      </c>
      <c r="AL2283" t="s">
        <v>1088</v>
      </c>
      <c r="AN2283" s="3">
        <v>46074.840277777781</v>
      </c>
      <c r="AO2283" t="s">
        <v>4109</v>
      </c>
    </row>
    <row r="2284" spans="1:41" x14ac:dyDescent="0.3">
      <c r="A2284" t="s">
        <v>41</v>
      </c>
      <c r="B2284" t="s">
        <v>1168</v>
      </c>
      <c r="D2284" t="s">
        <v>246</v>
      </c>
      <c r="E2284" s="1">
        <v>46074</v>
      </c>
      <c r="F2284" t="s">
        <v>1374</v>
      </c>
      <c r="G2284" t="s">
        <v>45</v>
      </c>
      <c r="H2284" s="2">
        <v>0.54166666666666663</v>
      </c>
      <c r="I2284" s="2">
        <v>0.89583333333333337</v>
      </c>
      <c r="J2284" t="s">
        <v>296</v>
      </c>
      <c r="L2284" t="s">
        <v>1169</v>
      </c>
      <c r="M2284" t="s">
        <v>1170</v>
      </c>
      <c r="N2284" t="s">
        <v>1171</v>
      </c>
      <c r="O2284">
        <v>5952274</v>
      </c>
      <c r="Q2284" t="s">
        <v>1172</v>
      </c>
      <c r="R2284" t="s">
        <v>1173</v>
      </c>
      <c r="S2284" t="s">
        <v>52</v>
      </c>
      <c r="T2284" t="s">
        <v>252</v>
      </c>
      <c r="U2284">
        <v>891467</v>
      </c>
      <c r="V2284" s="3">
        <v>46076.529166666667</v>
      </c>
      <c r="W2284" t="s">
        <v>1173</v>
      </c>
      <c r="X2284" t="s">
        <v>1174</v>
      </c>
      <c r="Y2284" t="str">
        <f>"0432261353"</f>
        <v>0432261353</v>
      </c>
      <c r="Z2284" t="s">
        <v>290</v>
      </c>
      <c r="AA2284" s="1">
        <v>46083</v>
      </c>
      <c r="AB2284" t="s">
        <v>1175</v>
      </c>
      <c r="AD2284" t="s">
        <v>41</v>
      </c>
      <c r="AE2284" t="s">
        <v>1176</v>
      </c>
      <c r="AF2284">
        <v>4680</v>
      </c>
      <c r="AG2284" t="s">
        <v>1177</v>
      </c>
      <c r="AI2284" t="s">
        <v>59</v>
      </c>
      <c r="AJ2284" t="str">
        <f>"0050076336"</f>
        <v>0050076336</v>
      </c>
      <c r="AN2284" s="3">
        <v>46076.529166666667</v>
      </c>
      <c r="AO2284" t="s">
        <v>1173</v>
      </c>
    </row>
    <row r="2285" spans="1:41" x14ac:dyDescent="0.3">
      <c r="A2285" t="s">
        <v>41</v>
      </c>
      <c r="B2285" t="s">
        <v>1284</v>
      </c>
      <c r="C2285" t="s">
        <v>296</v>
      </c>
      <c r="D2285" t="s">
        <v>1286</v>
      </c>
      <c r="E2285" s="1">
        <v>46074</v>
      </c>
      <c r="F2285" t="s">
        <v>1374</v>
      </c>
      <c r="G2285" t="s">
        <v>128</v>
      </c>
      <c r="H2285" s="2">
        <v>0.58333333333333337</v>
      </c>
      <c r="I2285" s="2">
        <v>0.9375</v>
      </c>
      <c r="J2285" t="s">
        <v>296</v>
      </c>
      <c r="L2285" t="s">
        <v>1453</v>
      </c>
      <c r="M2285" t="s">
        <v>3226</v>
      </c>
      <c r="N2285" t="s">
        <v>518</v>
      </c>
      <c r="O2285">
        <v>5952424</v>
      </c>
      <c r="Q2285" t="s">
        <v>2098</v>
      </c>
      <c r="R2285" t="s">
        <v>51</v>
      </c>
      <c r="S2285" t="s">
        <v>52</v>
      </c>
      <c r="U2285">
        <v>891362</v>
      </c>
      <c r="V2285" s="3">
        <v>46063.443055555559</v>
      </c>
      <c r="W2285" t="s">
        <v>3227</v>
      </c>
      <c r="X2285" t="s">
        <v>3228</v>
      </c>
      <c r="Y2285" t="str">
        <f>"0426367609"</f>
        <v>0426367609</v>
      </c>
      <c r="Z2285" t="s">
        <v>2466</v>
      </c>
      <c r="AB2285" t="s">
        <v>1288</v>
      </c>
      <c r="AD2285" t="s">
        <v>41</v>
      </c>
      <c r="AE2285" t="s">
        <v>150</v>
      </c>
      <c r="AF2285">
        <v>4000</v>
      </c>
      <c r="AG2285" t="s">
        <v>2098</v>
      </c>
      <c r="AI2285" t="s">
        <v>59</v>
      </c>
      <c r="AL2285" t="s">
        <v>1407</v>
      </c>
      <c r="AN2285" s="3">
        <v>46074.990972222222</v>
      </c>
      <c r="AO2285" t="s">
        <v>3227</v>
      </c>
    </row>
    <row r="2286" spans="1:41" x14ac:dyDescent="0.3">
      <c r="A2286" t="s">
        <v>61</v>
      </c>
      <c r="B2286" t="s">
        <v>1937</v>
      </c>
      <c r="C2286" t="s">
        <v>1627</v>
      </c>
      <c r="D2286" t="s">
        <v>184</v>
      </c>
      <c r="E2286" s="1">
        <v>46074</v>
      </c>
      <c r="F2286" t="s">
        <v>1374</v>
      </c>
      <c r="G2286" t="s">
        <v>128</v>
      </c>
      <c r="H2286" s="2">
        <v>0.58333333333333337</v>
      </c>
      <c r="I2286" s="2">
        <v>0.91666666666666663</v>
      </c>
      <c r="J2286" t="s">
        <v>486</v>
      </c>
      <c r="L2286" t="s">
        <v>2436</v>
      </c>
      <c r="M2286" t="s">
        <v>2075</v>
      </c>
      <c r="N2286" t="s">
        <v>2883</v>
      </c>
      <c r="O2286">
        <v>22004</v>
      </c>
      <c r="Q2286" t="s">
        <v>3731</v>
      </c>
      <c r="R2286" t="s">
        <v>67</v>
      </c>
      <c r="S2286" t="s">
        <v>52</v>
      </c>
      <c r="U2286">
        <v>891359</v>
      </c>
      <c r="V2286" s="3">
        <v>46071.42291666667</v>
      </c>
      <c r="W2286" t="s">
        <v>2885</v>
      </c>
      <c r="X2286" t="s">
        <v>2886</v>
      </c>
      <c r="Y2286" t="str">
        <f>"0450422953"</f>
        <v>0450422953</v>
      </c>
      <c r="Z2286" t="s">
        <v>503</v>
      </c>
      <c r="AB2286" t="s">
        <v>1942</v>
      </c>
      <c r="AD2286" t="s">
        <v>61</v>
      </c>
      <c r="AE2286" t="s">
        <v>1943</v>
      </c>
      <c r="AF2286">
        <v>2065</v>
      </c>
      <c r="AG2286" t="s">
        <v>3731</v>
      </c>
      <c r="AI2286" t="s">
        <v>59</v>
      </c>
      <c r="AL2286" t="s">
        <v>1088</v>
      </c>
      <c r="AN2286" s="3">
        <v>46074.92291666667</v>
      </c>
      <c r="AO2286" t="s">
        <v>2885</v>
      </c>
    </row>
    <row r="2287" spans="1:41" x14ac:dyDescent="0.3">
      <c r="A2287" t="s">
        <v>61</v>
      </c>
      <c r="B2287" t="s">
        <v>1271</v>
      </c>
      <c r="C2287" t="s">
        <v>1272</v>
      </c>
      <c r="D2287" t="s">
        <v>184</v>
      </c>
      <c r="E2287" s="1">
        <v>46074</v>
      </c>
      <c r="F2287" t="s">
        <v>1374</v>
      </c>
      <c r="G2287" t="s">
        <v>128</v>
      </c>
      <c r="H2287" s="2">
        <v>0.625</v>
      </c>
      <c r="I2287" s="2">
        <v>0.97916666666666663</v>
      </c>
      <c r="J2287" t="s">
        <v>590</v>
      </c>
      <c r="L2287" t="s">
        <v>487</v>
      </c>
      <c r="M2287" t="s">
        <v>2461</v>
      </c>
      <c r="N2287" t="s">
        <v>2462</v>
      </c>
      <c r="O2287">
        <v>22373</v>
      </c>
      <c r="Q2287" t="s">
        <v>2463</v>
      </c>
      <c r="R2287" t="s">
        <v>132</v>
      </c>
      <c r="S2287" t="s">
        <v>52</v>
      </c>
      <c r="U2287">
        <v>891360</v>
      </c>
      <c r="V2287" s="3">
        <v>46051.370138888888</v>
      </c>
      <c r="W2287" t="s">
        <v>2464</v>
      </c>
      <c r="X2287" t="s">
        <v>2465</v>
      </c>
      <c r="Y2287" t="str">
        <f>"0410812981"</f>
        <v>0410812981</v>
      </c>
      <c r="Z2287" t="s">
        <v>1013</v>
      </c>
      <c r="AB2287" t="s">
        <v>1278</v>
      </c>
      <c r="AD2287" t="s">
        <v>61</v>
      </c>
      <c r="AE2287" t="s">
        <v>1279</v>
      </c>
      <c r="AF2287">
        <v>2145</v>
      </c>
      <c r="AG2287" t="s">
        <v>2463</v>
      </c>
      <c r="AI2287" t="s">
        <v>59</v>
      </c>
      <c r="AL2287" t="s">
        <v>1088</v>
      </c>
      <c r="AN2287" s="3">
        <v>46074.968055555553</v>
      </c>
      <c r="AO2287" t="s">
        <v>2464</v>
      </c>
    </row>
    <row r="2288" spans="1:41" x14ac:dyDescent="0.3">
      <c r="A2288" t="s">
        <v>306</v>
      </c>
      <c r="B2288" t="s">
        <v>1334</v>
      </c>
      <c r="C2288" t="s">
        <v>1335</v>
      </c>
      <c r="D2288" t="s">
        <v>1336</v>
      </c>
      <c r="E2288" s="1">
        <v>46074</v>
      </c>
      <c r="F2288" t="s">
        <v>1374</v>
      </c>
      <c r="G2288" t="s">
        <v>128</v>
      </c>
      <c r="H2288" s="2">
        <v>0.66666666666666663</v>
      </c>
      <c r="I2288" s="2">
        <v>0.83333333333333337</v>
      </c>
      <c r="J2288" t="s">
        <v>2019</v>
      </c>
      <c r="L2288" t="s">
        <v>1524</v>
      </c>
      <c r="M2288" t="s">
        <v>1525</v>
      </c>
      <c r="N2288" t="s">
        <v>1526</v>
      </c>
      <c r="O2288">
        <v>5951852</v>
      </c>
      <c r="Q2288" t="s">
        <v>705</v>
      </c>
      <c r="R2288" t="s">
        <v>1248</v>
      </c>
      <c r="S2288" t="s">
        <v>52</v>
      </c>
      <c r="U2288">
        <v>891357</v>
      </c>
      <c r="V2288" s="3">
        <v>46074.375694444447</v>
      </c>
      <c r="W2288" t="s">
        <v>1527</v>
      </c>
      <c r="X2288" t="s">
        <v>1528</v>
      </c>
      <c r="Y2288" t="str">
        <f>"0413379513"</f>
        <v>0413379513</v>
      </c>
      <c r="Z2288" t="s">
        <v>70</v>
      </c>
      <c r="AA2288" s="1">
        <v>46074</v>
      </c>
      <c r="AB2288" t="s">
        <v>1342</v>
      </c>
      <c r="AD2288" t="s">
        <v>306</v>
      </c>
      <c r="AE2288" t="s">
        <v>1343</v>
      </c>
      <c r="AF2288">
        <v>3144</v>
      </c>
      <c r="AG2288" t="s">
        <v>413</v>
      </c>
      <c r="AI2288" t="s">
        <v>59</v>
      </c>
      <c r="AL2288" t="s">
        <v>3542</v>
      </c>
      <c r="AN2288" s="3">
        <v>46074.833333333336</v>
      </c>
      <c r="AO2288" t="s">
        <v>1527</v>
      </c>
    </row>
    <row r="2289" spans="1:41" x14ac:dyDescent="0.3">
      <c r="A2289" t="s">
        <v>61</v>
      </c>
      <c r="B2289" t="s">
        <v>182</v>
      </c>
      <c r="C2289" t="s">
        <v>484</v>
      </c>
      <c r="D2289" t="s">
        <v>184</v>
      </c>
      <c r="E2289" s="1">
        <v>46074</v>
      </c>
      <c r="F2289" t="s">
        <v>1374</v>
      </c>
      <c r="G2289" t="s">
        <v>485</v>
      </c>
      <c r="H2289" s="2">
        <v>0.77083333333333337</v>
      </c>
      <c r="I2289" s="2">
        <v>0.29166666666666669</v>
      </c>
      <c r="J2289" t="s">
        <v>590</v>
      </c>
      <c r="L2289" t="s">
        <v>487</v>
      </c>
      <c r="M2289" t="s">
        <v>1645</v>
      </c>
      <c r="N2289" t="s">
        <v>1646</v>
      </c>
      <c r="O2289">
        <v>5951065</v>
      </c>
      <c r="Q2289" t="s">
        <v>2066</v>
      </c>
      <c r="R2289" t="s">
        <v>67</v>
      </c>
      <c r="S2289" t="s">
        <v>52</v>
      </c>
      <c r="U2289">
        <v>891368</v>
      </c>
      <c r="V2289" s="3">
        <v>46051.534722222219</v>
      </c>
      <c r="W2289" t="s">
        <v>1647</v>
      </c>
      <c r="X2289" t="s">
        <v>1648</v>
      </c>
      <c r="Y2289" t="str">
        <f>"0408979009"</f>
        <v>0408979009</v>
      </c>
      <c r="Z2289" t="s">
        <v>2276</v>
      </c>
      <c r="AB2289" t="s">
        <v>193</v>
      </c>
      <c r="AD2289" t="s">
        <v>61</v>
      </c>
      <c r="AE2289" t="s">
        <v>194</v>
      </c>
      <c r="AF2289">
        <v>2229</v>
      </c>
      <c r="AG2289" t="s">
        <v>129</v>
      </c>
      <c r="AI2289" t="s">
        <v>59</v>
      </c>
      <c r="AL2289" t="s">
        <v>4827</v>
      </c>
      <c r="AN2289" s="3">
        <v>46075.302777777775</v>
      </c>
      <c r="AO2289" t="s">
        <v>1647</v>
      </c>
    </row>
    <row r="2290" spans="1:41" x14ac:dyDescent="0.3">
      <c r="A2290" t="s">
        <v>61</v>
      </c>
      <c r="B2290" t="s">
        <v>3103</v>
      </c>
      <c r="C2290" t="s">
        <v>3104</v>
      </c>
      <c r="D2290" t="s">
        <v>127</v>
      </c>
      <c r="E2290" s="1">
        <v>46074</v>
      </c>
      <c r="F2290" t="s">
        <v>1374</v>
      </c>
      <c r="G2290" t="s">
        <v>485</v>
      </c>
      <c r="H2290" s="2">
        <v>0.79166666666666663</v>
      </c>
      <c r="I2290" s="2">
        <v>0.3125</v>
      </c>
      <c r="J2290" t="s">
        <v>464</v>
      </c>
      <c r="L2290" t="s">
        <v>464</v>
      </c>
      <c r="M2290" t="s">
        <v>2431</v>
      </c>
      <c r="N2290" t="s">
        <v>2432</v>
      </c>
      <c r="O2290">
        <v>21966</v>
      </c>
      <c r="Q2290" t="s">
        <v>4828</v>
      </c>
      <c r="R2290" t="s">
        <v>1302</v>
      </c>
      <c r="S2290" t="s">
        <v>52</v>
      </c>
      <c r="U2290">
        <v>891363</v>
      </c>
      <c r="V2290" s="3">
        <v>46074.620833333334</v>
      </c>
      <c r="W2290" t="s">
        <v>2433</v>
      </c>
      <c r="X2290" t="s">
        <v>2434</v>
      </c>
      <c r="Y2290" t="str">
        <f>"0498795565"</f>
        <v>0498795565</v>
      </c>
      <c r="Z2290" t="s">
        <v>123</v>
      </c>
      <c r="AB2290" t="s">
        <v>3106</v>
      </c>
      <c r="AD2290" t="s">
        <v>61</v>
      </c>
      <c r="AE2290" t="s">
        <v>3107</v>
      </c>
      <c r="AF2290">
        <v>2050</v>
      </c>
      <c r="AG2290" t="s">
        <v>4828</v>
      </c>
      <c r="AI2290" t="s">
        <v>59</v>
      </c>
      <c r="AL2290" t="s">
        <v>87</v>
      </c>
      <c r="AN2290" s="3">
        <v>46075.209027777775</v>
      </c>
      <c r="AO2290" t="s">
        <v>2433</v>
      </c>
    </row>
    <row r="2291" spans="1:41" x14ac:dyDescent="0.3">
      <c r="A2291" t="s">
        <v>61</v>
      </c>
      <c r="B2291" t="s">
        <v>507</v>
      </c>
      <c r="D2291" t="s">
        <v>63</v>
      </c>
      <c r="E2291" s="1">
        <v>46074</v>
      </c>
      <c r="F2291" t="s">
        <v>1374</v>
      </c>
      <c r="G2291" t="s">
        <v>485</v>
      </c>
      <c r="H2291" s="2">
        <v>0.79166666666666663</v>
      </c>
      <c r="I2291" s="2">
        <v>0.3125</v>
      </c>
      <c r="J2291" t="s">
        <v>296</v>
      </c>
      <c r="L2291" t="s">
        <v>713</v>
      </c>
      <c r="M2291" t="s">
        <v>3132</v>
      </c>
      <c r="N2291" t="s">
        <v>3133</v>
      </c>
      <c r="O2291">
        <v>5952470</v>
      </c>
      <c r="Q2291" t="s">
        <v>3005</v>
      </c>
      <c r="R2291" t="s">
        <v>67</v>
      </c>
      <c r="S2291" t="s">
        <v>52</v>
      </c>
      <c r="U2291">
        <v>891367</v>
      </c>
      <c r="V2291" s="3">
        <v>46062.590277777781</v>
      </c>
      <c r="W2291" t="s">
        <v>3134</v>
      </c>
      <c r="X2291" t="s">
        <v>3135</v>
      </c>
      <c r="Y2291" t="str">
        <f>"0409669602"</f>
        <v>0409669602</v>
      </c>
      <c r="Z2291" t="s">
        <v>2903</v>
      </c>
      <c r="AB2291" t="s">
        <v>514</v>
      </c>
      <c r="AD2291" t="s">
        <v>61</v>
      </c>
      <c r="AE2291" t="s">
        <v>515</v>
      </c>
      <c r="AF2291">
        <v>2086</v>
      </c>
      <c r="AG2291" t="s">
        <v>516</v>
      </c>
      <c r="AI2291" t="s">
        <v>59</v>
      </c>
      <c r="AL2291" t="s">
        <v>1088</v>
      </c>
      <c r="AN2291" s="3">
        <v>46075.292361111111</v>
      </c>
      <c r="AO2291" t="s">
        <v>3134</v>
      </c>
    </row>
    <row r="2292" spans="1:41" x14ac:dyDescent="0.3">
      <c r="A2292" t="s">
        <v>61</v>
      </c>
      <c r="B2292" t="s">
        <v>507</v>
      </c>
      <c r="C2292" t="s">
        <v>2889</v>
      </c>
      <c r="D2292" t="s">
        <v>63</v>
      </c>
      <c r="E2292" s="1">
        <v>46074</v>
      </c>
      <c r="F2292" t="s">
        <v>1374</v>
      </c>
      <c r="G2292" t="s">
        <v>485</v>
      </c>
      <c r="H2292" s="2">
        <v>0.79166666666666663</v>
      </c>
      <c r="I2292" s="2">
        <v>0.3125</v>
      </c>
      <c r="J2292" t="s">
        <v>269</v>
      </c>
      <c r="L2292" t="s">
        <v>633</v>
      </c>
      <c r="M2292" t="s">
        <v>4410</v>
      </c>
      <c r="N2292" t="s">
        <v>4411</v>
      </c>
      <c r="O2292">
        <v>402158</v>
      </c>
      <c r="Q2292" t="s">
        <v>2895</v>
      </c>
      <c r="R2292" t="s">
        <v>132</v>
      </c>
      <c r="S2292" t="s">
        <v>52</v>
      </c>
      <c r="U2292">
        <v>891369</v>
      </c>
      <c r="V2292" s="3">
        <v>46051.465277777781</v>
      </c>
      <c r="W2292" t="s">
        <v>4412</v>
      </c>
      <c r="X2292" t="s">
        <v>4413</v>
      </c>
      <c r="Y2292" t="str">
        <f>"0423590735"</f>
        <v>0423590735</v>
      </c>
      <c r="Z2292" t="s">
        <v>366</v>
      </c>
      <c r="AB2292" t="s">
        <v>514</v>
      </c>
      <c r="AD2292" t="s">
        <v>61</v>
      </c>
      <c r="AE2292" t="s">
        <v>515</v>
      </c>
      <c r="AF2292">
        <v>2086</v>
      </c>
      <c r="AG2292" t="s">
        <v>2895</v>
      </c>
      <c r="AI2292" t="s">
        <v>59</v>
      </c>
      <c r="AL2292" t="s">
        <v>1088</v>
      </c>
      <c r="AN2292" s="3">
        <v>46075.31527777778</v>
      </c>
      <c r="AO2292" t="s">
        <v>4412</v>
      </c>
    </row>
    <row r="2293" spans="1:41" x14ac:dyDescent="0.3">
      <c r="A2293" t="s">
        <v>41</v>
      </c>
      <c r="B2293" t="s">
        <v>1452</v>
      </c>
      <c r="D2293" t="s">
        <v>246</v>
      </c>
      <c r="E2293" s="1">
        <v>46074</v>
      </c>
      <c r="F2293" t="s">
        <v>1374</v>
      </c>
      <c r="G2293" t="s">
        <v>45</v>
      </c>
      <c r="H2293" s="2">
        <v>0.875</v>
      </c>
      <c r="I2293" s="2">
        <v>0.3125</v>
      </c>
      <c r="J2293" t="s">
        <v>296</v>
      </c>
      <c r="L2293" t="s">
        <v>1453</v>
      </c>
      <c r="M2293" t="s">
        <v>1454</v>
      </c>
      <c r="N2293" t="s">
        <v>1455</v>
      </c>
      <c r="O2293">
        <v>5951941</v>
      </c>
      <c r="Q2293" t="s">
        <v>1456</v>
      </c>
      <c r="R2293" t="s">
        <v>1457</v>
      </c>
      <c r="S2293" t="s">
        <v>52</v>
      </c>
      <c r="T2293" t="s">
        <v>252</v>
      </c>
      <c r="U2293">
        <v>891625</v>
      </c>
      <c r="V2293" s="3">
        <v>46077.590277777781</v>
      </c>
      <c r="W2293" t="s">
        <v>1457</v>
      </c>
      <c r="X2293" t="s">
        <v>1458</v>
      </c>
      <c r="Y2293" t="str">
        <f>"0413847722"</f>
        <v>0413847722</v>
      </c>
      <c r="Z2293" t="s">
        <v>1635</v>
      </c>
      <c r="AA2293" s="1">
        <v>46097</v>
      </c>
      <c r="AB2293" t="s">
        <v>1459</v>
      </c>
      <c r="AD2293" t="s">
        <v>41</v>
      </c>
      <c r="AE2293" t="s">
        <v>1460</v>
      </c>
      <c r="AF2293">
        <v>4740</v>
      </c>
      <c r="AG2293" t="s">
        <v>4001</v>
      </c>
      <c r="AI2293" t="s">
        <v>59</v>
      </c>
      <c r="AJ2293" t="str">
        <f>"0050076628"</f>
        <v>0050076628</v>
      </c>
      <c r="AN2293" s="3">
        <v>46077.590277777781</v>
      </c>
      <c r="AO2293" t="s">
        <v>1457</v>
      </c>
    </row>
    <row r="2294" spans="1:41" x14ac:dyDescent="0.3">
      <c r="A2294" t="s">
        <v>306</v>
      </c>
      <c r="B2294" t="s">
        <v>528</v>
      </c>
      <c r="C2294" t="s">
        <v>529</v>
      </c>
      <c r="D2294" t="s">
        <v>63</v>
      </c>
      <c r="E2294" s="1">
        <v>46074</v>
      </c>
      <c r="F2294" t="s">
        <v>1374</v>
      </c>
      <c r="G2294" t="s">
        <v>485</v>
      </c>
      <c r="H2294" s="2">
        <v>0.89583333333333337</v>
      </c>
      <c r="I2294" s="2">
        <v>0.3125</v>
      </c>
      <c r="J2294" t="s">
        <v>529</v>
      </c>
      <c r="K2294" t="s">
        <v>530</v>
      </c>
      <c r="L2294" t="s">
        <v>531</v>
      </c>
      <c r="M2294" t="s">
        <v>532</v>
      </c>
      <c r="N2294" t="s">
        <v>533</v>
      </c>
      <c r="O2294">
        <v>20495</v>
      </c>
      <c r="Q2294" t="s">
        <v>4829</v>
      </c>
      <c r="R2294" t="s">
        <v>1302</v>
      </c>
      <c r="S2294" t="s">
        <v>52</v>
      </c>
      <c r="U2294">
        <v>891365</v>
      </c>
      <c r="V2294" s="3">
        <v>46074.672222222223</v>
      </c>
      <c r="W2294" t="s">
        <v>535</v>
      </c>
      <c r="X2294" t="s">
        <v>536</v>
      </c>
      <c r="Y2294" t="str">
        <f>"0447625522"</f>
        <v>0447625522</v>
      </c>
      <c r="Z2294" t="s">
        <v>70</v>
      </c>
      <c r="AA2294" s="1">
        <v>46074</v>
      </c>
      <c r="AB2294" t="s">
        <v>537</v>
      </c>
      <c r="AD2294" t="s">
        <v>306</v>
      </c>
      <c r="AE2294" t="s">
        <v>538</v>
      </c>
      <c r="AF2294">
        <v>3152</v>
      </c>
      <c r="AG2294" t="s">
        <v>4161</v>
      </c>
      <c r="AI2294" t="s">
        <v>59</v>
      </c>
      <c r="AL2294" t="s">
        <v>4830</v>
      </c>
      <c r="AN2294" s="3">
        <v>46075.268055555556</v>
      </c>
      <c r="AO2294" t="s">
        <v>535</v>
      </c>
    </row>
    <row r="2295" spans="1:41" x14ac:dyDescent="0.3">
      <c r="A2295" t="s">
        <v>61</v>
      </c>
      <c r="B2295" t="s">
        <v>350</v>
      </c>
      <c r="C2295" t="s">
        <v>484</v>
      </c>
      <c r="D2295" t="s">
        <v>63</v>
      </c>
      <c r="E2295" s="1">
        <v>46074</v>
      </c>
      <c r="F2295" t="s">
        <v>1374</v>
      </c>
      <c r="G2295" t="s">
        <v>485</v>
      </c>
      <c r="H2295" s="2">
        <v>0.89583333333333337</v>
      </c>
      <c r="I2295" s="2">
        <v>0.29166666666666669</v>
      </c>
      <c r="J2295" t="s">
        <v>486</v>
      </c>
      <c r="L2295" t="s">
        <v>487</v>
      </c>
      <c r="M2295" t="s">
        <v>1490</v>
      </c>
      <c r="N2295" t="s">
        <v>1491</v>
      </c>
      <c r="O2295">
        <v>21218</v>
      </c>
      <c r="Q2295" t="s">
        <v>4831</v>
      </c>
      <c r="R2295" t="s">
        <v>1302</v>
      </c>
      <c r="S2295" t="s">
        <v>52</v>
      </c>
      <c r="U2295">
        <v>891366</v>
      </c>
      <c r="V2295" s="3">
        <v>46074.740277777775</v>
      </c>
      <c r="W2295" t="s">
        <v>1493</v>
      </c>
      <c r="X2295" t="s">
        <v>1494</v>
      </c>
      <c r="Y2295" t="str">
        <f>"0401746606"</f>
        <v>0401746606</v>
      </c>
      <c r="Z2295" t="s">
        <v>123</v>
      </c>
      <c r="AB2295" t="s">
        <v>356</v>
      </c>
      <c r="AD2295" t="s">
        <v>61</v>
      </c>
      <c r="AE2295" t="s">
        <v>357</v>
      </c>
      <c r="AF2295">
        <v>2153</v>
      </c>
      <c r="AG2295" t="s">
        <v>4832</v>
      </c>
      <c r="AI2295" t="s">
        <v>59</v>
      </c>
      <c r="AL2295" t="s">
        <v>87</v>
      </c>
      <c r="AN2295" s="3">
        <v>46075.285416666666</v>
      </c>
      <c r="AO2295" t="s">
        <v>1493</v>
      </c>
    </row>
    <row r="2296" spans="1:41" x14ac:dyDescent="0.3">
      <c r="A2296" t="s">
        <v>306</v>
      </c>
      <c r="B2296" t="s">
        <v>4833</v>
      </c>
      <c r="D2296" t="s">
        <v>184</v>
      </c>
      <c r="E2296" s="1">
        <v>46074</v>
      </c>
      <c r="F2296" t="s">
        <v>1374</v>
      </c>
      <c r="G2296" t="s">
        <v>485</v>
      </c>
      <c r="H2296" s="2">
        <v>0.91666666666666663</v>
      </c>
      <c r="I2296" s="2">
        <v>0.3125</v>
      </c>
      <c r="J2296" t="s">
        <v>496</v>
      </c>
      <c r="L2296" t="s">
        <v>1675</v>
      </c>
      <c r="M2296" t="s">
        <v>1576</v>
      </c>
      <c r="N2296" t="s">
        <v>1676</v>
      </c>
      <c r="O2296">
        <v>20292</v>
      </c>
      <c r="Q2296" t="s">
        <v>413</v>
      </c>
      <c r="R2296" t="s">
        <v>759</v>
      </c>
      <c r="S2296" t="s">
        <v>119</v>
      </c>
      <c r="T2296" t="s">
        <v>760</v>
      </c>
      <c r="U2296" t="s">
        <v>4834</v>
      </c>
      <c r="V2296" s="3">
        <v>46091.445833333331</v>
      </c>
      <c r="W2296" t="s">
        <v>1678</v>
      </c>
      <c r="X2296" t="s">
        <v>1679</v>
      </c>
      <c r="Y2296" t="str">
        <f>"0490774941"</f>
        <v>0490774941</v>
      </c>
      <c r="Z2296" t="s">
        <v>70</v>
      </c>
      <c r="AB2296" t="s">
        <v>4835</v>
      </c>
      <c r="AD2296" t="s">
        <v>306</v>
      </c>
      <c r="AE2296" t="s">
        <v>4836</v>
      </c>
      <c r="AF2296">
        <v>3076</v>
      </c>
      <c r="AG2296" t="s">
        <v>413</v>
      </c>
      <c r="AI2296" t="s">
        <v>59</v>
      </c>
      <c r="AM2296" t="s">
        <v>4837</v>
      </c>
      <c r="AN2296" s="3">
        <v>46091.445833333331</v>
      </c>
      <c r="AO2296" t="s">
        <v>759</v>
      </c>
    </row>
    <row r="2297" spans="1:41" x14ac:dyDescent="0.3">
      <c r="A2297" t="s">
        <v>306</v>
      </c>
      <c r="B2297" t="s">
        <v>4833</v>
      </c>
      <c r="D2297" t="s">
        <v>184</v>
      </c>
      <c r="E2297" s="1">
        <v>46074</v>
      </c>
      <c r="F2297" t="s">
        <v>1374</v>
      </c>
      <c r="G2297" t="s">
        <v>485</v>
      </c>
      <c r="H2297" s="2">
        <v>0.91666666666666663</v>
      </c>
      <c r="I2297" s="2">
        <v>0.3125</v>
      </c>
      <c r="J2297" t="s">
        <v>496</v>
      </c>
      <c r="L2297" t="s">
        <v>1675</v>
      </c>
      <c r="M2297" t="s">
        <v>1576</v>
      </c>
      <c r="N2297" t="s">
        <v>1676</v>
      </c>
      <c r="O2297">
        <v>20292</v>
      </c>
      <c r="Q2297" t="s">
        <v>413</v>
      </c>
      <c r="R2297" t="s">
        <v>759</v>
      </c>
      <c r="S2297" t="s">
        <v>119</v>
      </c>
      <c r="T2297" t="s">
        <v>760</v>
      </c>
      <c r="U2297" t="s">
        <v>4838</v>
      </c>
      <c r="V2297" s="3">
        <v>46091.445833333331</v>
      </c>
      <c r="W2297" t="s">
        <v>1678</v>
      </c>
      <c r="X2297" t="s">
        <v>1679</v>
      </c>
      <c r="Y2297" t="str">
        <f>"0490774941"</f>
        <v>0490774941</v>
      </c>
      <c r="Z2297" t="s">
        <v>70</v>
      </c>
      <c r="AB2297" t="s">
        <v>4835</v>
      </c>
      <c r="AD2297" t="s">
        <v>306</v>
      </c>
      <c r="AE2297" t="s">
        <v>4836</v>
      </c>
      <c r="AF2297">
        <v>3076</v>
      </c>
      <c r="AG2297" t="s">
        <v>413</v>
      </c>
      <c r="AI2297" t="s">
        <v>59</v>
      </c>
      <c r="AM2297" t="s">
        <v>4837</v>
      </c>
      <c r="AN2297" s="3">
        <v>46091.445833333331</v>
      </c>
      <c r="AO2297" t="s">
        <v>759</v>
      </c>
    </row>
    <row r="2298" spans="1:41" x14ac:dyDescent="0.3">
      <c r="A2298" t="s">
        <v>306</v>
      </c>
      <c r="B2298" t="s">
        <v>4833</v>
      </c>
      <c r="D2298" t="s">
        <v>184</v>
      </c>
      <c r="E2298" s="1">
        <v>46074</v>
      </c>
      <c r="F2298" t="s">
        <v>1374</v>
      </c>
      <c r="G2298" t="s">
        <v>485</v>
      </c>
      <c r="H2298" s="2">
        <v>0.91666666666666663</v>
      </c>
      <c r="I2298" s="2">
        <v>0.3125</v>
      </c>
      <c r="J2298" t="s">
        <v>2948</v>
      </c>
      <c r="L2298" t="s">
        <v>1675</v>
      </c>
      <c r="M2298" t="s">
        <v>1576</v>
      </c>
      <c r="N2298" t="s">
        <v>1676</v>
      </c>
      <c r="O2298">
        <v>20292</v>
      </c>
      <c r="Q2298" t="s">
        <v>413</v>
      </c>
      <c r="R2298" t="s">
        <v>1302</v>
      </c>
      <c r="S2298" t="s">
        <v>119</v>
      </c>
      <c r="T2298" t="s">
        <v>414</v>
      </c>
      <c r="U2298">
        <v>891502</v>
      </c>
      <c r="V2298" s="3">
        <v>46074.667361111111</v>
      </c>
      <c r="W2298" t="s">
        <v>1678</v>
      </c>
      <c r="X2298" t="s">
        <v>1679</v>
      </c>
      <c r="Y2298" t="str">
        <f>"0490774941"</f>
        <v>0490774941</v>
      </c>
      <c r="Z2298" t="s">
        <v>70</v>
      </c>
      <c r="AB2298" t="s">
        <v>4835</v>
      </c>
      <c r="AD2298" t="s">
        <v>306</v>
      </c>
      <c r="AE2298" t="s">
        <v>4836</v>
      </c>
      <c r="AF2298">
        <v>3076</v>
      </c>
      <c r="AI2298" t="s">
        <v>59</v>
      </c>
      <c r="AL2298" t="s">
        <v>4839</v>
      </c>
      <c r="AM2298" t="s">
        <v>4840</v>
      </c>
      <c r="AN2298" s="3">
        <v>46074.668749999997</v>
      </c>
      <c r="AO2298" t="s">
        <v>1302</v>
      </c>
    </row>
    <row r="2299" spans="1:41" x14ac:dyDescent="0.3">
      <c r="A2299" t="s">
        <v>61</v>
      </c>
      <c r="B2299" t="s">
        <v>753</v>
      </c>
      <c r="C2299" t="s">
        <v>2343</v>
      </c>
      <c r="D2299" t="s">
        <v>754</v>
      </c>
      <c r="E2299" s="1">
        <v>46074</v>
      </c>
      <c r="F2299" t="s">
        <v>1374</v>
      </c>
      <c r="G2299" t="s">
        <v>485</v>
      </c>
      <c r="H2299" s="2">
        <v>0.94791666666666663</v>
      </c>
      <c r="I2299" s="2">
        <v>0.30208333333333331</v>
      </c>
      <c r="J2299" t="s">
        <v>590</v>
      </c>
      <c r="L2299" t="s">
        <v>487</v>
      </c>
      <c r="M2299" t="s">
        <v>488</v>
      </c>
      <c r="N2299" t="s">
        <v>489</v>
      </c>
      <c r="O2299">
        <v>5951809</v>
      </c>
      <c r="Q2299" t="s">
        <v>758</v>
      </c>
      <c r="R2299" t="s">
        <v>132</v>
      </c>
      <c r="S2299" t="s">
        <v>52</v>
      </c>
      <c r="U2299">
        <v>891364</v>
      </c>
      <c r="V2299" s="3">
        <v>46066.474999999999</v>
      </c>
      <c r="W2299" t="s">
        <v>491</v>
      </c>
      <c r="X2299" t="s">
        <v>492</v>
      </c>
      <c r="Y2299" t="str">
        <f>"0431000508"</f>
        <v>0431000508</v>
      </c>
      <c r="Z2299" t="s">
        <v>4175</v>
      </c>
      <c r="AB2299" t="s">
        <v>764</v>
      </c>
      <c r="AD2299" t="s">
        <v>61</v>
      </c>
      <c r="AE2299" t="s">
        <v>765</v>
      </c>
      <c r="AF2299">
        <v>2220</v>
      </c>
      <c r="AG2299" t="s">
        <v>758</v>
      </c>
      <c r="AI2299" t="s">
        <v>59</v>
      </c>
      <c r="AL2299" t="s">
        <v>1088</v>
      </c>
      <c r="AN2299" s="3">
        <v>46075.247916666667</v>
      </c>
      <c r="AO2299" t="s">
        <v>491</v>
      </c>
    </row>
    <row r="2300" spans="1:41" x14ac:dyDescent="0.3">
      <c r="A2300" t="s">
        <v>41</v>
      </c>
      <c r="B2300" t="s">
        <v>589</v>
      </c>
      <c r="C2300" t="s">
        <v>590</v>
      </c>
      <c r="D2300" t="s">
        <v>246</v>
      </c>
      <c r="E2300" s="1">
        <v>46074</v>
      </c>
      <c r="F2300" t="s">
        <v>1374</v>
      </c>
      <c r="G2300" t="s">
        <v>45</v>
      </c>
      <c r="H2300" s="2">
        <v>0.94791666666666663</v>
      </c>
      <c r="I2300" s="2">
        <v>0.30208333333333331</v>
      </c>
      <c r="J2300" t="s">
        <v>591</v>
      </c>
      <c r="L2300" t="s">
        <v>592</v>
      </c>
      <c r="M2300" t="s">
        <v>593</v>
      </c>
      <c r="N2300" t="s">
        <v>594</v>
      </c>
      <c r="O2300">
        <v>5952427</v>
      </c>
      <c r="P2300" t="s">
        <v>249</v>
      </c>
      <c r="Q2300" t="s">
        <v>596</v>
      </c>
      <c r="R2300" t="s">
        <v>597</v>
      </c>
      <c r="S2300" t="s">
        <v>52</v>
      </c>
      <c r="T2300" t="s">
        <v>252</v>
      </c>
      <c r="U2300">
        <v>891433</v>
      </c>
      <c r="V2300" s="3">
        <v>46076.399305555555</v>
      </c>
      <c r="W2300" t="s">
        <v>597</v>
      </c>
      <c r="X2300" t="s">
        <v>598</v>
      </c>
      <c r="Y2300" t="str">
        <f>"0432677728"</f>
        <v>0432677728</v>
      </c>
      <c r="Z2300" t="s">
        <v>290</v>
      </c>
      <c r="AA2300" s="1">
        <v>46082</v>
      </c>
      <c r="AB2300" t="s">
        <v>599</v>
      </c>
      <c r="AC2300" t="s">
        <v>600</v>
      </c>
      <c r="AD2300" t="s">
        <v>41</v>
      </c>
      <c r="AE2300" t="s">
        <v>600</v>
      </c>
      <c r="AF2300">
        <v>4610</v>
      </c>
      <c r="AG2300" t="s">
        <v>3495</v>
      </c>
      <c r="AI2300" t="s">
        <v>59</v>
      </c>
      <c r="AJ2300" t="str">
        <f>"0050075752"</f>
        <v>0050075752</v>
      </c>
      <c r="AN2300" s="3">
        <v>46076.399305555555</v>
      </c>
      <c r="AO2300" t="s">
        <v>597</v>
      </c>
    </row>
    <row r="2301" spans="1:41" x14ac:dyDescent="0.3">
      <c r="A2301" t="s">
        <v>41</v>
      </c>
      <c r="B2301" t="s">
        <v>589</v>
      </c>
      <c r="C2301" t="s">
        <v>590</v>
      </c>
      <c r="D2301" t="s">
        <v>246</v>
      </c>
      <c r="E2301" s="1">
        <v>46044</v>
      </c>
      <c r="F2301" t="s">
        <v>621</v>
      </c>
      <c r="G2301" t="s">
        <v>45</v>
      </c>
      <c r="H2301" s="2">
        <v>0.29166666666666669</v>
      </c>
      <c r="I2301" s="2">
        <v>0.64583333333333337</v>
      </c>
      <c r="J2301" t="s">
        <v>591</v>
      </c>
      <c r="L2301" t="s">
        <v>592</v>
      </c>
      <c r="M2301" t="s">
        <v>593</v>
      </c>
      <c r="N2301" t="s">
        <v>594</v>
      </c>
      <c r="O2301">
        <v>5952427</v>
      </c>
      <c r="P2301" t="s">
        <v>249</v>
      </c>
      <c r="Q2301" t="s">
        <v>596</v>
      </c>
      <c r="R2301" t="s">
        <v>392</v>
      </c>
      <c r="S2301" t="s">
        <v>52</v>
      </c>
      <c r="T2301" t="s">
        <v>252</v>
      </c>
      <c r="U2301">
        <v>888371</v>
      </c>
      <c r="V2301" s="3">
        <v>46049.378472222219</v>
      </c>
      <c r="W2301" t="s">
        <v>597</v>
      </c>
      <c r="X2301" t="s">
        <v>598</v>
      </c>
      <c r="Y2301" t="str">
        <f>"0432677728"</f>
        <v>0432677728</v>
      </c>
      <c r="Z2301" t="s">
        <v>545</v>
      </c>
      <c r="AA2301" s="1">
        <v>46054</v>
      </c>
      <c r="AB2301" t="s">
        <v>599</v>
      </c>
      <c r="AC2301" t="s">
        <v>600</v>
      </c>
      <c r="AD2301" t="s">
        <v>41</v>
      </c>
      <c r="AE2301" t="s">
        <v>600</v>
      </c>
      <c r="AF2301">
        <v>4610</v>
      </c>
      <c r="AG2301" t="s">
        <v>601</v>
      </c>
      <c r="AI2301" t="s">
        <v>59</v>
      </c>
      <c r="AJ2301" t="str">
        <f>"0050075752"</f>
        <v>0050075752</v>
      </c>
      <c r="AN2301" s="3">
        <v>46049.378472222219</v>
      </c>
      <c r="AO2301" t="s">
        <v>392</v>
      </c>
    </row>
    <row r="2302" spans="1:41" x14ac:dyDescent="0.3">
      <c r="A2302" t="s">
        <v>168</v>
      </c>
      <c r="B2302" t="s">
        <v>607</v>
      </c>
      <c r="C2302" t="s">
        <v>267</v>
      </c>
      <c r="D2302" t="s">
        <v>268</v>
      </c>
      <c r="E2302" s="1">
        <v>46044</v>
      </c>
      <c r="F2302" t="s">
        <v>621</v>
      </c>
      <c r="G2302" t="s">
        <v>45</v>
      </c>
      <c r="H2302" s="2">
        <v>0.33333333333333331</v>
      </c>
      <c r="I2302" s="2">
        <v>0.6875</v>
      </c>
      <c r="J2302" t="s">
        <v>269</v>
      </c>
      <c r="K2302" t="s">
        <v>608</v>
      </c>
      <c r="L2302" t="s">
        <v>609</v>
      </c>
      <c r="M2302" t="s">
        <v>610</v>
      </c>
      <c r="N2302" t="s">
        <v>611</v>
      </c>
      <c r="O2302">
        <v>5952121</v>
      </c>
      <c r="P2302" t="s">
        <v>249</v>
      </c>
      <c r="Q2302" t="s">
        <v>612</v>
      </c>
      <c r="R2302" t="s">
        <v>613</v>
      </c>
      <c r="S2302" t="s">
        <v>52</v>
      </c>
      <c r="T2302" t="s">
        <v>252</v>
      </c>
      <c r="U2302">
        <v>888334</v>
      </c>
      <c r="V2302" s="3">
        <v>46048.029166666667</v>
      </c>
      <c r="W2302" t="s">
        <v>613</v>
      </c>
      <c r="X2302" t="s">
        <v>614</v>
      </c>
      <c r="Y2302" t="str">
        <f>"0412297150"</f>
        <v>0412297150</v>
      </c>
      <c r="Z2302" t="s">
        <v>527</v>
      </c>
      <c r="AA2302" s="1">
        <v>46077</v>
      </c>
      <c r="AB2302" t="s">
        <v>615</v>
      </c>
      <c r="AC2302" t="s">
        <v>616</v>
      </c>
      <c r="AD2302" t="s">
        <v>168</v>
      </c>
      <c r="AE2302" t="s">
        <v>617</v>
      </c>
      <c r="AF2302">
        <v>5290</v>
      </c>
      <c r="AG2302" t="s">
        <v>618</v>
      </c>
      <c r="AI2302" t="s">
        <v>59</v>
      </c>
      <c r="AJ2302" t="str">
        <f>"0020171780"</f>
        <v>0020171780</v>
      </c>
      <c r="AM2302" t="s">
        <v>2441</v>
      </c>
      <c r="AN2302" s="3">
        <v>46048.029166666667</v>
      </c>
      <c r="AO2302" t="s">
        <v>613</v>
      </c>
    </row>
    <row r="2303" spans="1:41" x14ac:dyDescent="0.3">
      <c r="A2303" t="s">
        <v>168</v>
      </c>
      <c r="B2303" t="s">
        <v>689</v>
      </c>
      <c r="C2303" t="s">
        <v>43</v>
      </c>
      <c r="D2303" t="s">
        <v>268</v>
      </c>
      <c r="E2303" s="1">
        <v>46044</v>
      </c>
      <c r="F2303" t="s">
        <v>621</v>
      </c>
      <c r="G2303" t="s">
        <v>45</v>
      </c>
      <c r="H2303" s="2">
        <v>0.33333333333333331</v>
      </c>
      <c r="I2303" s="2">
        <v>0.6875</v>
      </c>
      <c r="J2303" t="s">
        <v>100</v>
      </c>
      <c r="L2303" t="s">
        <v>100</v>
      </c>
      <c r="M2303" t="s">
        <v>402</v>
      </c>
      <c r="N2303" t="s">
        <v>403</v>
      </c>
      <c r="O2303">
        <v>21398</v>
      </c>
      <c r="P2303" t="s">
        <v>249</v>
      </c>
      <c r="Q2303" t="s">
        <v>2110</v>
      </c>
      <c r="R2303" t="s">
        <v>405</v>
      </c>
      <c r="S2303" t="s">
        <v>52</v>
      </c>
      <c r="T2303" t="s">
        <v>252</v>
      </c>
      <c r="U2303">
        <v>888375</v>
      </c>
      <c r="V2303" s="3">
        <v>46049.447222222225</v>
      </c>
      <c r="W2303" t="s">
        <v>405</v>
      </c>
      <c r="X2303" t="s">
        <v>406</v>
      </c>
      <c r="Y2303" t="str">
        <f>"0423877972"</f>
        <v>0423877972</v>
      </c>
      <c r="Z2303" t="s">
        <v>290</v>
      </c>
      <c r="AA2303" s="1">
        <v>46075</v>
      </c>
      <c r="AB2303" t="s">
        <v>695</v>
      </c>
      <c r="AD2303" t="s">
        <v>168</v>
      </c>
      <c r="AE2303" t="s">
        <v>696</v>
      </c>
      <c r="AF2303">
        <v>5606</v>
      </c>
      <c r="AG2303" t="s">
        <v>866</v>
      </c>
      <c r="AI2303" t="s">
        <v>59</v>
      </c>
      <c r="AJ2303" t="str">
        <f>"0020185674"</f>
        <v>0020185674</v>
      </c>
      <c r="AN2303" s="3">
        <v>46049.447222222225</v>
      </c>
      <c r="AO2303" t="s">
        <v>405</v>
      </c>
    </row>
    <row r="2304" spans="1:41" x14ac:dyDescent="0.3">
      <c r="A2304" t="s">
        <v>41</v>
      </c>
      <c r="B2304" t="s">
        <v>568</v>
      </c>
      <c r="D2304" t="s">
        <v>246</v>
      </c>
      <c r="E2304" s="1">
        <v>46044</v>
      </c>
      <c r="F2304" t="s">
        <v>621</v>
      </c>
      <c r="G2304" t="s">
        <v>128</v>
      </c>
      <c r="H2304" s="2">
        <v>0.52083333333333337</v>
      </c>
      <c r="I2304" s="2">
        <v>0.875</v>
      </c>
      <c r="J2304" t="s">
        <v>269</v>
      </c>
      <c r="L2304" t="s">
        <v>172</v>
      </c>
      <c r="M2304" t="s">
        <v>311</v>
      </c>
      <c r="N2304" t="s">
        <v>570</v>
      </c>
      <c r="O2304">
        <v>5951685</v>
      </c>
      <c r="P2304" t="s">
        <v>571</v>
      </c>
      <c r="Q2304" t="s">
        <v>572</v>
      </c>
      <c r="R2304" t="s">
        <v>573</v>
      </c>
      <c r="S2304" t="s">
        <v>52</v>
      </c>
      <c r="T2304" t="s">
        <v>252</v>
      </c>
      <c r="U2304">
        <v>888436</v>
      </c>
      <c r="V2304" s="3">
        <v>46049.585416666669</v>
      </c>
      <c r="W2304" t="s">
        <v>574</v>
      </c>
      <c r="X2304" t="s">
        <v>575</v>
      </c>
      <c r="Y2304" t="str">
        <f>"0407007024"</f>
        <v>0407007024</v>
      </c>
      <c r="Z2304" t="s">
        <v>2417</v>
      </c>
      <c r="AA2304" s="1">
        <v>46075</v>
      </c>
      <c r="AB2304" t="s">
        <v>576</v>
      </c>
      <c r="AD2304" t="s">
        <v>41</v>
      </c>
      <c r="AE2304" t="s">
        <v>577</v>
      </c>
      <c r="AF2304">
        <v>4700</v>
      </c>
      <c r="AG2304" t="s">
        <v>572</v>
      </c>
      <c r="AI2304" t="s">
        <v>59</v>
      </c>
      <c r="AJ2304" t="str">
        <f>"0050076113"</f>
        <v>0050076113</v>
      </c>
      <c r="AN2304" s="3">
        <v>46049.585416666669</v>
      </c>
      <c r="AO2304" t="s">
        <v>573</v>
      </c>
    </row>
    <row r="2305" spans="1:41" x14ac:dyDescent="0.3">
      <c r="A2305" t="s">
        <v>41</v>
      </c>
      <c r="B2305" t="s">
        <v>568</v>
      </c>
      <c r="C2305" t="s">
        <v>602</v>
      </c>
      <c r="D2305" t="s">
        <v>246</v>
      </c>
      <c r="E2305" s="1">
        <v>46044</v>
      </c>
      <c r="F2305" t="s">
        <v>621</v>
      </c>
      <c r="G2305" t="s">
        <v>485</v>
      </c>
      <c r="H2305" s="2">
        <v>0.94791666666666663</v>
      </c>
      <c r="I2305" s="2">
        <v>0.30208333333333331</v>
      </c>
      <c r="J2305" t="s">
        <v>269</v>
      </c>
      <c r="L2305" t="s">
        <v>47</v>
      </c>
      <c r="M2305" t="s">
        <v>603</v>
      </c>
      <c r="N2305" t="s">
        <v>604</v>
      </c>
      <c r="O2305">
        <v>80</v>
      </c>
      <c r="P2305" t="s">
        <v>571</v>
      </c>
      <c r="Q2305" t="s">
        <v>572</v>
      </c>
      <c r="R2305" t="s">
        <v>573</v>
      </c>
      <c r="S2305" t="s">
        <v>52</v>
      </c>
      <c r="T2305" t="s">
        <v>252</v>
      </c>
      <c r="U2305">
        <v>888443</v>
      </c>
      <c r="V2305" s="3">
        <v>46049.587500000001</v>
      </c>
      <c r="W2305" t="s">
        <v>605</v>
      </c>
      <c r="X2305" t="s">
        <v>606</v>
      </c>
      <c r="Y2305" t="str">
        <f>"0414330986"</f>
        <v>0414330986</v>
      </c>
      <c r="Z2305" t="s">
        <v>345</v>
      </c>
      <c r="AA2305" s="1">
        <v>46068</v>
      </c>
      <c r="AB2305" t="s">
        <v>576</v>
      </c>
      <c r="AD2305" t="s">
        <v>41</v>
      </c>
      <c r="AE2305" t="s">
        <v>577</v>
      </c>
      <c r="AF2305">
        <v>4700</v>
      </c>
      <c r="AG2305" t="s">
        <v>572</v>
      </c>
      <c r="AI2305" t="s">
        <v>59</v>
      </c>
      <c r="AJ2305" t="str">
        <f>"0050075176"</f>
        <v>0050075176</v>
      </c>
      <c r="AN2305" s="3">
        <v>46049.587500000001</v>
      </c>
      <c r="AO2305" t="s">
        <v>573</v>
      </c>
    </row>
    <row r="2306" spans="1:41" x14ac:dyDescent="0.3">
      <c r="A2306" t="s">
        <v>306</v>
      </c>
      <c r="B2306" t="s">
        <v>386</v>
      </c>
      <c r="C2306" t="s">
        <v>387</v>
      </c>
      <c r="D2306" t="s">
        <v>388</v>
      </c>
      <c r="E2306" s="1">
        <v>46075</v>
      </c>
      <c r="F2306" t="s">
        <v>1617</v>
      </c>
      <c r="G2306" t="s">
        <v>45</v>
      </c>
      <c r="H2306" s="2">
        <v>0.25</v>
      </c>
      <c r="I2306" s="2">
        <v>0.25069444444444444</v>
      </c>
      <c r="J2306" t="s">
        <v>389</v>
      </c>
      <c r="L2306" t="s">
        <v>298</v>
      </c>
      <c r="M2306" t="s">
        <v>195</v>
      </c>
      <c r="N2306" t="s">
        <v>390</v>
      </c>
      <c r="O2306">
        <v>5951661</v>
      </c>
      <c r="P2306" t="s">
        <v>249</v>
      </c>
      <c r="Q2306" t="s">
        <v>391</v>
      </c>
      <c r="R2306" t="s">
        <v>392</v>
      </c>
      <c r="S2306" t="s">
        <v>52</v>
      </c>
      <c r="T2306" t="s">
        <v>252</v>
      </c>
      <c r="U2306">
        <v>891607</v>
      </c>
      <c r="V2306" s="3">
        <v>46077.560416666667</v>
      </c>
      <c r="W2306" t="s">
        <v>393</v>
      </c>
      <c r="X2306" t="s">
        <v>394</v>
      </c>
      <c r="Y2306" t="str">
        <f>"0427371732"</f>
        <v>0427371732</v>
      </c>
      <c r="Z2306" t="s">
        <v>70</v>
      </c>
      <c r="AA2306" s="1">
        <v>46141</v>
      </c>
      <c r="AB2306" t="s">
        <v>396</v>
      </c>
      <c r="AD2306" t="s">
        <v>397</v>
      </c>
      <c r="AE2306" t="s">
        <v>398</v>
      </c>
      <c r="AF2306">
        <v>7919</v>
      </c>
      <c r="AG2306" t="s">
        <v>399</v>
      </c>
      <c r="AI2306" t="s">
        <v>59</v>
      </c>
      <c r="AJ2306" t="str">
        <f>"0090000067"</f>
        <v>0090000067</v>
      </c>
      <c r="AN2306" s="3">
        <v>46077.560416666667</v>
      </c>
      <c r="AO2306" t="s">
        <v>392</v>
      </c>
    </row>
    <row r="2307" spans="1:41" x14ac:dyDescent="0.3">
      <c r="A2307" t="s">
        <v>168</v>
      </c>
      <c r="B2307" t="s">
        <v>689</v>
      </c>
      <c r="C2307" t="s">
        <v>1496</v>
      </c>
      <c r="D2307" t="s">
        <v>268</v>
      </c>
      <c r="E2307" s="1">
        <v>46075</v>
      </c>
      <c r="F2307" t="s">
        <v>1617</v>
      </c>
      <c r="G2307" t="s">
        <v>45</v>
      </c>
      <c r="H2307" s="2">
        <v>0.25</v>
      </c>
      <c r="I2307" s="2">
        <v>0.25347222222222221</v>
      </c>
      <c r="J2307" t="s">
        <v>46</v>
      </c>
      <c r="L2307" t="s">
        <v>47</v>
      </c>
      <c r="M2307" t="s">
        <v>1497</v>
      </c>
      <c r="N2307" t="s">
        <v>465</v>
      </c>
      <c r="O2307">
        <v>5950806</v>
      </c>
      <c r="P2307" t="s">
        <v>249</v>
      </c>
      <c r="Q2307" t="s">
        <v>692</v>
      </c>
      <c r="R2307" t="s">
        <v>1498</v>
      </c>
      <c r="S2307" t="s">
        <v>52</v>
      </c>
      <c r="T2307" t="s">
        <v>252</v>
      </c>
      <c r="U2307">
        <v>891454</v>
      </c>
      <c r="V2307" s="3">
        <v>46076.447222222225</v>
      </c>
      <c r="W2307" t="s">
        <v>1498</v>
      </c>
      <c r="X2307" t="s">
        <v>1499</v>
      </c>
      <c r="Y2307" t="str">
        <f>"0425332962"</f>
        <v>0425332962</v>
      </c>
      <c r="Z2307" t="s">
        <v>1635</v>
      </c>
      <c r="AA2307" s="1">
        <v>46117</v>
      </c>
      <c r="AB2307" t="s">
        <v>695</v>
      </c>
      <c r="AD2307" t="s">
        <v>168</v>
      </c>
      <c r="AE2307" t="s">
        <v>696</v>
      </c>
      <c r="AF2307">
        <v>5606</v>
      </c>
      <c r="AG2307" t="s">
        <v>866</v>
      </c>
      <c r="AI2307" t="s">
        <v>59</v>
      </c>
      <c r="AJ2307" t="str">
        <f>"0020188039"</f>
        <v>0020188039</v>
      </c>
      <c r="AN2307" s="3">
        <v>46076.447222222225</v>
      </c>
      <c r="AO2307" t="s">
        <v>1498</v>
      </c>
    </row>
    <row r="2308" spans="1:41" x14ac:dyDescent="0.3">
      <c r="A2308" t="s">
        <v>75</v>
      </c>
      <c r="B2308" t="s">
        <v>895</v>
      </c>
      <c r="C2308" t="s">
        <v>1621</v>
      </c>
      <c r="D2308" t="s">
        <v>184</v>
      </c>
      <c r="E2308" s="1">
        <v>46075</v>
      </c>
      <c r="F2308" t="s">
        <v>1617</v>
      </c>
      <c r="G2308" t="s">
        <v>45</v>
      </c>
      <c r="H2308" s="2">
        <v>0.29166666666666669</v>
      </c>
      <c r="I2308" s="2">
        <v>0.625</v>
      </c>
      <c r="J2308" t="s">
        <v>296</v>
      </c>
      <c r="L2308" t="s">
        <v>1453</v>
      </c>
      <c r="M2308" t="s">
        <v>1622</v>
      </c>
      <c r="N2308" t="s">
        <v>1623</v>
      </c>
      <c r="O2308">
        <v>5952211</v>
      </c>
      <c r="Q2308" t="s">
        <v>2159</v>
      </c>
      <c r="R2308" t="s">
        <v>81</v>
      </c>
      <c r="S2308" t="s">
        <v>52</v>
      </c>
      <c r="U2308">
        <v>891383</v>
      </c>
      <c r="V2308" s="3">
        <v>46062.489583333336</v>
      </c>
      <c r="W2308" t="s">
        <v>1624</v>
      </c>
      <c r="X2308" t="s">
        <v>1625</v>
      </c>
      <c r="Y2308" t="str">
        <f>"0494406921"</f>
        <v>0494406921</v>
      </c>
      <c r="Z2308" t="s">
        <v>782</v>
      </c>
      <c r="AA2308" s="1">
        <v>46075</v>
      </c>
      <c r="AB2308" t="s">
        <v>902</v>
      </c>
      <c r="AD2308" t="s">
        <v>75</v>
      </c>
      <c r="AE2308" t="s">
        <v>903</v>
      </c>
      <c r="AF2308">
        <v>6009</v>
      </c>
      <c r="AG2308" t="s">
        <v>2159</v>
      </c>
      <c r="AI2308" t="s">
        <v>59</v>
      </c>
      <c r="AL2308" t="s">
        <v>2160</v>
      </c>
      <c r="AN2308" s="3">
        <v>46075.737500000003</v>
      </c>
      <c r="AO2308" t="s">
        <v>1624</v>
      </c>
    </row>
    <row r="2309" spans="1:41" x14ac:dyDescent="0.3">
      <c r="A2309" t="s">
        <v>306</v>
      </c>
      <c r="B2309" t="s">
        <v>386</v>
      </c>
      <c r="C2309" t="s">
        <v>387</v>
      </c>
      <c r="D2309" t="s">
        <v>388</v>
      </c>
      <c r="E2309" s="1">
        <v>46075</v>
      </c>
      <c r="F2309" t="s">
        <v>1617</v>
      </c>
      <c r="G2309" t="s">
        <v>45</v>
      </c>
      <c r="H2309" s="2">
        <v>0.29166666666666669</v>
      </c>
      <c r="I2309" s="2">
        <v>0.625</v>
      </c>
      <c r="J2309" t="s">
        <v>389</v>
      </c>
      <c r="L2309" t="s">
        <v>298</v>
      </c>
      <c r="M2309" t="s">
        <v>195</v>
      </c>
      <c r="N2309" t="s">
        <v>390</v>
      </c>
      <c r="O2309">
        <v>5951661</v>
      </c>
      <c r="P2309" t="s">
        <v>249</v>
      </c>
      <c r="Q2309" t="s">
        <v>391</v>
      </c>
      <c r="R2309" t="s">
        <v>392</v>
      </c>
      <c r="S2309" t="s">
        <v>52</v>
      </c>
      <c r="T2309" t="s">
        <v>252</v>
      </c>
      <c r="U2309">
        <v>891644</v>
      </c>
      <c r="V2309" s="3">
        <v>46077.668749999997</v>
      </c>
      <c r="W2309" t="s">
        <v>393</v>
      </c>
      <c r="X2309" t="s">
        <v>394</v>
      </c>
      <c r="Y2309" t="str">
        <f>"0427371732"</f>
        <v>0427371732</v>
      </c>
      <c r="Z2309" t="s">
        <v>1635</v>
      </c>
      <c r="AA2309" s="1">
        <v>46141</v>
      </c>
      <c r="AB2309" t="s">
        <v>396</v>
      </c>
      <c r="AD2309" t="s">
        <v>397</v>
      </c>
      <c r="AE2309" t="s">
        <v>398</v>
      </c>
      <c r="AF2309">
        <v>7919</v>
      </c>
      <c r="AG2309" t="s">
        <v>399</v>
      </c>
      <c r="AI2309" t="s">
        <v>59</v>
      </c>
      <c r="AJ2309" t="str">
        <f>"0090000067"</f>
        <v>0090000067</v>
      </c>
      <c r="AN2309" s="3">
        <v>46077.668749999997</v>
      </c>
      <c r="AO2309" t="s">
        <v>392</v>
      </c>
    </row>
    <row r="2310" spans="1:41" x14ac:dyDescent="0.3">
      <c r="A2310" t="s">
        <v>61</v>
      </c>
      <c r="B2310" t="s">
        <v>1271</v>
      </c>
      <c r="C2310" t="s">
        <v>1272</v>
      </c>
      <c r="D2310" t="s">
        <v>184</v>
      </c>
      <c r="E2310" s="1">
        <v>46075</v>
      </c>
      <c r="F2310" t="s">
        <v>1617</v>
      </c>
      <c r="G2310" t="s">
        <v>45</v>
      </c>
      <c r="H2310" s="2">
        <v>0.29166666666666669</v>
      </c>
      <c r="I2310" s="2">
        <v>0.8125</v>
      </c>
      <c r="J2310" t="s">
        <v>590</v>
      </c>
      <c r="L2310" t="s">
        <v>2436</v>
      </c>
      <c r="M2310" t="s">
        <v>3508</v>
      </c>
      <c r="N2310" t="s">
        <v>3509</v>
      </c>
      <c r="O2310">
        <v>5951373</v>
      </c>
      <c r="Q2310" t="s">
        <v>2463</v>
      </c>
      <c r="R2310" t="s">
        <v>67</v>
      </c>
      <c r="S2310" t="s">
        <v>52</v>
      </c>
      <c r="U2310">
        <v>891389</v>
      </c>
      <c r="V2310" s="3">
        <v>46065.340277777781</v>
      </c>
      <c r="W2310" t="s">
        <v>3510</v>
      </c>
      <c r="X2310" t="s">
        <v>3511</v>
      </c>
      <c r="Y2310" t="str">
        <f>"0410840279"</f>
        <v>0410840279</v>
      </c>
      <c r="Z2310" t="s">
        <v>55</v>
      </c>
      <c r="AA2310" s="1">
        <v>46075</v>
      </c>
      <c r="AB2310" t="s">
        <v>1278</v>
      </c>
      <c r="AD2310" t="s">
        <v>61</v>
      </c>
      <c r="AE2310" t="s">
        <v>1279</v>
      </c>
      <c r="AF2310">
        <v>2145</v>
      </c>
      <c r="AG2310" t="s">
        <v>2463</v>
      </c>
      <c r="AI2310" t="s">
        <v>59</v>
      </c>
      <c r="AL2310" t="s">
        <v>1088</v>
      </c>
      <c r="AN2310" s="3">
        <v>46075.776388888888</v>
      </c>
      <c r="AO2310" t="s">
        <v>3510</v>
      </c>
    </row>
    <row r="2311" spans="1:41" x14ac:dyDescent="0.3">
      <c r="A2311" t="s">
        <v>61</v>
      </c>
      <c r="B2311" t="s">
        <v>507</v>
      </c>
      <c r="C2311" t="s">
        <v>4841</v>
      </c>
      <c r="D2311" t="s">
        <v>63</v>
      </c>
      <c r="E2311" s="1">
        <v>46075</v>
      </c>
      <c r="F2311" t="s">
        <v>1617</v>
      </c>
      <c r="G2311" t="s">
        <v>45</v>
      </c>
      <c r="H2311" s="2">
        <v>0.29166666666666669</v>
      </c>
      <c r="I2311" s="2">
        <v>0.8125</v>
      </c>
      <c r="J2311" t="s">
        <v>529</v>
      </c>
      <c r="L2311" t="s">
        <v>1453</v>
      </c>
      <c r="M2311" t="s">
        <v>4842</v>
      </c>
      <c r="N2311" t="s">
        <v>4843</v>
      </c>
      <c r="O2311">
        <v>5952421</v>
      </c>
      <c r="Q2311" t="s">
        <v>516</v>
      </c>
      <c r="R2311" t="s">
        <v>1302</v>
      </c>
      <c r="S2311" t="s">
        <v>52</v>
      </c>
      <c r="U2311">
        <v>891391</v>
      </c>
      <c r="V2311" s="3">
        <v>46074.724305555559</v>
      </c>
      <c r="W2311" t="s">
        <v>4844</v>
      </c>
      <c r="X2311" t="s">
        <v>4845</v>
      </c>
      <c r="Y2311" t="str">
        <f>"0402130230"</f>
        <v>0402130230</v>
      </c>
      <c r="Z2311" t="s">
        <v>70</v>
      </c>
      <c r="AA2311" s="1">
        <v>46075</v>
      </c>
      <c r="AB2311" t="s">
        <v>514</v>
      </c>
      <c r="AD2311" t="s">
        <v>61</v>
      </c>
      <c r="AE2311" t="s">
        <v>515</v>
      </c>
      <c r="AF2311">
        <v>2086</v>
      </c>
      <c r="AG2311" t="s">
        <v>1310</v>
      </c>
      <c r="AI2311" t="s">
        <v>59</v>
      </c>
      <c r="AL2311" t="s">
        <v>4846</v>
      </c>
      <c r="AN2311" s="3">
        <v>46075.818749999999</v>
      </c>
      <c r="AO2311" t="s">
        <v>4844</v>
      </c>
    </row>
    <row r="2312" spans="1:41" x14ac:dyDescent="0.3">
      <c r="A2312" t="s">
        <v>306</v>
      </c>
      <c r="B2312" t="s">
        <v>1334</v>
      </c>
      <c r="C2312" t="s">
        <v>4847</v>
      </c>
      <c r="D2312" t="s">
        <v>1336</v>
      </c>
      <c r="E2312" s="1">
        <v>46075</v>
      </c>
      <c r="F2312" t="s">
        <v>1617</v>
      </c>
      <c r="G2312" t="s">
        <v>45</v>
      </c>
      <c r="H2312" s="2">
        <v>0.3125</v>
      </c>
      <c r="I2312" s="2">
        <v>0.5625</v>
      </c>
      <c r="J2312" t="s">
        <v>1524</v>
      </c>
      <c r="L2312" t="s">
        <v>1524</v>
      </c>
      <c r="M2312" t="s">
        <v>1525</v>
      </c>
      <c r="N2312" t="s">
        <v>1526</v>
      </c>
      <c r="O2312">
        <v>5951852</v>
      </c>
      <c r="Q2312" t="s">
        <v>705</v>
      </c>
      <c r="R2312" t="s">
        <v>1248</v>
      </c>
      <c r="S2312" t="s">
        <v>52</v>
      </c>
      <c r="U2312">
        <v>891381</v>
      </c>
      <c r="V2312" s="3">
        <v>46074.42291666667</v>
      </c>
      <c r="W2312" t="s">
        <v>1527</v>
      </c>
      <c r="X2312" t="s">
        <v>1528</v>
      </c>
      <c r="Y2312" t="str">
        <f>"0413379513"</f>
        <v>0413379513</v>
      </c>
      <c r="Z2312" t="s">
        <v>70</v>
      </c>
      <c r="AA2312" s="1">
        <v>46075</v>
      </c>
      <c r="AB2312" t="s">
        <v>1342</v>
      </c>
      <c r="AD2312" t="s">
        <v>306</v>
      </c>
      <c r="AE2312" t="s">
        <v>1343</v>
      </c>
      <c r="AF2312">
        <v>3144</v>
      </c>
      <c r="AG2312" t="s">
        <v>413</v>
      </c>
      <c r="AI2312" t="s">
        <v>59</v>
      </c>
      <c r="AL2312" t="s">
        <v>3542</v>
      </c>
      <c r="AN2312" s="3">
        <v>46075.563888888886</v>
      </c>
      <c r="AO2312" t="s">
        <v>1527</v>
      </c>
    </row>
    <row r="2313" spans="1:41" x14ac:dyDescent="0.3">
      <c r="A2313" t="s">
        <v>168</v>
      </c>
      <c r="B2313" t="s">
        <v>607</v>
      </c>
      <c r="C2313" t="s">
        <v>267</v>
      </c>
      <c r="D2313" t="s">
        <v>268</v>
      </c>
      <c r="E2313" s="1">
        <v>46075</v>
      </c>
      <c r="F2313" t="s">
        <v>1617</v>
      </c>
      <c r="G2313" t="s">
        <v>45</v>
      </c>
      <c r="H2313" s="2">
        <v>0.33333333333333331</v>
      </c>
      <c r="I2313" s="2">
        <v>0.6875</v>
      </c>
      <c r="J2313" t="s">
        <v>269</v>
      </c>
      <c r="K2313" t="s">
        <v>608</v>
      </c>
      <c r="L2313" t="s">
        <v>609</v>
      </c>
      <c r="M2313" t="s">
        <v>610</v>
      </c>
      <c r="N2313" t="s">
        <v>611</v>
      </c>
      <c r="O2313">
        <v>5952121</v>
      </c>
      <c r="P2313" t="s">
        <v>249</v>
      </c>
      <c r="Q2313" t="s">
        <v>612</v>
      </c>
      <c r="R2313" t="s">
        <v>613</v>
      </c>
      <c r="S2313" t="s">
        <v>52</v>
      </c>
      <c r="T2313" t="s">
        <v>252</v>
      </c>
      <c r="U2313">
        <v>891459</v>
      </c>
      <c r="V2313" s="3">
        <v>46076.458333333336</v>
      </c>
      <c r="W2313" t="s">
        <v>613</v>
      </c>
      <c r="X2313" t="s">
        <v>614</v>
      </c>
      <c r="Y2313" t="str">
        <f>"0412297150"</f>
        <v>0412297150</v>
      </c>
      <c r="Z2313" t="s">
        <v>375</v>
      </c>
      <c r="AA2313" s="1">
        <v>46077</v>
      </c>
      <c r="AB2313" t="s">
        <v>615</v>
      </c>
      <c r="AC2313" t="s">
        <v>616</v>
      </c>
      <c r="AD2313" t="s">
        <v>168</v>
      </c>
      <c r="AE2313" t="s">
        <v>617</v>
      </c>
      <c r="AF2313">
        <v>5290</v>
      </c>
      <c r="AG2313" t="s">
        <v>618</v>
      </c>
      <c r="AI2313" t="s">
        <v>59</v>
      </c>
      <c r="AJ2313" t="str">
        <f>"0020171780"</f>
        <v>0020171780</v>
      </c>
      <c r="AM2313" t="s">
        <v>3492</v>
      </c>
      <c r="AN2313" s="3">
        <v>46076.458333333336</v>
      </c>
      <c r="AO2313" t="s">
        <v>613</v>
      </c>
    </row>
    <row r="2314" spans="1:41" x14ac:dyDescent="0.3">
      <c r="A2314" t="s">
        <v>41</v>
      </c>
      <c r="B2314" t="s">
        <v>1168</v>
      </c>
      <c r="D2314" t="s">
        <v>246</v>
      </c>
      <c r="E2314" s="1">
        <v>46075</v>
      </c>
      <c r="F2314" t="s">
        <v>1617</v>
      </c>
      <c r="G2314" t="s">
        <v>45</v>
      </c>
      <c r="H2314" s="2">
        <v>0.54166666666666663</v>
      </c>
      <c r="I2314" s="2">
        <v>0.89583333333333337</v>
      </c>
      <c r="J2314" t="s">
        <v>296</v>
      </c>
      <c r="L2314" t="s">
        <v>1169</v>
      </c>
      <c r="M2314" t="s">
        <v>1170</v>
      </c>
      <c r="N2314" t="s">
        <v>1171</v>
      </c>
      <c r="O2314">
        <v>5952274</v>
      </c>
      <c r="Q2314" t="s">
        <v>1172</v>
      </c>
      <c r="R2314" t="s">
        <v>1173</v>
      </c>
      <c r="S2314" t="s">
        <v>52</v>
      </c>
      <c r="T2314" t="s">
        <v>252</v>
      </c>
      <c r="U2314">
        <v>891468</v>
      </c>
      <c r="V2314" s="3">
        <v>46076.529166666667</v>
      </c>
      <c r="W2314" t="s">
        <v>1173</v>
      </c>
      <c r="X2314" t="s">
        <v>1174</v>
      </c>
      <c r="Y2314" t="str">
        <f>"0432261353"</f>
        <v>0432261353</v>
      </c>
      <c r="Z2314" t="s">
        <v>375</v>
      </c>
      <c r="AA2314" s="1">
        <v>46083</v>
      </c>
      <c r="AB2314" t="s">
        <v>1175</v>
      </c>
      <c r="AD2314" t="s">
        <v>41</v>
      </c>
      <c r="AE2314" t="s">
        <v>1176</v>
      </c>
      <c r="AF2314">
        <v>4680</v>
      </c>
      <c r="AG2314" t="s">
        <v>1177</v>
      </c>
      <c r="AI2314" t="s">
        <v>59</v>
      </c>
      <c r="AJ2314" t="str">
        <f>"0050076336"</f>
        <v>0050076336</v>
      </c>
      <c r="AN2314" s="3">
        <v>46076.529166666667</v>
      </c>
      <c r="AO2314" t="s">
        <v>1173</v>
      </c>
    </row>
    <row r="2315" spans="1:41" x14ac:dyDescent="0.3">
      <c r="A2315" t="s">
        <v>306</v>
      </c>
      <c r="B2315" t="s">
        <v>699</v>
      </c>
      <c r="C2315" t="s">
        <v>387</v>
      </c>
      <c r="D2315" t="s">
        <v>700</v>
      </c>
      <c r="E2315" s="1">
        <v>46075</v>
      </c>
      <c r="F2315" t="s">
        <v>1617</v>
      </c>
      <c r="G2315" t="s">
        <v>128</v>
      </c>
      <c r="H2315" s="2">
        <v>0.60416666666666663</v>
      </c>
      <c r="I2315" s="2">
        <v>0.9375</v>
      </c>
      <c r="J2315" t="s">
        <v>4848</v>
      </c>
      <c r="L2315" t="s">
        <v>1628</v>
      </c>
      <c r="M2315" t="s">
        <v>1629</v>
      </c>
      <c r="N2315" t="s">
        <v>1630</v>
      </c>
      <c r="O2315">
        <v>22952</v>
      </c>
      <c r="Q2315" t="s">
        <v>413</v>
      </c>
      <c r="R2315" t="s">
        <v>1248</v>
      </c>
      <c r="S2315" t="s">
        <v>119</v>
      </c>
      <c r="T2315" t="s">
        <v>414</v>
      </c>
      <c r="U2315">
        <v>891443</v>
      </c>
      <c r="V2315" s="3">
        <v>46075.388194444444</v>
      </c>
      <c r="W2315" t="s">
        <v>1631</v>
      </c>
      <c r="X2315" t="s">
        <v>1632</v>
      </c>
      <c r="Y2315" t="str">
        <f>"0452663217"</f>
        <v>0452663217</v>
      </c>
      <c r="Z2315" t="s">
        <v>70</v>
      </c>
      <c r="AB2315" t="s">
        <v>708</v>
      </c>
      <c r="AD2315" t="s">
        <v>306</v>
      </c>
      <c r="AE2315" t="s">
        <v>709</v>
      </c>
      <c r="AF2315">
        <v>3806</v>
      </c>
      <c r="AI2315" t="s">
        <v>59</v>
      </c>
      <c r="AL2315" t="s">
        <v>1068</v>
      </c>
      <c r="AM2315" t="s">
        <v>4849</v>
      </c>
      <c r="AN2315" s="3">
        <v>46075.394444444442</v>
      </c>
      <c r="AO2315" t="s">
        <v>1248</v>
      </c>
    </row>
    <row r="2316" spans="1:41" x14ac:dyDescent="0.3">
      <c r="A2316" t="s">
        <v>61</v>
      </c>
      <c r="B2316" t="s">
        <v>1271</v>
      </c>
      <c r="C2316" t="s">
        <v>1272</v>
      </c>
      <c r="D2316" t="s">
        <v>184</v>
      </c>
      <c r="E2316" s="1">
        <v>46075</v>
      </c>
      <c r="F2316" t="s">
        <v>1617</v>
      </c>
      <c r="G2316" t="s">
        <v>128</v>
      </c>
      <c r="H2316" s="2">
        <v>0.625</v>
      </c>
      <c r="I2316" s="2">
        <v>0.8125</v>
      </c>
      <c r="J2316" t="s">
        <v>486</v>
      </c>
      <c r="L2316" t="s">
        <v>298</v>
      </c>
      <c r="M2316" t="s">
        <v>4199</v>
      </c>
      <c r="N2316" t="s">
        <v>4200</v>
      </c>
      <c r="O2316">
        <v>5952115</v>
      </c>
      <c r="Q2316" t="s">
        <v>1372</v>
      </c>
      <c r="R2316" t="s">
        <v>1248</v>
      </c>
      <c r="S2316" t="s">
        <v>119</v>
      </c>
      <c r="T2316" t="s">
        <v>1619</v>
      </c>
      <c r="U2316">
        <v>891513</v>
      </c>
      <c r="V2316" s="3">
        <v>46075.402083333334</v>
      </c>
      <c r="W2316" t="s">
        <v>4201</v>
      </c>
      <c r="X2316" t="s">
        <v>4202</v>
      </c>
      <c r="Y2316" t="str">
        <f>"0432518534"</f>
        <v>0432518534</v>
      </c>
      <c r="Z2316" t="s">
        <v>70</v>
      </c>
      <c r="AA2316" s="1">
        <v>46075</v>
      </c>
      <c r="AB2316" t="s">
        <v>1278</v>
      </c>
      <c r="AD2316" t="s">
        <v>61</v>
      </c>
      <c r="AE2316" t="s">
        <v>1279</v>
      </c>
      <c r="AF2316">
        <v>2145</v>
      </c>
      <c r="AG2316" t="s">
        <v>1372</v>
      </c>
      <c r="AI2316" t="s">
        <v>59</v>
      </c>
      <c r="AL2316" t="s">
        <v>4850</v>
      </c>
      <c r="AN2316" s="3">
        <v>46075.681944444441</v>
      </c>
      <c r="AO2316" t="s">
        <v>500</v>
      </c>
    </row>
    <row r="2317" spans="1:41" x14ac:dyDescent="0.3">
      <c r="A2317" t="s">
        <v>61</v>
      </c>
      <c r="B2317" t="s">
        <v>1271</v>
      </c>
      <c r="C2317" t="s">
        <v>1272</v>
      </c>
      <c r="D2317" t="s">
        <v>184</v>
      </c>
      <c r="E2317" s="1">
        <v>46075</v>
      </c>
      <c r="F2317" t="s">
        <v>1617</v>
      </c>
      <c r="G2317" t="s">
        <v>128</v>
      </c>
      <c r="H2317" s="2">
        <v>0.625</v>
      </c>
      <c r="I2317" s="2">
        <v>0.96527777777777779</v>
      </c>
      <c r="J2317" t="s">
        <v>486</v>
      </c>
      <c r="L2317" t="s">
        <v>487</v>
      </c>
      <c r="M2317" t="s">
        <v>392</v>
      </c>
      <c r="N2317" t="s">
        <v>1280</v>
      </c>
      <c r="O2317">
        <v>5952420</v>
      </c>
      <c r="R2317" t="s">
        <v>759</v>
      </c>
      <c r="S2317" t="s">
        <v>119</v>
      </c>
      <c r="T2317" t="s">
        <v>760</v>
      </c>
      <c r="U2317" t="s">
        <v>4851</v>
      </c>
      <c r="V2317" s="3">
        <v>46084.55</v>
      </c>
      <c r="W2317" t="s">
        <v>1781</v>
      </c>
      <c r="X2317" t="s">
        <v>1782</v>
      </c>
      <c r="Y2317" t="str">
        <f>"0435135581"</f>
        <v>0435135581</v>
      </c>
      <c r="Z2317" t="s">
        <v>70</v>
      </c>
      <c r="AB2317" t="s">
        <v>1278</v>
      </c>
      <c r="AD2317" t="s">
        <v>61</v>
      </c>
      <c r="AE2317" t="s">
        <v>1279</v>
      </c>
      <c r="AF2317">
        <v>2145</v>
      </c>
      <c r="AI2317" t="s">
        <v>59</v>
      </c>
      <c r="AM2317" t="s">
        <v>4852</v>
      </c>
      <c r="AN2317" s="3">
        <v>46084.55</v>
      </c>
      <c r="AO2317" t="s">
        <v>759</v>
      </c>
    </row>
    <row r="2318" spans="1:41" x14ac:dyDescent="0.3">
      <c r="A2318" t="s">
        <v>61</v>
      </c>
      <c r="B2318" t="s">
        <v>1271</v>
      </c>
      <c r="C2318" t="s">
        <v>1272</v>
      </c>
      <c r="D2318" t="s">
        <v>184</v>
      </c>
      <c r="E2318" s="1">
        <v>46075</v>
      </c>
      <c r="F2318" t="s">
        <v>1617</v>
      </c>
      <c r="G2318" t="s">
        <v>128</v>
      </c>
      <c r="H2318" s="2">
        <v>0.625</v>
      </c>
      <c r="I2318" s="2">
        <v>0.96527777777777779</v>
      </c>
      <c r="J2318" t="s">
        <v>486</v>
      </c>
      <c r="L2318" t="s">
        <v>487</v>
      </c>
      <c r="M2318" t="s">
        <v>392</v>
      </c>
      <c r="N2318" t="s">
        <v>1280</v>
      </c>
      <c r="O2318">
        <v>5952420</v>
      </c>
      <c r="R2318" t="s">
        <v>759</v>
      </c>
      <c r="S2318" t="s">
        <v>119</v>
      </c>
      <c r="T2318" t="s">
        <v>760</v>
      </c>
      <c r="U2318" t="s">
        <v>4853</v>
      </c>
      <c r="V2318" s="3">
        <v>46084.552083333336</v>
      </c>
      <c r="W2318" t="s">
        <v>1781</v>
      </c>
      <c r="X2318" t="s">
        <v>1782</v>
      </c>
      <c r="Y2318" t="str">
        <f>"0435135581"</f>
        <v>0435135581</v>
      </c>
      <c r="Z2318" t="s">
        <v>70</v>
      </c>
      <c r="AB2318" t="s">
        <v>1278</v>
      </c>
      <c r="AD2318" t="s">
        <v>61</v>
      </c>
      <c r="AE2318" t="s">
        <v>1279</v>
      </c>
      <c r="AF2318">
        <v>2145</v>
      </c>
      <c r="AI2318" t="s">
        <v>59</v>
      </c>
      <c r="AM2318" t="s">
        <v>4852</v>
      </c>
      <c r="AN2318" s="3">
        <v>46084.552083333336</v>
      </c>
      <c r="AO2318" t="s">
        <v>759</v>
      </c>
    </row>
    <row r="2319" spans="1:41" x14ac:dyDescent="0.3">
      <c r="A2319" t="s">
        <v>61</v>
      </c>
      <c r="B2319" t="s">
        <v>1271</v>
      </c>
      <c r="C2319" t="s">
        <v>1272</v>
      </c>
      <c r="D2319" t="s">
        <v>184</v>
      </c>
      <c r="E2319" s="1">
        <v>46075</v>
      </c>
      <c r="F2319" t="s">
        <v>1617</v>
      </c>
      <c r="G2319" t="s">
        <v>128</v>
      </c>
      <c r="H2319" s="2">
        <v>0.625</v>
      </c>
      <c r="I2319" s="2">
        <v>0.97916666666666663</v>
      </c>
      <c r="J2319" t="s">
        <v>486</v>
      </c>
      <c r="L2319" t="s">
        <v>487</v>
      </c>
      <c r="M2319" t="s">
        <v>392</v>
      </c>
      <c r="N2319" t="s">
        <v>1280</v>
      </c>
      <c r="O2319">
        <v>5952420</v>
      </c>
      <c r="Q2319" t="s">
        <v>1190</v>
      </c>
      <c r="R2319" t="s">
        <v>132</v>
      </c>
      <c r="S2319" t="s">
        <v>52</v>
      </c>
      <c r="U2319">
        <v>891403</v>
      </c>
      <c r="V2319" s="3">
        <v>46057.565972222219</v>
      </c>
      <c r="W2319" t="s">
        <v>1781</v>
      </c>
      <c r="X2319" t="s">
        <v>1782</v>
      </c>
      <c r="Y2319" t="str">
        <f>"0435135581"</f>
        <v>0435135581</v>
      </c>
      <c r="Z2319" t="s">
        <v>4854</v>
      </c>
      <c r="AB2319" t="s">
        <v>1278</v>
      </c>
      <c r="AD2319" t="s">
        <v>61</v>
      </c>
      <c r="AE2319" t="s">
        <v>1279</v>
      </c>
      <c r="AF2319">
        <v>2145</v>
      </c>
      <c r="AG2319" t="s">
        <v>1190</v>
      </c>
      <c r="AI2319" t="s">
        <v>59</v>
      </c>
      <c r="AL2319" t="s">
        <v>1088</v>
      </c>
      <c r="AN2319" s="3">
        <v>46076.007638888892</v>
      </c>
      <c r="AO2319" t="s">
        <v>1781</v>
      </c>
    </row>
    <row r="2320" spans="1:41" x14ac:dyDescent="0.3">
      <c r="A2320" t="s">
        <v>61</v>
      </c>
      <c r="B2320" t="s">
        <v>182</v>
      </c>
      <c r="C2320" t="s">
        <v>484</v>
      </c>
      <c r="D2320" t="s">
        <v>184</v>
      </c>
      <c r="E2320" s="1">
        <v>46075</v>
      </c>
      <c r="F2320" t="s">
        <v>1617</v>
      </c>
      <c r="G2320" t="s">
        <v>485</v>
      </c>
      <c r="H2320" s="2">
        <v>0.77083333333333337</v>
      </c>
      <c r="I2320" s="2">
        <v>0.29166666666666669</v>
      </c>
      <c r="J2320" t="s">
        <v>590</v>
      </c>
      <c r="L2320" t="s">
        <v>487</v>
      </c>
      <c r="M2320" t="s">
        <v>1645</v>
      </c>
      <c r="N2320" t="s">
        <v>1646</v>
      </c>
      <c r="O2320">
        <v>5951065</v>
      </c>
      <c r="Q2320" t="s">
        <v>490</v>
      </c>
      <c r="R2320" t="s">
        <v>67</v>
      </c>
      <c r="S2320" t="s">
        <v>52</v>
      </c>
      <c r="U2320">
        <v>891406</v>
      </c>
      <c r="V2320" s="3">
        <v>46051.534722222219</v>
      </c>
      <c r="W2320" t="s">
        <v>1647</v>
      </c>
      <c r="X2320" t="s">
        <v>1648</v>
      </c>
      <c r="Y2320" t="str">
        <f>"0408979009"</f>
        <v>0408979009</v>
      </c>
      <c r="Z2320" t="s">
        <v>2292</v>
      </c>
      <c r="AA2320" s="1">
        <v>46075</v>
      </c>
      <c r="AB2320" t="s">
        <v>193</v>
      </c>
      <c r="AD2320" t="s">
        <v>61</v>
      </c>
      <c r="AE2320" t="s">
        <v>194</v>
      </c>
      <c r="AF2320">
        <v>2229</v>
      </c>
      <c r="AG2320" t="s">
        <v>129</v>
      </c>
      <c r="AI2320" t="s">
        <v>59</v>
      </c>
      <c r="AL2320" t="s">
        <v>1088</v>
      </c>
      <c r="AN2320" s="3">
        <v>46076.254166666666</v>
      </c>
      <c r="AO2320" t="s">
        <v>1647</v>
      </c>
    </row>
    <row r="2321" spans="1:41" x14ac:dyDescent="0.3">
      <c r="A2321" t="s">
        <v>61</v>
      </c>
      <c r="B2321" t="s">
        <v>753</v>
      </c>
      <c r="C2321" t="s">
        <v>2343</v>
      </c>
      <c r="D2321" t="s">
        <v>754</v>
      </c>
      <c r="E2321" s="1">
        <v>46075</v>
      </c>
      <c r="F2321" t="s">
        <v>1617</v>
      </c>
      <c r="G2321" t="s">
        <v>485</v>
      </c>
      <c r="H2321" s="2">
        <v>0.79166666666666663</v>
      </c>
      <c r="I2321" s="2">
        <v>0.3125</v>
      </c>
      <c r="J2321" t="s">
        <v>590</v>
      </c>
      <c r="L2321" t="s">
        <v>2436</v>
      </c>
      <c r="M2321" t="s">
        <v>1987</v>
      </c>
      <c r="N2321" t="s">
        <v>2437</v>
      </c>
      <c r="O2321">
        <v>5952336</v>
      </c>
      <c r="Q2321" t="s">
        <v>758</v>
      </c>
      <c r="R2321" t="s">
        <v>132</v>
      </c>
      <c r="S2321" t="s">
        <v>52</v>
      </c>
      <c r="U2321">
        <v>891407</v>
      </c>
      <c r="V2321" s="3">
        <v>46066.474999999999</v>
      </c>
      <c r="W2321" t="s">
        <v>2439</v>
      </c>
      <c r="X2321" t="s">
        <v>2440</v>
      </c>
      <c r="Y2321" t="str">
        <f>"0450594540"</f>
        <v>0450594540</v>
      </c>
      <c r="Z2321" t="s">
        <v>4244</v>
      </c>
      <c r="AA2321" s="1">
        <v>46075</v>
      </c>
      <c r="AB2321" t="s">
        <v>764</v>
      </c>
      <c r="AD2321" t="s">
        <v>61</v>
      </c>
      <c r="AE2321" t="s">
        <v>765</v>
      </c>
      <c r="AF2321">
        <v>2220</v>
      </c>
      <c r="AG2321" t="s">
        <v>758</v>
      </c>
      <c r="AI2321" t="s">
        <v>59</v>
      </c>
      <c r="AL2321" t="s">
        <v>1088</v>
      </c>
      <c r="AN2321" s="3">
        <v>46076.293749999997</v>
      </c>
      <c r="AO2321" t="s">
        <v>2439</v>
      </c>
    </row>
    <row r="2322" spans="1:41" x14ac:dyDescent="0.3">
      <c r="A2322" t="s">
        <v>61</v>
      </c>
      <c r="B2322" t="s">
        <v>507</v>
      </c>
      <c r="D2322" t="s">
        <v>63</v>
      </c>
      <c r="E2322" s="1">
        <v>46075</v>
      </c>
      <c r="F2322" t="s">
        <v>1617</v>
      </c>
      <c r="G2322" t="s">
        <v>485</v>
      </c>
      <c r="H2322" s="2">
        <v>0.79166666666666663</v>
      </c>
      <c r="I2322" s="2">
        <v>0.3125</v>
      </c>
      <c r="J2322" t="s">
        <v>296</v>
      </c>
      <c r="L2322" t="s">
        <v>298</v>
      </c>
      <c r="M2322" t="s">
        <v>508</v>
      </c>
      <c r="N2322" t="s">
        <v>509</v>
      </c>
      <c r="O2322">
        <v>22014</v>
      </c>
      <c r="Q2322" t="s">
        <v>510</v>
      </c>
      <c r="R2322" t="s">
        <v>132</v>
      </c>
      <c r="S2322" t="s">
        <v>52</v>
      </c>
      <c r="U2322">
        <v>891410</v>
      </c>
      <c r="V2322" s="3">
        <v>46042.390972222223</v>
      </c>
      <c r="W2322" t="s">
        <v>511</v>
      </c>
      <c r="X2322" t="s">
        <v>512</v>
      </c>
      <c r="Y2322" t="str">
        <f>"0430326260"</f>
        <v>0430326260</v>
      </c>
      <c r="Z2322" t="s">
        <v>4855</v>
      </c>
      <c r="AA2322" s="1">
        <v>46075</v>
      </c>
      <c r="AB2322" t="s">
        <v>514</v>
      </c>
      <c r="AD2322" t="s">
        <v>61</v>
      </c>
      <c r="AE2322" t="s">
        <v>515</v>
      </c>
      <c r="AF2322">
        <v>2086</v>
      </c>
      <c r="AG2322" t="s">
        <v>516</v>
      </c>
      <c r="AI2322" t="s">
        <v>59</v>
      </c>
      <c r="AL2322" t="s">
        <v>1088</v>
      </c>
      <c r="AN2322" s="3">
        <v>46076.320138888892</v>
      </c>
      <c r="AO2322" t="s">
        <v>511</v>
      </c>
    </row>
    <row r="2323" spans="1:41" x14ac:dyDescent="0.3">
      <c r="A2323" t="s">
        <v>168</v>
      </c>
      <c r="B2323" t="s">
        <v>1312</v>
      </c>
      <c r="C2323" t="s">
        <v>1313</v>
      </c>
      <c r="D2323" t="s">
        <v>268</v>
      </c>
      <c r="E2323" s="1">
        <v>46075</v>
      </c>
      <c r="F2323" t="s">
        <v>1617</v>
      </c>
      <c r="G2323" t="s">
        <v>485</v>
      </c>
      <c r="H2323" s="2">
        <v>0.875</v>
      </c>
      <c r="I2323" s="2">
        <v>0.3125</v>
      </c>
      <c r="J2323" t="s">
        <v>1314</v>
      </c>
      <c r="K2323" t="s">
        <v>849</v>
      </c>
      <c r="L2323" t="s">
        <v>47</v>
      </c>
      <c r="M2323" t="s">
        <v>1315</v>
      </c>
      <c r="N2323" t="s">
        <v>1316</v>
      </c>
      <c r="O2323">
        <v>22278</v>
      </c>
      <c r="Q2323" t="s">
        <v>705</v>
      </c>
      <c r="R2323" t="s">
        <v>176</v>
      </c>
      <c r="S2323" t="s">
        <v>119</v>
      </c>
      <c r="T2323" t="s">
        <v>414</v>
      </c>
      <c r="U2323">
        <v>891441</v>
      </c>
      <c r="V2323" s="3">
        <v>46059.417361111111</v>
      </c>
      <c r="W2323" t="s">
        <v>1317</v>
      </c>
      <c r="X2323" t="s">
        <v>1318</v>
      </c>
      <c r="Y2323" t="str">
        <f>"0413259096"</f>
        <v>0413259096</v>
      </c>
      <c r="Z2323" t="s">
        <v>70</v>
      </c>
      <c r="AB2323" t="s">
        <v>1312</v>
      </c>
      <c r="AC2323" t="s">
        <v>1319</v>
      </c>
      <c r="AD2323" t="s">
        <v>168</v>
      </c>
      <c r="AE2323" t="s">
        <v>1320</v>
      </c>
      <c r="AF2323">
        <v>5417</v>
      </c>
      <c r="AI2323" t="s">
        <v>59</v>
      </c>
      <c r="AL2323" t="s">
        <v>4856</v>
      </c>
      <c r="AM2323" t="s">
        <v>4857</v>
      </c>
      <c r="AN2323" s="3">
        <v>46059.45208333333</v>
      </c>
      <c r="AO2323" t="s">
        <v>231</v>
      </c>
    </row>
    <row r="2324" spans="1:41" x14ac:dyDescent="0.3">
      <c r="A2324" t="s">
        <v>168</v>
      </c>
      <c r="B2324" t="s">
        <v>266</v>
      </c>
      <c r="C2324" t="s">
        <v>267</v>
      </c>
      <c r="D2324" t="s">
        <v>268</v>
      </c>
      <c r="E2324" s="1">
        <v>46075</v>
      </c>
      <c r="F2324" t="s">
        <v>1617</v>
      </c>
      <c r="G2324" t="s">
        <v>485</v>
      </c>
      <c r="H2324" s="2">
        <v>0.875</v>
      </c>
      <c r="I2324" s="2">
        <v>0.3125</v>
      </c>
      <c r="J2324" t="s">
        <v>269</v>
      </c>
      <c r="K2324" t="s">
        <v>270</v>
      </c>
      <c r="L2324" t="s">
        <v>47</v>
      </c>
      <c r="M2324" t="s">
        <v>517</v>
      </c>
      <c r="N2324" t="s">
        <v>518</v>
      </c>
      <c r="O2324">
        <v>5951368</v>
      </c>
      <c r="Q2324" t="s">
        <v>274</v>
      </c>
      <c r="R2324" t="s">
        <v>176</v>
      </c>
      <c r="S2324" t="s">
        <v>52</v>
      </c>
      <c r="U2324">
        <v>891411</v>
      </c>
      <c r="V2324" s="3">
        <v>45993.455555555556</v>
      </c>
      <c r="W2324" t="s">
        <v>519</v>
      </c>
      <c r="X2324" t="s">
        <v>520</v>
      </c>
      <c r="Y2324" t="str">
        <f>"0420208072"</f>
        <v>0420208072</v>
      </c>
      <c r="Z2324" t="s">
        <v>1225</v>
      </c>
      <c r="AB2324" t="s">
        <v>277</v>
      </c>
      <c r="AC2324" t="s">
        <v>278</v>
      </c>
      <c r="AD2324" t="s">
        <v>168</v>
      </c>
      <c r="AE2324" t="s">
        <v>279</v>
      </c>
      <c r="AF2324">
        <v>5092</v>
      </c>
      <c r="AG2324" t="s">
        <v>274</v>
      </c>
      <c r="AI2324" t="s">
        <v>59</v>
      </c>
      <c r="AL2324" t="s">
        <v>4858</v>
      </c>
      <c r="AM2324" t="s">
        <v>281</v>
      </c>
      <c r="AN2324" s="3">
        <v>46076.324999999997</v>
      </c>
      <c r="AO2324" t="s">
        <v>519</v>
      </c>
    </row>
    <row r="2325" spans="1:41" x14ac:dyDescent="0.3">
      <c r="A2325" t="s">
        <v>168</v>
      </c>
      <c r="B2325" t="s">
        <v>336</v>
      </c>
      <c r="D2325" t="s">
        <v>268</v>
      </c>
      <c r="E2325" s="1">
        <v>46075</v>
      </c>
      <c r="F2325" t="s">
        <v>1617</v>
      </c>
      <c r="G2325" t="s">
        <v>485</v>
      </c>
      <c r="H2325" s="2">
        <v>0.875</v>
      </c>
      <c r="I2325" s="2">
        <v>0.3125</v>
      </c>
      <c r="J2325" t="s">
        <v>296</v>
      </c>
      <c r="K2325" t="s">
        <v>338</v>
      </c>
      <c r="L2325" t="s">
        <v>339</v>
      </c>
      <c r="M2325" t="s">
        <v>806</v>
      </c>
      <c r="N2325" t="s">
        <v>1671</v>
      </c>
      <c r="O2325">
        <v>5951069</v>
      </c>
      <c r="P2325" t="s">
        <v>338</v>
      </c>
      <c r="Q2325" t="s">
        <v>342</v>
      </c>
      <c r="R2325" t="s">
        <v>176</v>
      </c>
      <c r="S2325" t="s">
        <v>52</v>
      </c>
      <c r="U2325">
        <v>891392</v>
      </c>
      <c r="V2325" s="3">
        <v>46063.549305555556</v>
      </c>
      <c r="W2325" t="s">
        <v>1672</v>
      </c>
      <c r="X2325" t="s">
        <v>1673</v>
      </c>
      <c r="Y2325" t="str">
        <f>"0402344127"</f>
        <v>0402344127</v>
      </c>
      <c r="Z2325" t="s">
        <v>1201</v>
      </c>
      <c r="AB2325" t="s">
        <v>346</v>
      </c>
      <c r="AD2325" t="s">
        <v>168</v>
      </c>
      <c r="AE2325" t="s">
        <v>347</v>
      </c>
      <c r="AF2325">
        <v>5042</v>
      </c>
      <c r="AG2325" t="s">
        <v>342</v>
      </c>
      <c r="AI2325" t="s">
        <v>59</v>
      </c>
      <c r="AL2325" t="s">
        <v>4859</v>
      </c>
      <c r="AM2325" t="s">
        <v>349</v>
      </c>
      <c r="AN2325" s="3">
        <v>46075.896527777775</v>
      </c>
      <c r="AO2325" t="s">
        <v>1672</v>
      </c>
    </row>
    <row r="2326" spans="1:41" x14ac:dyDescent="0.3">
      <c r="A2326" t="s">
        <v>61</v>
      </c>
      <c r="B2326" t="s">
        <v>182</v>
      </c>
      <c r="C2326" t="s">
        <v>484</v>
      </c>
      <c r="D2326" t="s">
        <v>184</v>
      </c>
      <c r="E2326" s="1">
        <v>46075</v>
      </c>
      <c r="F2326" t="s">
        <v>1617</v>
      </c>
      <c r="G2326" t="s">
        <v>485</v>
      </c>
      <c r="H2326" s="2">
        <v>0.89583333333333337</v>
      </c>
      <c r="I2326" s="2">
        <v>0.29166666666666669</v>
      </c>
      <c r="J2326" t="s">
        <v>486</v>
      </c>
      <c r="L2326" t="s">
        <v>487</v>
      </c>
      <c r="M2326" t="s">
        <v>1490</v>
      </c>
      <c r="N2326" t="s">
        <v>1491</v>
      </c>
      <c r="O2326">
        <v>21218</v>
      </c>
      <c r="Q2326" t="s">
        <v>490</v>
      </c>
      <c r="R2326" t="s">
        <v>67</v>
      </c>
      <c r="S2326" t="s">
        <v>52</v>
      </c>
      <c r="U2326">
        <v>891405</v>
      </c>
      <c r="V2326" s="3">
        <v>46051.538194444445</v>
      </c>
      <c r="W2326" t="s">
        <v>1493</v>
      </c>
      <c r="X2326" t="s">
        <v>1494</v>
      </c>
      <c r="Y2326" t="str">
        <f>"0401746606"</f>
        <v>0401746606</v>
      </c>
      <c r="Z2326" t="s">
        <v>4860</v>
      </c>
      <c r="AA2326" s="1">
        <v>46075</v>
      </c>
      <c r="AB2326" t="s">
        <v>193</v>
      </c>
      <c r="AD2326" t="s">
        <v>61</v>
      </c>
      <c r="AE2326" t="s">
        <v>194</v>
      </c>
      <c r="AF2326">
        <v>2229</v>
      </c>
      <c r="AG2326" t="s">
        <v>129</v>
      </c>
      <c r="AI2326" t="s">
        <v>59</v>
      </c>
      <c r="AL2326" t="s">
        <v>1088</v>
      </c>
      <c r="AN2326" s="3">
        <v>46076.25277777778</v>
      </c>
      <c r="AO2326" t="s">
        <v>1493</v>
      </c>
    </row>
    <row r="2327" spans="1:41" x14ac:dyDescent="0.3">
      <c r="A2327" t="s">
        <v>306</v>
      </c>
      <c r="B2327" t="s">
        <v>1784</v>
      </c>
      <c r="C2327" t="s">
        <v>4861</v>
      </c>
      <c r="D2327" t="s">
        <v>1436</v>
      </c>
      <c r="E2327" s="1">
        <v>46075</v>
      </c>
      <c r="F2327" t="s">
        <v>1617</v>
      </c>
      <c r="G2327" t="s">
        <v>485</v>
      </c>
      <c r="H2327" s="2">
        <v>0.89583333333333337</v>
      </c>
      <c r="I2327" s="2">
        <v>0.3125</v>
      </c>
      <c r="J2327" t="s">
        <v>296</v>
      </c>
      <c r="K2327" t="s">
        <v>4862</v>
      </c>
      <c r="L2327" t="s">
        <v>4572</v>
      </c>
      <c r="M2327" t="s">
        <v>1395</v>
      </c>
      <c r="N2327" t="s">
        <v>4573</v>
      </c>
      <c r="O2327">
        <v>5952361</v>
      </c>
      <c r="P2327" t="s">
        <v>4863</v>
      </c>
      <c r="Q2327" t="s">
        <v>705</v>
      </c>
      <c r="R2327" t="s">
        <v>500</v>
      </c>
      <c r="S2327" t="s">
        <v>52</v>
      </c>
      <c r="U2327">
        <v>891409</v>
      </c>
      <c r="V2327" s="3">
        <v>46075.757638888892</v>
      </c>
      <c r="W2327" t="s">
        <v>4574</v>
      </c>
      <c r="X2327" t="s">
        <v>4575</v>
      </c>
      <c r="Y2327" t="str">
        <f>"0478587929"</f>
        <v>0478587929</v>
      </c>
      <c r="Z2327" t="s">
        <v>70</v>
      </c>
      <c r="AA2327" s="1">
        <v>46075</v>
      </c>
      <c r="AB2327" t="s">
        <v>1788</v>
      </c>
      <c r="AD2327" t="s">
        <v>306</v>
      </c>
      <c r="AE2327" t="s">
        <v>1789</v>
      </c>
      <c r="AF2327">
        <v>3121</v>
      </c>
      <c r="AG2327" t="s">
        <v>413</v>
      </c>
      <c r="AI2327" t="s">
        <v>59</v>
      </c>
      <c r="AL2327" t="s">
        <v>4864</v>
      </c>
      <c r="AM2327" t="s">
        <v>4865</v>
      </c>
      <c r="AN2327" s="3">
        <v>46076.31527777778</v>
      </c>
      <c r="AO2327" t="s">
        <v>4574</v>
      </c>
    </row>
    <row r="2328" spans="1:41" x14ac:dyDescent="0.3">
      <c r="A2328" t="s">
        <v>41</v>
      </c>
      <c r="B2328" t="s">
        <v>1284</v>
      </c>
      <c r="C2328" t="s">
        <v>4866</v>
      </c>
      <c r="D2328" t="s">
        <v>1286</v>
      </c>
      <c r="E2328" s="1">
        <v>46075</v>
      </c>
      <c r="F2328" t="s">
        <v>1617</v>
      </c>
      <c r="G2328" t="s">
        <v>485</v>
      </c>
      <c r="H2328" s="2">
        <v>0.90625</v>
      </c>
      <c r="I2328" s="2">
        <v>0.30208333333333331</v>
      </c>
      <c r="J2328" t="s">
        <v>1314</v>
      </c>
      <c r="K2328" t="s">
        <v>750</v>
      </c>
      <c r="L2328" t="s">
        <v>633</v>
      </c>
      <c r="M2328" t="s">
        <v>4867</v>
      </c>
      <c r="N2328" t="s">
        <v>4868</v>
      </c>
      <c r="O2328">
        <v>400688</v>
      </c>
      <c r="Q2328" t="s">
        <v>705</v>
      </c>
      <c r="R2328" t="s">
        <v>500</v>
      </c>
      <c r="S2328" t="s">
        <v>119</v>
      </c>
      <c r="T2328" t="s">
        <v>414</v>
      </c>
      <c r="U2328">
        <v>891522</v>
      </c>
      <c r="V2328" s="3">
        <v>46075.78125</v>
      </c>
      <c r="W2328" t="s">
        <v>4869</v>
      </c>
      <c r="X2328" t="s">
        <v>4870</v>
      </c>
      <c r="Y2328" t="str">
        <f>"0412392054"</f>
        <v>0412392054</v>
      </c>
      <c r="Z2328" t="s">
        <v>70</v>
      </c>
      <c r="AB2328" t="s">
        <v>1288</v>
      </c>
      <c r="AD2328" t="s">
        <v>41</v>
      </c>
      <c r="AE2328" t="s">
        <v>150</v>
      </c>
      <c r="AF2328">
        <v>4000</v>
      </c>
      <c r="AI2328" t="s">
        <v>59</v>
      </c>
      <c r="AL2328" t="s">
        <v>1068</v>
      </c>
      <c r="AM2328" t="s">
        <v>4871</v>
      </c>
      <c r="AN2328" s="3">
        <v>46075.784722222219</v>
      </c>
      <c r="AO2328" t="s">
        <v>500</v>
      </c>
    </row>
    <row r="2329" spans="1:41" x14ac:dyDescent="0.3">
      <c r="A2329" t="s">
        <v>41</v>
      </c>
      <c r="B2329" t="s">
        <v>589</v>
      </c>
      <c r="C2329" t="s">
        <v>590</v>
      </c>
      <c r="D2329" t="s">
        <v>246</v>
      </c>
      <c r="E2329" s="1">
        <v>46075</v>
      </c>
      <c r="F2329" t="s">
        <v>1617</v>
      </c>
      <c r="G2329" t="s">
        <v>45</v>
      </c>
      <c r="H2329" s="2">
        <v>0.94791666666666663</v>
      </c>
      <c r="I2329" s="2">
        <v>0.30208333333333331</v>
      </c>
      <c r="J2329" t="s">
        <v>591</v>
      </c>
      <c r="L2329" t="s">
        <v>592</v>
      </c>
      <c r="M2329" t="s">
        <v>593</v>
      </c>
      <c r="N2329" t="s">
        <v>594</v>
      </c>
      <c r="O2329">
        <v>5952427</v>
      </c>
      <c r="P2329" t="s">
        <v>249</v>
      </c>
      <c r="Q2329" t="s">
        <v>596</v>
      </c>
      <c r="R2329" t="s">
        <v>597</v>
      </c>
      <c r="S2329" t="s">
        <v>52</v>
      </c>
      <c r="T2329" t="s">
        <v>252</v>
      </c>
      <c r="U2329">
        <v>891434</v>
      </c>
      <c r="V2329" s="3">
        <v>46076.399305555555</v>
      </c>
      <c r="W2329" t="s">
        <v>597</v>
      </c>
      <c r="X2329" t="s">
        <v>598</v>
      </c>
      <c r="Y2329" t="str">
        <f>"0432677728"</f>
        <v>0432677728</v>
      </c>
      <c r="Z2329" t="s">
        <v>375</v>
      </c>
      <c r="AA2329" s="1">
        <v>46082</v>
      </c>
      <c r="AB2329" t="s">
        <v>599</v>
      </c>
      <c r="AC2329" t="s">
        <v>600</v>
      </c>
      <c r="AD2329" t="s">
        <v>41</v>
      </c>
      <c r="AE2329" t="s">
        <v>600</v>
      </c>
      <c r="AF2329">
        <v>4610</v>
      </c>
      <c r="AG2329" t="s">
        <v>3495</v>
      </c>
      <c r="AI2329" t="s">
        <v>59</v>
      </c>
      <c r="AJ2329" t="str">
        <f>"0050075752"</f>
        <v>0050075752</v>
      </c>
      <c r="AN2329" s="3">
        <v>46076.399305555555</v>
      </c>
      <c r="AO2329" t="s">
        <v>597</v>
      </c>
    </row>
    <row r="2330" spans="1:41" x14ac:dyDescent="0.3">
      <c r="A2330" t="s">
        <v>41</v>
      </c>
      <c r="B2330" t="s">
        <v>2614</v>
      </c>
      <c r="C2330" t="s">
        <v>296</v>
      </c>
      <c r="D2330" t="s">
        <v>246</v>
      </c>
      <c r="E2330" s="1">
        <v>46075</v>
      </c>
      <c r="F2330" t="s">
        <v>1617</v>
      </c>
      <c r="G2330" t="s">
        <v>485</v>
      </c>
      <c r="H2330" s="2">
        <v>0.94791666666666663</v>
      </c>
      <c r="I2330" s="2">
        <v>0.30208333333333331</v>
      </c>
      <c r="J2330" t="s">
        <v>296</v>
      </c>
      <c r="L2330" t="s">
        <v>633</v>
      </c>
      <c r="M2330" t="s">
        <v>2084</v>
      </c>
      <c r="N2330" t="s">
        <v>2939</v>
      </c>
      <c r="O2330">
        <v>5950726</v>
      </c>
      <c r="Q2330" t="s">
        <v>2242</v>
      </c>
      <c r="R2330" t="s">
        <v>1302</v>
      </c>
      <c r="S2330" t="s">
        <v>52</v>
      </c>
      <c r="U2330">
        <v>891422</v>
      </c>
      <c r="V2330" s="3">
        <v>46074.78402777778</v>
      </c>
      <c r="W2330" t="s">
        <v>2941</v>
      </c>
      <c r="X2330" t="s">
        <v>2942</v>
      </c>
      <c r="Y2330" t="str">
        <f>"0478152288"</f>
        <v>0478152288</v>
      </c>
      <c r="Z2330" t="s">
        <v>70</v>
      </c>
      <c r="AA2330" s="1">
        <v>46075</v>
      </c>
      <c r="AB2330" t="s">
        <v>2620</v>
      </c>
      <c r="AD2330" t="s">
        <v>41</v>
      </c>
      <c r="AE2330" t="s">
        <v>2621</v>
      </c>
      <c r="AF2330">
        <v>4510</v>
      </c>
      <c r="AG2330" t="s">
        <v>4108</v>
      </c>
      <c r="AI2330" t="s">
        <v>59</v>
      </c>
      <c r="AL2330" t="s">
        <v>4872</v>
      </c>
      <c r="AN2330" s="3">
        <v>46076.345833333333</v>
      </c>
      <c r="AO2330" t="s">
        <v>2941</v>
      </c>
    </row>
    <row r="2331" spans="1:41" x14ac:dyDescent="0.3">
      <c r="A2331" t="s">
        <v>41</v>
      </c>
      <c r="B2331" t="s">
        <v>551</v>
      </c>
      <c r="C2331" t="s">
        <v>296</v>
      </c>
      <c r="D2331" t="s">
        <v>246</v>
      </c>
      <c r="E2331" s="1">
        <v>46075</v>
      </c>
      <c r="F2331" t="s">
        <v>1617</v>
      </c>
      <c r="G2331" t="s">
        <v>485</v>
      </c>
      <c r="H2331" s="2">
        <v>0.96527777777777779</v>
      </c>
      <c r="I2331" s="2">
        <v>0.30208333333333331</v>
      </c>
      <c r="J2331" t="s">
        <v>296</v>
      </c>
      <c r="K2331" t="s">
        <v>750</v>
      </c>
      <c r="L2331" t="s">
        <v>298</v>
      </c>
      <c r="M2331" t="s">
        <v>1401</v>
      </c>
      <c r="N2331" t="s">
        <v>1402</v>
      </c>
      <c r="O2331">
        <v>5952070</v>
      </c>
      <c r="Q2331" t="s">
        <v>2260</v>
      </c>
      <c r="R2331" t="s">
        <v>1302</v>
      </c>
      <c r="S2331" t="s">
        <v>52</v>
      </c>
      <c r="U2331">
        <v>891408</v>
      </c>
      <c r="V2331" s="3">
        <v>46074.770833333336</v>
      </c>
      <c r="W2331" t="s">
        <v>1404</v>
      </c>
      <c r="X2331" t="s">
        <v>1405</v>
      </c>
      <c r="Y2331" t="str">
        <f>"0474506417"</f>
        <v>0474506417</v>
      </c>
      <c r="Z2331" t="s">
        <v>2257</v>
      </c>
      <c r="AB2331" t="s">
        <v>559</v>
      </c>
      <c r="AD2331" t="s">
        <v>41</v>
      </c>
      <c r="AE2331" t="s">
        <v>560</v>
      </c>
      <c r="AF2331">
        <v>4131</v>
      </c>
      <c r="AG2331" t="s">
        <v>4873</v>
      </c>
      <c r="AI2331" t="s">
        <v>59</v>
      </c>
      <c r="AL2331" t="s">
        <v>4874</v>
      </c>
      <c r="AM2331" t="s">
        <v>4875</v>
      </c>
      <c r="AN2331" s="3">
        <v>46076.306250000001</v>
      </c>
      <c r="AO2331" t="s">
        <v>1404</v>
      </c>
    </row>
    <row r="2332" spans="1:41" x14ac:dyDescent="0.3">
      <c r="A2332" t="s">
        <v>168</v>
      </c>
      <c r="B2332" t="s">
        <v>607</v>
      </c>
      <c r="C2332" t="s">
        <v>267</v>
      </c>
      <c r="D2332" t="s">
        <v>268</v>
      </c>
      <c r="E2332" s="1">
        <v>46045</v>
      </c>
      <c r="F2332" t="s">
        <v>2113</v>
      </c>
      <c r="G2332" t="s">
        <v>45</v>
      </c>
      <c r="H2332" s="2">
        <v>0.33333333333333331</v>
      </c>
      <c r="I2332" s="2">
        <v>0.6875</v>
      </c>
      <c r="J2332" t="s">
        <v>269</v>
      </c>
      <c r="K2332" t="s">
        <v>608</v>
      </c>
      <c r="L2332" t="s">
        <v>609</v>
      </c>
      <c r="M2332" t="s">
        <v>610</v>
      </c>
      <c r="N2332" t="s">
        <v>611</v>
      </c>
      <c r="O2332">
        <v>5952121</v>
      </c>
      <c r="P2332" t="s">
        <v>249</v>
      </c>
      <c r="Q2332" t="s">
        <v>612</v>
      </c>
      <c r="R2332" t="s">
        <v>613</v>
      </c>
      <c r="S2332" t="s">
        <v>52</v>
      </c>
      <c r="T2332" t="s">
        <v>252</v>
      </c>
      <c r="U2332">
        <v>888335</v>
      </c>
      <c r="V2332" s="3">
        <v>46048.029166666667</v>
      </c>
      <c r="W2332" t="s">
        <v>613</v>
      </c>
      <c r="X2332" t="s">
        <v>614</v>
      </c>
      <c r="Y2332" t="str">
        <f>"0412297150"</f>
        <v>0412297150</v>
      </c>
      <c r="Z2332" t="s">
        <v>1375</v>
      </c>
      <c r="AA2332" s="1">
        <v>46077</v>
      </c>
      <c r="AB2332" t="s">
        <v>615</v>
      </c>
      <c r="AC2332" t="s">
        <v>616</v>
      </c>
      <c r="AD2332" t="s">
        <v>168</v>
      </c>
      <c r="AE2332" t="s">
        <v>617</v>
      </c>
      <c r="AF2332">
        <v>5290</v>
      </c>
      <c r="AG2332" t="s">
        <v>618</v>
      </c>
      <c r="AI2332" t="s">
        <v>59</v>
      </c>
      <c r="AJ2332" t="str">
        <f>"0020171780"</f>
        <v>0020171780</v>
      </c>
      <c r="AM2332" t="s">
        <v>2441</v>
      </c>
      <c r="AN2332" s="3">
        <v>46048.029166666667</v>
      </c>
      <c r="AO2332" t="s">
        <v>613</v>
      </c>
    </row>
    <row r="2333" spans="1:41" x14ac:dyDescent="0.3">
      <c r="A2333" t="s">
        <v>168</v>
      </c>
      <c r="B2333" t="s">
        <v>689</v>
      </c>
      <c r="C2333" t="s">
        <v>43</v>
      </c>
      <c r="D2333" t="s">
        <v>268</v>
      </c>
      <c r="E2333" s="1">
        <v>46045</v>
      </c>
      <c r="F2333" t="s">
        <v>2113</v>
      </c>
      <c r="G2333" t="s">
        <v>45</v>
      </c>
      <c r="H2333" s="2">
        <v>0.375</v>
      </c>
      <c r="I2333" s="2">
        <v>0.72916666666666663</v>
      </c>
      <c r="J2333" t="s">
        <v>100</v>
      </c>
      <c r="L2333" t="s">
        <v>100</v>
      </c>
      <c r="M2333" t="s">
        <v>402</v>
      </c>
      <c r="N2333" t="s">
        <v>403</v>
      </c>
      <c r="O2333">
        <v>21398</v>
      </c>
      <c r="P2333" t="s">
        <v>249</v>
      </c>
      <c r="Q2333" t="s">
        <v>2110</v>
      </c>
      <c r="R2333" t="s">
        <v>405</v>
      </c>
      <c r="S2333" t="s">
        <v>52</v>
      </c>
      <c r="T2333" t="s">
        <v>252</v>
      </c>
      <c r="U2333">
        <v>888376</v>
      </c>
      <c r="V2333" s="3">
        <v>46049.447222222225</v>
      </c>
      <c r="W2333" t="s">
        <v>405</v>
      </c>
      <c r="X2333" t="s">
        <v>406</v>
      </c>
      <c r="Y2333" t="str">
        <f>"0423877972"</f>
        <v>0423877972</v>
      </c>
      <c r="Z2333" t="s">
        <v>375</v>
      </c>
      <c r="AA2333" s="1">
        <v>46075</v>
      </c>
      <c r="AB2333" t="s">
        <v>695</v>
      </c>
      <c r="AD2333" t="s">
        <v>168</v>
      </c>
      <c r="AE2333" t="s">
        <v>696</v>
      </c>
      <c r="AF2333">
        <v>5606</v>
      </c>
      <c r="AG2333" t="s">
        <v>866</v>
      </c>
      <c r="AI2333" t="s">
        <v>59</v>
      </c>
      <c r="AJ2333" t="str">
        <f>"0020185674"</f>
        <v>0020185674</v>
      </c>
      <c r="AN2333" s="3">
        <v>46049.447222222225</v>
      </c>
      <c r="AO2333" t="s">
        <v>405</v>
      </c>
    </row>
    <row r="2334" spans="1:41" x14ac:dyDescent="0.3">
      <c r="A2334" t="s">
        <v>41</v>
      </c>
      <c r="B2334" t="s">
        <v>568</v>
      </c>
      <c r="D2334" t="s">
        <v>246</v>
      </c>
      <c r="E2334" s="1">
        <v>46045</v>
      </c>
      <c r="F2334" t="s">
        <v>2113</v>
      </c>
      <c r="G2334" t="s">
        <v>128</v>
      </c>
      <c r="H2334" s="2">
        <v>0.60416666666666663</v>
      </c>
      <c r="I2334" s="2">
        <v>0.95833333333333337</v>
      </c>
      <c r="J2334" t="s">
        <v>269</v>
      </c>
      <c r="L2334" t="s">
        <v>172</v>
      </c>
      <c r="M2334" t="s">
        <v>311</v>
      </c>
      <c r="N2334" t="s">
        <v>570</v>
      </c>
      <c r="O2334">
        <v>5951685</v>
      </c>
      <c r="P2334" t="s">
        <v>571</v>
      </c>
      <c r="Q2334" t="s">
        <v>572</v>
      </c>
      <c r="R2334" t="s">
        <v>573</v>
      </c>
      <c r="S2334" t="s">
        <v>52</v>
      </c>
      <c r="T2334" t="s">
        <v>252</v>
      </c>
      <c r="U2334">
        <v>888437</v>
      </c>
      <c r="V2334" s="3">
        <v>46049.585416666669</v>
      </c>
      <c r="W2334" t="s">
        <v>574</v>
      </c>
      <c r="X2334" t="s">
        <v>575</v>
      </c>
      <c r="Y2334" t="str">
        <f>"0407007024"</f>
        <v>0407007024</v>
      </c>
      <c r="Z2334" t="s">
        <v>527</v>
      </c>
      <c r="AA2334" s="1">
        <v>46075</v>
      </c>
      <c r="AB2334" t="s">
        <v>576</v>
      </c>
      <c r="AD2334" t="s">
        <v>41</v>
      </c>
      <c r="AE2334" t="s">
        <v>577</v>
      </c>
      <c r="AF2334">
        <v>4700</v>
      </c>
      <c r="AG2334" t="s">
        <v>572</v>
      </c>
      <c r="AI2334" t="s">
        <v>59</v>
      </c>
      <c r="AJ2334" t="str">
        <f>"0050076113"</f>
        <v>0050076113</v>
      </c>
      <c r="AN2334" s="3">
        <v>46049.585416666669</v>
      </c>
      <c r="AO2334" t="s">
        <v>573</v>
      </c>
    </row>
    <row r="2335" spans="1:41" x14ac:dyDescent="0.3">
      <c r="A2335" t="s">
        <v>41</v>
      </c>
      <c r="B2335" t="s">
        <v>568</v>
      </c>
      <c r="C2335" t="s">
        <v>602</v>
      </c>
      <c r="D2335" t="s">
        <v>246</v>
      </c>
      <c r="E2335" s="1">
        <v>46045</v>
      </c>
      <c r="F2335" t="s">
        <v>2113</v>
      </c>
      <c r="G2335" t="s">
        <v>485</v>
      </c>
      <c r="H2335" s="2">
        <v>0.94791666666666663</v>
      </c>
      <c r="I2335" s="2">
        <v>0.30208333333333331</v>
      </c>
      <c r="J2335" t="s">
        <v>269</v>
      </c>
      <c r="L2335" t="s">
        <v>47</v>
      </c>
      <c r="M2335" t="s">
        <v>603</v>
      </c>
      <c r="N2335" t="s">
        <v>604</v>
      </c>
      <c r="O2335">
        <v>80</v>
      </c>
      <c r="P2335" t="s">
        <v>571</v>
      </c>
      <c r="Q2335" t="s">
        <v>572</v>
      </c>
      <c r="R2335" t="s">
        <v>573</v>
      </c>
      <c r="S2335" t="s">
        <v>52</v>
      </c>
      <c r="T2335" t="s">
        <v>252</v>
      </c>
      <c r="U2335">
        <v>888444</v>
      </c>
      <c r="V2335" s="3">
        <v>46049.587500000001</v>
      </c>
      <c r="W2335" t="s">
        <v>605</v>
      </c>
      <c r="X2335" t="s">
        <v>606</v>
      </c>
      <c r="Y2335" t="str">
        <f>"0414330986"</f>
        <v>0414330986</v>
      </c>
      <c r="Z2335" t="s">
        <v>290</v>
      </c>
      <c r="AA2335" s="1">
        <v>46068</v>
      </c>
      <c r="AB2335" t="s">
        <v>576</v>
      </c>
      <c r="AD2335" t="s">
        <v>41</v>
      </c>
      <c r="AE2335" t="s">
        <v>577</v>
      </c>
      <c r="AF2335">
        <v>4700</v>
      </c>
      <c r="AG2335" t="s">
        <v>572</v>
      </c>
      <c r="AI2335" t="s">
        <v>59</v>
      </c>
      <c r="AJ2335" t="str">
        <f>"0050075176"</f>
        <v>0050075176</v>
      </c>
      <c r="AN2335" s="3">
        <v>46049.587500000001</v>
      </c>
      <c r="AO2335" t="s">
        <v>573</v>
      </c>
    </row>
    <row r="2336" spans="1:41" x14ac:dyDescent="0.3">
      <c r="A2336" t="s">
        <v>41</v>
      </c>
      <c r="B2336" t="s">
        <v>568</v>
      </c>
      <c r="C2336" t="s">
        <v>602</v>
      </c>
      <c r="D2336" t="s">
        <v>246</v>
      </c>
      <c r="E2336" s="1">
        <v>46076</v>
      </c>
      <c r="F2336" t="s">
        <v>569</v>
      </c>
      <c r="G2336" t="s">
        <v>45</v>
      </c>
      <c r="H2336" s="2">
        <v>0.25</v>
      </c>
      <c r="I2336" s="2">
        <v>0.25347222222222221</v>
      </c>
      <c r="J2336" t="s">
        <v>269</v>
      </c>
      <c r="L2336" t="s">
        <v>47</v>
      </c>
      <c r="M2336" t="s">
        <v>603</v>
      </c>
      <c r="N2336" t="s">
        <v>604</v>
      </c>
      <c r="O2336">
        <v>80</v>
      </c>
      <c r="P2336" t="s">
        <v>571</v>
      </c>
      <c r="Q2336" t="s">
        <v>572</v>
      </c>
      <c r="R2336" t="s">
        <v>605</v>
      </c>
      <c r="S2336" t="s">
        <v>52</v>
      </c>
      <c r="T2336" t="s">
        <v>252</v>
      </c>
      <c r="U2336">
        <v>891761</v>
      </c>
      <c r="V2336" s="3">
        <v>46078.62222222222</v>
      </c>
      <c r="W2336" t="s">
        <v>605</v>
      </c>
      <c r="X2336" t="s">
        <v>606</v>
      </c>
      <c r="Y2336" t="str">
        <f>"0414330986"</f>
        <v>0414330986</v>
      </c>
      <c r="Z2336" t="s">
        <v>70</v>
      </c>
      <c r="AA2336" s="1">
        <v>46076</v>
      </c>
      <c r="AB2336" t="s">
        <v>576</v>
      </c>
      <c r="AD2336" t="s">
        <v>41</v>
      </c>
      <c r="AE2336" t="s">
        <v>577</v>
      </c>
      <c r="AF2336">
        <v>4700</v>
      </c>
      <c r="AG2336" t="s">
        <v>4876</v>
      </c>
      <c r="AI2336" t="s">
        <v>59</v>
      </c>
      <c r="AJ2336" t="str">
        <f>"0050075176"</f>
        <v>0050075176</v>
      </c>
      <c r="AN2336" s="3">
        <v>46078.62222222222</v>
      </c>
      <c r="AO2336" t="s">
        <v>605</v>
      </c>
    </row>
    <row r="2337" spans="1:41" x14ac:dyDescent="0.3">
      <c r="A2337" t="s">
        <v>61</v>
      </c>
      <c r="B2337" t="s">
        <v>182</v>
      </c>
      <c r="C2337" t="s">
        <v>183</v>
      </c>
      <c r="D2337" t="s">
        <v>184</v>
      </c>
      <c r="E2337" s="1">
        <v>46076</v>
      </c>
      <c r="F2337" t="s">
        <v>569</v>
      </c>
      <c r="G2337" t="s">
        <v>45</v>
      </c>
      <c r="H2337" s="2">
        <v>0.25</v>
      </c>
      <c r="I2337" s="2">
        <v>0.52083333333333337</v>
      </c>
      <c r="J2337" t="s">
        <v>185</v>
      </c>
      <c r="L2337" t="s">
        <v>186</v>
      </c>
      <c r="M2337" t="s">
        <v>1395</v>
      </c>
      <c r="N2337" t="s">
        <v>1396</v>
      </c>
      <c r="O2337">
        <v>758</v>
      </c>
      <c r="Q2337" t="s">
        <v>189</v>
      </c>
      <c r="R2337" t="s">
        <v>500</v>
      </c>
      <c r="S2337" t="s">
        <v>52</v>
      </c>
      <c r="U2337">
        <v>891462</v>
      </c>
      <c r="V2337" s="3">
        <v>46071.82708333333</v>
      </c>
      <c r="W2337" t="s">
        <v>1397</v>
      </c>
      <c r="X2337" t="s">
        <v>1398</v>
      </c>
      <c r="Y2337" t="str">
        <f>"0402403886"</f>
        <v>0402403886</v>
      </c>
      <c r="Z2337" t="s">
        <v>1225</v>
      </c>
      <c r="AB2337" t="s">
        <v>193</v>
      </c>
      <c r="AD2337" t="s">
        <v>61</v>
      </c>
      <c r="AE2337" t="s">
        <v>194</v>
      </c>
      <c r="AF2337">
        <v>2229</v>
      </c>
      <c r="AG2337" t="s">
        <v>189</v>
      </c>
      <c r="AI2337" t="s">
        <v>59</v>
      </c>
      <c r="AL2337" t="s">
        <v>4877</v>
      </c>
      <c r="AN2337" s="3">
        <v>46076.517361111109</v>
      </c>
      <c r="AO2337" t="s">
        <v>1397</v>
      </c>
    </row>
    <row r="2338" spans="1:41" x14ac:dyDescent="0.3">
      <c r="A2338" t="s">
        <v>41</v>
      </c>
      <c r="B2338" t="s">
        <v>632</v>
      </c>
      <c r="C2338" t="s">
        <v>296</v>
      </c>
      <c r="D2338" t="s">
        <v>246</v>
      </c>
      <c r="E2338" s="1">
        <v>46076</v>
      </c>
      <c r="F2338" t="s">
        <v>569</v>
      </c>
      <c r="G2338" t="s">
        <v>45</v>
      </c>
      <c r="H2338" s="2">
        <v>0.27083333333333331</v>
      </c>
      <c r="I2338" s="2">
        <v>0.625</v>
      </c>
      <c r="J2338" t="s">
        <v>296</v>
      </c>
      <c r="L2338" t="s">
        <v>633</v>
      </c>
      <c r="M2338" t="s">
        <v>634</v>
      </c>
      <c r="N2338" t="s">
        <v>635</v>
      </c>
      <c r="O2338">
        <v>402532</v>
      </c>
      <c r="Q2338" t="s">
        <v>1403</v>
      </c>
      <c r="R2338" t="s">
        <v>723</v>
      </c>
      <c r="S2338" t="s">
        <v>119</v>
      </c>
      <c r="T2338" t="s">
        <v>414</v>
      </c>
      <c r="U2338">
        <v>892242</v>
      </c>
      <c r="V2338" s="3">
        <v>46070.465277777781</v>
      </c>
      <c r="W2338" t="s">
        <v>637</v>
      </c>
      <c r="X2338" t="s">
        <v>638</v>
      </c>
      <c r="Y2338" t="str">
        <f>"0433474014"</f>
        <v>0433474014</v>
      </c>
      <c r="Z2338" t="s">
        <v>1885</v>
      </c>
      <c r="AB2338" t="s">
        <v>640</v>
      </c>
      <c r="AD2338" t="s">
        <v>41</v>
      </c>
      <c r="AE2338" t="s">
        <v>641</v>
      </c>
      <c r="AF2338">
        <v>4305</v>
      </c>
      <c r="AG2338" t="s">
        <v>1370</v>
      </c>
      <c r="AI2338" t="s">
        <v>59</v>
      </c>
      <c r="AL2338" t="s">
        <v>1407</v>
      </c>
      <c r="AN2338" s="3">
        <v>46071.662499999999</v>
      </c>
      <c r="AO2338" t="s">
        <v>723</v>
      </c>
    </row>
    <row r="2339" spans="1:41" x14ac:dyDescent="0.3">
      <c r="A2339" t="s">
        <v>41</v>
      </c>
      <c r="B2339" t="s">
        <v>632</v>
      </c>
      <c r="C2339" t="s">
        <v>296</v>
      </c>
      <c r="D2339" t="s">
        <v>246</v>
      </c>
      <c r="E2339" s="1">
        <v>46076</v>
      </c>
      <c r="F2339" t="s">
        <v>569</v>
      </c>
      <c r="G2339" t="s">
        <v>45</v>
      </c>
      <c r="H2339" s="2">
        <v>0.27083333333333331</v>
      </c>
      <c r="I2339" s="2">
        <v>0.625</v>
      </c>
      <c r="J2339" t="s">
        <v>464</v>
      </c>
      <c r="L2339" t="s">
        <v>540</v>
      </c>
      <c r="M2339" t="s">
        <v>3599</v>
      </c>
      <c r="N2339" t="s">
        <v>3600</v>
      </c>
      <c r="O2339">
        <v>5952151</v>
      </c>
      <c r="Q2339" t="s">
        <v>1403</v>
      </c>
      <c r="R2339" t="s">
        <v>723</v>
      </c>
      <c r="S2339" t="s">
        <v>52</v>
      </c>
      <c r="U2339">
        <v>891488</v>
      </c>
      <c r="V2339" s="3">
        <v>46070.45416666667</v>
      </c>
      <c r="W2339" t="s">
        <v>3601</v>
      </c>
      <c r="X2339" t="s">
        <v>3602</v>
      </c>
      <c r="Y2339" t="str">
        <f>"0499779020"</f>
        <v>0499779020</v>
      </c>
      <c r="Z2339" t="s">
        <v>1669</v>
      </c>
      <c r="AB2339" t="s">
        <v>640</v>
      </c>
      <c r="AD2339" t="s">
        <v>41</v>
      </c>
      <c r="AE2339" t="s">
        <v>641</v>
      </c>
      <c r="AF2339">
        <v>4305</v>
      </c>
      <c r="AG2339" t="s">
        <v>1370</v>
      </c>
      <c r="AI2339" t="s">
        <v>59</v>
      </c>
      <c r="AL2339" t="s">
        <v>1407</v>
      </c>
      <c r="AM2339" t="s">
        <v>1370</v>
      </c>
      <c r="AN2339" s="3">
        <v>46076.663194444445</v>
      </c>
      <c r="AO2339" t="s">
        <v>3601</v>
      </c>
    </row>
    <row r="2340" spans="1:41" x14ac:dyDescent="0.3">
      <c r="A2340" t="s">
        <v>168</v>
      </c>
      <c r="B2340" t="s">
        <v>215</v>
      </c>
      <c r="C2340" t="s">
        <v>43</v>
      </c>
      <c r="D2340" t="s">
        <v>127</v>
      </c>
      <c r="E2340" s="1">
        <v>46076</v>
      </c>
      <c r="F2340" t="s">
        <v>569</v>
      </c>
      <c r="G2340" t="s">
        <v>45</v>
      </c>
      <c r="H2340" s="2">
        <v>0.27083333333333331</v>
      </c>
      <c r="I2340" s="2">
        <v>0.58333333333333337</v>
      </c>
      <c r="J2340" t="s">
        <v>258</v>
      </c>
      <c r="K2340" t="s">
        <v>259</v>
      </c>
      <c r="L2340" t="s">
        <v>186</v>
      </c>
      <c r="M2340" t="s">
        <v>651</v>
      </c>
      <c r="N2340" t="s">
        <v>412</v>
      </c>
      <c r="O2340">
        <v>21855</v>
      </c>
      <c r="Q2340" t="s">
        <v>219</v>
      </c>
      <c r="R2340" t="s">
        <v>556</v>
      </c>
      <c r="S2340" t="s">
        <v>52</v>
      </c>
      <c r="U2340">
        <v>891471</v>
      </c>
      <c r="V2340" s="3">
        <v>46057.063194444447</v>
      </c>
      <c r="W2340" t="s">
        <v>652</v>
      </c>
      <c r="X2340" t="s">
        <v>653</v>
      </c>
      <c r="Y2340" t="str">
        <f>"0407317111"</f>
        <v>0407317111</v>
      </c>
      <c r="Z2340" t="s">
        <v>70</v>
      </c>
      <c r="AB2340" t="s">
        <v>222</v>
      </c>
      <c r="AD2340" t="s">
        <v>168</v>
      </c>
      <c r="AE2340" t="s">
        <v>223</v>
      </c>
      <c r="AF2340">
        <v>5069</v>
      </c>
      <c r="AG2340" t="s">
        <v>219</v>
      </c>
      <c r="AI2340" t="s">
        <v>59</v>
      </c>
      <c r="AL2340" t="s">
        <v>1121</v>
      </c>
      <c r="AN2340" s="3">
        <v>46076.552083333336</v>
      </c>
      <c r="AO2340" t="s">
        <v>652</v>
      </c>
    </row>
    <row r="2341" spans="1:41" x14ac:dyDescent="0.3">
      <c r="A2341" t="s">
        <v>168</v>
      </c>
      <c r="B2341" t="s">
        <v>376</v>
      </c>
      <c r="C2341" t="s">
        <v>43</v>
      </c>
      <c r="D2341" t="s">
        <v>127</v>
      </c>
      <c r="E2341" s="1">
        <v>46076</v>
      </c>
      <c r="F2341" t="s">
        <v>569</v>
      </c>
      <c r="G2341" t="s">
        <v>45</v>
      </c>
      <c r="H2341" s="2">
        <v>0.29166666666666669</v>
      </c>
      <c r="I2341" s="2">
        <v>0.5</v>
      </c>
      <c r="J2341" t="s">
        <v>185</v>
      </c>
      <c r="K2341" t="s">
        <v>1507</v>
      </c>
      <c r="L2341" t="s">
        <v>186</v>
      </c>
      <c r="M2341" t="s">
        <v>668</v>
      </c>
      <c r="N2341" t="s">
        <v>669</v>
      </c>
      <c r="O2341">
        <v>5952440</v>
      </c>
      <c r="Q2341" t="s">
        <v>4314</v>
      </c>
      <c r="R2341" t="s">
        <v>231</v>
      </c>
      <c r="S2341" t="s">
        <v>52</v>
      </c>
      <c r="U2341">
        <v>891461</v>
      </c>
      <c r="V2341" s="3">
        <v>46055.645833333336</v>
      </c>
      <c r="W2341" t="s">
        <v>671</v>
      </c>
      <c r="X2341" t="s">
        <v>672</v>
      </c>
      <c r="Y2341" t="str">
        <f>"0431563005"</f>
        <v>0431563005</v>
      </c>
      <c r="Z2341" t="s">
        <v>748</v>
      </c>
      <c r="AB2341" t="s">
        <v>383</v>
      </c>
      <c r="AD2341" t="s">
        <v>168</v>
      </c>
      <c r="AE2341" t="s">
        <v>384</v>
      </c>
      <c r="AF2341">
        <v>5000</v>
      </c>
      <c r="AG2341" t="s">
        <v>674</v>
      </c>
      <c r="AI2341" t="s">
        <v>59</v>
      </c>
      <c r="AL2341" t="s">
        <v>4878</v>
      </c>
      <c r="AN2341" s="3">
        <v>46076.515277777777</v>
      </c>
      <c r="AO2341" t="s">
        <v>671</v>
      </c>
    </row>
    <row r="2342" spans="1:41" x14ac:dyDescent="0.3">
      <c r="A2342" t="s">
        <v>61</v>
      </c>
      <c r="B2342" t="s">
        <v>182</v>
      </c>
      <c r="C2342" t="s">
        <v>202</v>
      </c>
      <c r="D2342" t="s">
        <v>184</v>
      </c>
      <c r="E2342" s="1">
        <v>46076</v>
      </c>
      <c r="F2342" t="s">
        <v>569</v>
      </c>
      <c r="G2342" t="s">
        <v>45</v>
      </c>
      <c r="H2342" s="2">
        <v>0.29166666666666669</v>
      </c>
      <c r="I2342" s="2">
        <v>0.99861111111111112</v>
      </c>
      <c r="J2342" t="s">
        <v>46</v>
      </c>
      <c r="L2342" t="s">
        <v>47</v>
      </c>
      <c r="M2342" t="s">
        <v>1578</v>
      </c>
      <c r="N2342" t="s">
        <v>1803</v>
      </c>
      <c r="O2342">
        <v>5950668</v>
      </c>
      <c r="Q2342" t="s">
        <v>189</v>
      </c>
      <c r="R2342" t="s">
        <v>67</v>
      </c>
      <c r="S2342" t="s">
        <v>52</v>
      </c>
      <c r="U2342">
        <v>891487</v>
      </c>
      <c r="V2342" s="3">
        <v>46073.424305555556</v>
      </c>
      <c r="W2342" t="s">
        <v>1804</v>
      </c>
      <c r="X2342" t="s">
        <v>1805</v>
      </c>
      <c r="Y2342" t="str">
        <f>"0429048174"</f>
        <v>0429048174</v>
      </c>
      <c r="Z2342" t="s">
        <v>123</v>
      </c>
      <c r="AB2342" t="s">
        <v>193</v>
      </c>
      <c r="AD2342" t="s">
        <v>61</v>
      </c>
      <c r="AE2342" t="s">
        <v>194</v>
      </c>
      <c r="AF2342">
        <v>2229</v>
      </c>
      <c r="AG2342" t="s">
        <v>189</v>
      </c>
      <c r="AI2342" t="s">
        <v>59</v>
      </c>
      <c r="AL2342" t="s">
        <v>4879</v>
      </c>
      <c r="AN2342" s="3">
        <v>46076.657638888886</v>
      </c>
      <c r="AO2342" t="s">
        <v>1804</v>
      </c>
    </row>
    <row r="2343" spans="1:41" x14ac:dyDescent="0.3">
      <c r="A2343" t="s">
        <v>168</v>
      </c>
      <c r="B2343" t="s">
        <v>1205</v>
      </c>
      <c r="C2343" t="s">
        <v>216</v>
      </c>
      <c r="D2343" t="s">
        <v>127</v>
      </c>
      <c r="E2343" s="1">
        <v>46076</v>
      </c>
      <c r="F2343" t="s">
        <v>569</v>
      </c>
      <c r="G2343" t="s">
        <v>45</v>
      </c>
      <c r="H2343" s="2">
        <v>0.29166666666666669</v>
      </c>
      <c r="I2343" s="2">
        <v>0.54166666666666663</v>
      </c>
      <c r="J2343" t="s">
        <v>101</v>
      </c>
      <c r="L2343" t="s">
        <v>159</v>
      </c>
      <c r="M2343" t="s">
        <v>1206</v>
      </c>
      <c r="N2343" t="s">
        <v>1207</v>
      </c>
      <c r="O2343">
        <v>21307</v>
      </c>
      <c r="Q2343" t="s">
        <v>1208</v>
      </c>
      <c r="R2343" t="s">
        <v>231</v>
      </c>
      <c r="S2343" t="s">
        <v>52</v>
      </c>
      <c r="U2343">
        <v>891504</v>
      </c>
      <c r="V2343" s="3">
        <v>46073.570138888892</v>
      </c>
      <c r="W2343" t="s">
        <v>1209</v>
      </c>
      <c r="X2343" t="s">
        <v>1210</v>
      </c>
      <c r="Y2343" t="str">
        <f>"0421122070"</f>
        <v>0421122070</v>
      </c>
      <c r="Z2343" t="s">
        <v>123</v>
      </c>
      <c r="AB2343" t="s">
        <v>1211</v>
      </c>
      <c r="AD2343" t="s">
        <v>168</v>
      </c>
      <c r="AE2343" t="s">
        <v>1212</v>
      </c>
      <c r="AF2343">
        <v>5045</v>
      </c>
      <c r="AG2343" t="s">
        <v>1208</v>
      </c>
      <c r="AI2343" t="s">
        <v>59</v>
      </c>
      <c r="AL2343" t="s">
        <v>1213</v>
      </c>
      <c r="AN2343" s="3">
        <v>46076.738194444442</v>
      </c>
      <c r="AO2343" t="s">
        <v>1209</v>
      </c>
    </row>
    <row r="2344" spans="1:41" x14ac:dyDescent="0.3">
      <c r="A2344" t="s">
        <v>41</v>
      </c>
      <c r="B2344" t="s">
        <v>1228</v>
      </c>
      <c r="C2344" t="s">
        <v>296</v>
      </c>
      <c r="D2344" t="s">
        <v>246</v>
      </c>
      <c r="E2344" s="1">
        <v>46076</v>
      </c>
      <c r="F2344" t="s">
        <v>569</v>
      </c>
      <c r="G2344" t="s">
        <v>45</v>
      </c>
      <c r="H2344" s="2">
        <v>0.29166666666666669</v>
      </c>
      <c r="I2344" s="2">
        <v>0.5625</v>
      </c>
      <c r="J2344" t="s">
        <v>296</v>
      </c>
      <c r="L2344" t="s">
        <v>1229</v>
      </c>
      <c r="M2344" t="s">
        <v>1230</v>
      </c>
      <c r="N2344" t="s">
        <v>1231</v>
      </c>
      <c r="O2344">
        <v>5952329</v>
      </c>
      <c r="Q2344" t="s">
        <v>4880</v>
      </c>
      <c r="R2344" t="s">
        <v>500</v>
      </c>
      <c r="S2344" t="s">
        <v>52</v>
      </c>
      <c r="U2344">
        <v>891483</v>
      </c>
      <c r="V2344" s="3">
        <v>46075.870138888888</v>
      </c>
      <c r="W2344" t="s">
        <v>1233</v>
      </c>
      <c r="X2344" t="s">
        <v>1234</v>
      </c>
      <c r="Y2344" t="str">
        <f>"0485533840"</f>
        <v>0485533840</v>
      </c>
      <c r="Z2344" t="s">
        <v>70</v>
      </c>
      <c r="AA2344" s="1">
        <v>46076</v>
      </c>
      <c r="AB2344" t="s">
        <v>1235</v>
      </c>
      <c r="AD2344" t="s">
        <v>41</v>
      </c>
      <c r="AE2344" t="s">
        <v>1236</v>
      </c>
      <c r="AF2344">
        <v>4215</v>
      </c>
      <c r="AG2344" t="s">
        <v>4881</v>
      </c>
      <c r="AI2344" t="s">
        <v>59</v>
      </c>
      <c r="AL2344" t="s">
        <v>87</v>
      </c>
      <c r="AN2344" s="3">
        <v>46076.602083333331</v>
      </c>
      <c r="AO2344" t="s">
        <v>1233</v>
      </c>
    </row>
    <row r="2345" spans="1:41" x14ac:dyDescent="0.3">
      <c r="A2345" t="s">
        <v>41</v>
      </c>
      <c r="B2345" t="s">
        <v>965</v>
      </c>
      <c r="C2345" t="s">
        <v>43</v>
      </c>
      <c r="D2345" t="s">
        <v>966</v>
      </c>
      <c r="E2345" s="1">
        <v>46076</v>
      </c>
      <c r="F2345" t="s">
        <v>569</v>
      </c>
      <c r="G2345" t="s">
        <v>45</v>
      </c>
      <c r="H2345" s="2">
        <v>0.29166666666666669</v>
      </c>
      <c r="I2345" s="2">
        <v>0.64583333333333337</v>
      </c>
      <c r="J2345" t="s">
        <v>101</v>
      </c>
      <c r="L2345" t="s">
        <v>967</v>
      </c>
      <c r="M2345" t="s">
        <v>968</v>
      </c>
      <c r="N2345" t="s">
        <v>969</v>
      </c>
      <c r="O2345">
        <v>5952467</v>
      </c>
      <c r="Q2345" t="s">
        <v>1471</v>
      </c>
      <c r="R2345" t="s">
        <v>1472</v>
      </c>
      <c r="S2345" t="s">
        <v>52</v>
      </c>
      <c r="U2345">
        <v>891490</v>
      </c>
      <c r="V2345" s="3">
        <v>46063.439583333333</v>
      </c>
      <c r="W2345" t="s">
        <v>970</v>
      </c>
      <c r="X2345" t="s">
        <v>971</v>
      </c>
      <c r="Y2345" t="str">
        <f>"0433979184"</f>
        <v>0433979184</v>
      </c>
      <c r="Z2345" t="s">
        <v>2442</v>
      </c>
      <c r="AB2345" t="s">
        <v>972</v>
      </c>
      <c r="AD2345" t="s">
        <v>41</v>
      </c>
      <c r="AE2345" t="s">
        <v>973</v>
      </c>
      <c r="AF2345">
        <v>4068</v>
      </c>
      <c r="AG2345" t="s">
        <v>1471</v>
      </c>
      <c r="AI2345" t="s">
        <v>59</v>
      </c>
      <c r="AL2345" t="s">
        <v>3513</v>
      </c>
      <c r="AN2345" s="3">
        <v>46076.688194444447</v>
      </c>
      <c r="AO2345" t="s">
        <v>970</v>
      </c>
    </row>
    <row r="2346" spans="1:41" x14ac:dyDescent="0.3">
      <c r="A2346" t="s">
        <v>41</v>
      </c>
      <c r="B2346" t="s">
        <v>1480</v>
      </c>
      <c r="C2346" t="s">
        <v>1481</v>
      </c>
      <c r="E2346" s="1">
        <v>46076</v>
      </c>
      <c r="F2346" t="s">
        <v>569</v>
      </c>
      <c r="G2346" t="s">
        <v>45</v>
      </c>
      <c r="H2346" s="2">
        <v>0.29166666666666669</v>
      </c>
      <c r="I2346" s="2">
        <v>0.625</v>
      </c>
      <c r="J2346" t="s">
        <v>1482</v>
      </c>
      <c r="L2346" t="s">
        <v>1482</v>
      </c>
      <c r="M2346" t="s">
        <v>1483</v>
      </c>
      <c r="N2346" t="s">
        <v>1484</v>
      </c>
      <c r="O2346">
        <v>402353</v>
      </c>
      <c r="Q2346" t="s">
        <v>1485</v>
      </c>
      <c r="R2346" t="s">
        <v>1472</v>
      </c>
      <c r="S2346" t="s">
        <v>119</v>
      </c>
      <c r="T2346" t="s">
        <v>120</v>
      </c>
      <c r="U2346">
        <v>892161</v>
      </c>
      <c r="V2346" s="3">
        <v>46044.65</v>
      </c>
      <c r="W2346" t="s">
        <v>1486</v>
      </c>
      <c r="X2346" t="s">
        <v>1487</v>
      </c>
      <c r="Y2346" t="str">
        <f>"0407640486"</f>
        <v>0407640486</v>
      </c>
      <c r="Z2346" t="s">
        <v>1225</v>
      </c>
      <c r="AB2346" t="s">
        <v>1488</v>
      </c>
      <c r="AD2346" t="s">
        <v>41</v>
      </c>
      <c r="AE2346" t="s">
        <v>1489</v>
      </c>
      <c r="AF2346">
        <v>4059</v>
      </c>
      <c r="AG2346" t="s">
        <v>1485</v>
      </c>
      <c r="AI2346" t="s">
        <v>59</v>
      </c>
      <c r="AN2346" s="3">
        <v>46044.65</v>
      </c>
      <c r="AO2346" t="s">
        <v>1472</v>
      </c>
    </row>
    <row r="2347" spans="1:41" x14ac:dyDescent="0.3">
      <c r="A2347" t="s">
        <v>61</v>
      </c>
      <c r="B2347" t="s">
        <v>350</v>
      </c>
      <c r="C2347" t="s">
        <v>1659</v>
      </c>
      <c r="D2347" t="s">
        <v>63</v>
      </c>
      <c r="E2347" s="1">
        <v>46076</v>
      </c>
      <c r="F2347" t="s">
        <v>569</v>
      </c>
      <c r="G2347" t="s">
        <v>45</v>
      </c>
      <c r="H2347" s="2">
        <v>0.29166666666666669</v>
      </c>
      <c r="I2347" s="2">
        <v>0.60416666666666663</v>
      </c>
      <c r="J2347" t="s">
        <v>529</v>
      </c>
      <c r="L2347" t="s">
        <v>735</v>
      </c>
      <c r="M2347" t="s">
        <v>736</v>
      </c>
      <c r="N2347" t="s">
        <v>737</v>
      </c>
      <c r="O2347">
        <v>5952096</v>
      </c>
      <c r="Q2347" t="s">
        <v>4882</v>
      </c>
      <c r="R2347" t="s">
        <v>500</v>
      </c>
      <c r="S2347" t="s">
        <v>52</v>
      </c>
      <c r="U2347">
        <v>891481</v>
      </c>
      <c r="V2347" s="3">
        <v>46076.013888888891</v>
      </c>
      <c r="W2347" t="s">
        <v>739</v>
      </c>
      <c r="X2347" t="s">
        <v>740</v>
      </c>
      <c r="Y2347" t="str">
        <f>"0432227593"</f>
        <v>0432227593</v>
      </c>
      <c r="Z2347" t="s">
        <v>70</v>
      </c>
      <c r="AA2347" s="1">
        <v>46076</v>
      </c>
      <c r="AB2347" t="s">
        <v>356</v>
      </c>
      <c r="AD2347" t="s">
        <v>61</v>
      </c>
      <c r="AE2347" t="s">
        <v>357</v>
      </c>
      <c r="AF2347">
        <v>2153</v>
      </c>
      <c r="AG2347" t="s">
        <v>1268</v>
      </c>
      <c r="AI2347" t="s">
        <v>59</v>
      </c>
      <c r="AL2347" t="s">
        <v>4883</v>
      </c>
      <c r="AN2347" s="3">
        <v>46076.597222222219</v>
      </c>
      <c r="AO2347" t="s">
        <v>739</v>
      </c>
    </row>
    <row r="2348" spans="1:41" x14ac:dyDescent="0.3">
      <c r="A2348" t="s">
        <v>168</v>
      </c>
      <c r="B2348" t="s">
        <v>689</v>
      </c>
      <c r="C2348" t="s">
        <v>1496</v>
      </c>
      <c r="D2348" t="s">
        <v>268</v>
      </c>
      <c r="E2348" s="1">
        <v>46076</v>
      </c>
      <c r="F2348" t="s">
        <v>569</v>
      </c>
      <c r="G2348" t="s">
        <v>45</v>
      </c>
      <c r="H2348" s="2">
        <v>0.29166666666666669</v>
      </c>
      <c r="I2348" s="2">
        <v>0.64583333333333337</v>
      </c>
      <c r="J2348" t="s">
        <v>46</v>
      </c>
      <c r="L2348" t="s">
        <v>47</v>
      </c>
      <c r="M2348" t="s">
        <v>1497</v>
      </c>
      <c r="N2348" t="s">
        <v>465</v>
      </c>
      <c r="O2348">
        <v>5950806</v>
      </c>
      <c r="P2348" t="s">
        <v>249</v>
      </c>
      <c r="Q2348" t="s">
        <v>692</v>
      </c>
      <c r="R2348" t="s">
        <v>1498</v>
      </c>
      <c r="S2348" t="s">
        <v>52</v>
      </c>
      <c r="T2348" t="s">
        <v>252</v>
      </c>
      <c r="U2348">
        <v>892226</v>
      </c>
      <c r="V2348" s="3">
        <v>46083.493750000001</v>
      </c>
      <c r="W2348" t="s">
        <v>1498</v>
      </c>
      <c r="X2348" t="s">
        <v>1499</v>
      </c>
      <c r="Y2348" t="str">
        <f>"0425332962"</f>
        <v>0425332962</v>
      </c>
      <c r="Z2348" t="s">
        <v>585</v>
      </c>
      <c r="AA2348" s="1">
        <v>46117</v>
      </c>
      <c r="AB2348" t="s">
        <v>695</v>
      </c>
      <c r="AD2348" t="s">
        <v>168</v>
      </c>
      <c r="AE2348" t="s">
        <v>696</v>
      </c>
      <c r="AF2348">
        <v>5606</v>
      </c>
      <c r="AG2348" t="s">
        <v>1500</v>
      </c>
      <c r="AI2348" t="s">
        <v>59</v>
      </c>
      <c r="AJ2348" t="str">
        <f>"0020188039"</f>
        <v>0020188039</v>
      </c>
      <c r="AN2348" s="3">
        <v>46083.493750000001</v>
      </c>
      <c r="AO2348" t="s">
        <v>1498</v>
      </c>
    </row>
    <row r="2349" spans="1:41" x14ac:dyDescent="0.3">
      <c r="A2349" t="s">
        <v>168</v>
      </c>
      <c r="B2349" t="s">
        <v>225</v>
      </c>
      <c r="C2349" t="s">
        <v>226</v>
      </c>
      <c r="D2349" t="s">
        <v>227</v>
      </c>
      <c r="E2349" s="1">
        <v>46076</v>
      </c>
      <c r="F2349" t="s">
        <v>569</v>
      </c>
      <c r="G2349" t="s">
        <v>45</v>
      </c>
      <c r="H2349" s="2">
        <v>0.29166666666666669</v>
      </c>
      <c r="I2349" s="2">
        <v>0.54166666666666663</v>
      </c>
      <c r="J2349" t="s">
        <v>101</v>
      </c>
      <c r="L2349" t="s">
        <v>743</v>
      </c>
      <c r="M2349" t="s">
        <v>1886</v>
      </c>
      <c r="N2349" t="s">
        <v>1887</v>
      </c>
      <c r="O2349">
        <v>5952367</v>
      </c>
      <c r="Q2349" t="s">
        <v>230</v>
      </c>
      <c r="R2349" t="s">
        <v>231</v>
      </c>
      <c r="S2349" t="s">
        <v>52</v>
      </c>
      <c r="U2349">
        <v>891472</v>
      </c>
      <c r="V2349" s="3">
        <v>46042.371527777781</v>
      </c>
      <c r="W2349" t="s">
        <v>1888</v>
      </c>
      <c r="X2349" t="s">
        <v>1889</v>
      </c>
      <c r="Y2349" t="str">
        <f>"0468596772"</f>
        <v>0468596772</v>
      </c>
      <c r="Z2349" t="s">
        <v>919</v>
      </c>
      <c r="AB2349" t="s">
        <v>235</v>
      </c>
      <c r="AD2349" t="s">
        <v>168</v>
      </c>
      <c r="AE2349" t="s">
        <v>236</v>
      </c>
      <c r="AF2349">
        <v>5087</v>
      </c>
      <c r="AG2349" t="s">
        <v>230</v>
      </c>
      <c r="AI2349" t="s">
        <v>59</v>
      </c>
      <c r="AL2349" t="s">
        <v>803</v>
      </c>
      <c r="AM2349" t="s">
        <v>1103</v>
      </c>
      <c r="AN2349" s="3">
        <v>46076.556944444441</v>
      </c>
      <c r="AO2349" t="s">
        <v>1888</v>
      </c>
    </row>
    <row r="2350" spans="1:41" x14ac:dyDescent="0.3">
      <c r="A2350" t="s">
        <v>168</v>
      </c>
      <c r="B2350" t="s">
        <v>1178</v>
      </c>
      <c r="C2350" t="s">
        <v>43</v>
      </c>
      <c r="D2350" t="s">
        <v>127</v>
      </c>
      <c r="E2350" s="1">
        <v>46076</v>
      </c>
      <c r="F2350" t="s">
        <v>569</v>
      </c>
      <c r="G2350" t="s">
        <v>45</v>
      </c>
      <c r="H2350" s="2">
        <v>0.29166666666666669</v>
      </c>
      <c r="I2350" s="2">
        <v>0.58333333333333337</v>
      </c>
      <c r="J2350" t="s">
        <v>185</v>
      </c>
      <c r="K2350" t="s">
        <v>4884</v>
      </c>
      <c r="L2350" t="s">
        <v>186</v>
      </c>
      <c r="M2350" t="s">
        <v>798</v>
      </c>
      <c r="N2350" t="s">
        <v>799</v>
      </c>
      <c r="O2350">
        <v>20875</v>
      </c>
      <c r="Q2350" t="s">
        <v>2047</v>
      </c>
      <c r="R2350" t="s">
        <v>231</v>
      </c>
      <c r="S2350" t="s">
        <v>52</v>
      </c>
      <c r="U2350">
        <v>891473</v>
      </c>
      <c r="V2350" s="3">
        <v>46043.511805555558</v>
      </c>
      <c r="W2350" t="s">
        <v>800</v>
      </c>
      <c r="X2350" t="s">
        <v>801</v>
      </c>
      <c r="Y2350" t="str">
        <f>"0417001267"</f>
        <v>0417001267</v>
      </c>
      <c r="Z2350" t="s">
        <v>1225</v>
      </c>
      <c r="AB2350" t="s">
        <v>1184</v>
      </c>
      <c r="AD2350" t="s">
        <v>168</v>
      </c>
      <c r="AE2350" t="s">
        <v>1185</v>
      </c>
      <c r="AF2350">
        <v>5066</v>
      </c>
      <c r="AG2350" t="s">
        <v>2047</v>
      </c>
      <c r="AI2350" t="s">
        <v>59</v>
      </c>
      <c r="AL2350" t="s">
        <v>4339</v>
      </c>
      <c r="AN2350" s="3">
        <v>46076.590277777781</v>
      </c>
      <c r="AO2350" t="s">
        <v>800</v>
      </c>
    </row>
    <row r="2351" spans="1:41" x14ac:dyDescent="0.3">
      <c r="A2351" t="s">
        <v>75</v>
      </c>
      <c r="B2351" t="s">
        <v>76</v>
      </c>
      <c r="C2351" t="s">
        <v>43</v>
      </c>
      <c r="D2351" t="s">
        <v>63</v>
      </c>
      <c r="E2351" s="1">
        <v>46076</v>
      </c>
      <c r="F2351" t="s">
        <v>569</v>
      </c>
      <c r="G2351" t="s">
        <v>45</v>
      </c>
      <c r="H2351" s="2">
        <v>0.3125</v>
      </c>
      <c r="I2351" s="2">
        <v>0.77083333333333337</v>
      </c>
      <c r="J2351" t="s">
        <v>46</v>
      </c>
      <c r="K2351" t="s">
        <v>77</v>
      </c>
      <c r="L2351" t="s">
        <v>4374</v>
      </c>
      <c r="M2351" t="s">
        <v>4375</v>
      </c>
      <c r="N2351" t="s">
        <v>4376</v>
      </c>
      <c r="O2351">
        <v>5952477</v>
      </c>
      <c r="Q2351" t="s">
        <v>1056</v>
      </c>
      <c r="R2351" t="s">
        <v>926</v>
      </c>
      <c r="S2351" t="s">
        <v>52</v>
      </c>
      <c r="U2351">
        <v>891540</v>
      </c>
      <c r="V2351" s="3">
        <v>46071.659722222219</v>
      </c>
      <c r="W2351" t="s">
        <v>4378</v>
      </c>
      <c r="X2351" t="s">
        <v>4379</v>
      </c>
      <c r="Y2351" t="str">
        <f>"0479018028"</f>
        <v>0479018028</v>
      </c>
      <c r="Z2351" t="s">
        <v>70</v>
      </c>
      <c r="AA2351" s="1">
        <v>46076</v>
      </c>
      <c r="AB2351" t="s">
        <v>85</v>
      </c>
      <c r="AD2351" t="s">
        <v>75</v>
      </c>
      <c r="AE2351" t="s">
        <v>86</v>
      </c>
      <c r="AF2351">
        <v>6000</v>
      </c>
      <c r="AG2351" t="s">
        <v>1059</v>
      </c>
      <c r="AI2351" t="s">
        <v>59</v>
      </c>
      <c r="AL2351" t="s">
        <v>87</v>
      </c>
      <c r="AN2351" s="3">
        <v>46076.848611111112</v>
      </c>
      <c r="AO2351" t="s">
        <v>4378</v>
      </c>
    </row>
    <row r="2352" spans="1:41" x14ac:dyDescent="0.3">
      <c r="A2352" t="s">
        <v>306</v>
      </c>
      <c r="B2352" t="s">
        <v>820</v>
      </c>
      <c r="C2352" t="s">
        <v>100</v>
      </c>
      <c r="D2352" t="s">
        <v>127</v>
      </c>
      <c r="E2352" s="1">
        <v>46076</v>
      </c>
      <c r="F2352" t="s">
        <v>569</v>
      </c>
      <c r="G2352" t="s">
        <v>45</v>
      </c>
      <c r="H2352" s="2">
        <v>0.3125</v>
      </c>
      <c r="I2352" s="2">
        <v>0.66666666666666663</v>
      </c>
      <c r="J2352" t="s">
        <v>451</v>
      </c>
      <c r="L2352" t="s">
        <v>452</v>
      </c>
      <c r="M2352" t="s">
        <v>821</v>
      </c>
      <c r="N2352" t="s">
        <v>822</v>
      </c>
      <c r="O2352">
        <v>20712</v>
      </c>
      <c r="Q2352" t="s">
        <v>823</v>
      </c>
      <c r="R2352" t="s">
        <v>476</v>
      </c>
      <c r="S2352" t="s">
        <v>52</v>
      </c>
      <c r="U2352">
        <v>891470</v>
      </c>
      <c r="V2352" s="3">
        <v>46070.482638888891</v>
      </c>
      <c r="W2352" t="s">
        <v>824</v>
      </c>
      <c r="X2352" t="s">
        <v>825</v>
      </c>
      <c r="Y2352" t="str">
        <f>"0439419256"</f>
        <v>0439419256</v>
      </c>
      <c r="Z2352" t="s">
        <v>70</v>
      </c>
      <c r="AA2352" s="1">
        <v>46076</v>
      </c>
      <c r="AB2352" t="s">
        <v>826</v>
      </c>
      <c r="AD2352" t="s">
        <v>306</v>
      </c>
      <c r="AE2352" t="s">
        <v>827</v>
      </c>
      <c r="AF2352">
        <v>3181</v>
      </c>
      <c r="AG2352" t="s">
        <v>823</v>
      </c>
      <c r="AI2352" t="s">
        <v>59</v>
      </c>
      <c r="AL2352" t="s">
        <v>87</v>
      </c>
      <c r="AN2352" s="3">
        <v>46076.536111111112</v>
      </c>
      <c r="AO2352" t="s">
        <v>824</v>
      </c>
    </row>
    <row r="2353" spans="1:41" x14ac:dyDescent="0.3">
      <c r="A2353" t="s">
        <v>61</v>
      </c>
      <c r="B2353" t="s">
        <v>182</v>
      </c>
      <c r="C2353" t="s">
        <v>202</v>
      </c>
      <c r="D2353" t="s">
        <v>184</v>
      </c>
      <c r="E2353" s="1">
        <v>46076</v>
      </c>
      <c r="F2353" t="s">
        <v>569</v>
      </c>
      <c r="G2353" t="s">
        <v>45</v>
      </c>
      <c r="H2353" s="2">
        <v>0.3125</v>
      </c>
      <c r="I2353" s="2">
        <v>0.52083333333333337</v>
      </c>
      <c r="J2353" t="s">
        <v>46</v>
      </c>
      <c r="L2353" t="s">
        <v>47</v>
      </c>
      <c r="M2353" t="s">
        <v>4464</v>
      </c>
      <c r="N2353" t="s">
        <v>4465</v>
      </c>
      <c r="O2353">
        <v>5952216</v>
      </c>
      <c r="Q2353" t="s">
        <v>189</v>
      </c>
      <c r="R2353" t="s">
        <v>67</v>
      </c>
      <c r="S2353" t="s">
        <v>52</v>
      </c>
      <c r="U2353">
        <v>891460</v>
      </c>
      <c r="V2353" s="3">
        <v>46073.424305555556</v>
      </c>
      <c r="W2353" t="s">
        <v>4466</v>
      </c>
      <c r="X2353" t="s">
        <v>4467</v>
      </c>
      <c r="Y2353" t="str">
        <f>"0468834019"</f>
        <v>0468834019</v>
      </c>
      <c r="Z2353" t="s">
        <v>55</v>
      </c>
      <c r="AA2353" s="1">
        <v>46076</v>
      </c>
      <c r="AB2353" t="s">
        <v>193</v>
      </c>
      <c r="AD2353" t="s">
        <v>61</v>
      </c>
      <c r="AE2353" t="s">
        <v>194</v>
      </c>
      <c r="AF2353">
        <v>2229</v>
      </c>
      <c r="AG2353" t="s">
        <v>189</v>
      </c>
      <c r="AI2353" t="s">
        <v>59</v>
      </c>
      <c r="AL2353" t="s">
        <v>4885</v>
      </c>
      <c r="AN2353" s="3">
        <v>46076.515277777777</v>
      </c>
      <c r="AO2353" t="s">
        <v>4466</v>
      </c>
    </row>
    <row r="2354" spans="1:41" x14ac:dyDescent="0.3">
      <c r="A2354" t="s">
        <v>168</v>
      </c>
      <c r="B2354" t="s">
        <v>2251</v>
      </c>
      <c r="C2354" t="s">
        <v>1150</v>
      </c>
      <c r="D2354" t="s">
        <v>127</v>
      </c>
      <c r="E2354" s="1">
        <v>46076</v>
      </c>
      <c r="F2354" t="s">
        <v>569</v>
      </c>
      <c r="G2354" t="s">
        <v>45</v>
      </c>
      <c r="H2354" s="2">
        <v>0.3125</v>
      </c>
      <c r="I2354" s="2">
        <v>0.625</v>
      </c>
      <c r="J2354" t="s">
        <v>101</v>
      </c>
      <c r="L2354" t="s">
        <v>159</v>
      </c>
      <c r="M2354" t="s">
        <v>1023</v>
      </c>
      <c r="N2354" t="s">
        <v>1024</v>
      </c>
      <c r="O2354">
        <v>22730</v>
      </c>
      <c r="Q2354" t="s">
        <v>2252</v>
      </c>
      <c r="R2354" t="s">
        <v>231</v>
      </c>
      <c r="S2354" t="s">
        <v>52</v>
      </c>
      <c r="U2354">
        <v>891482</v>
      </c>
      <c r="V2354" s="3">
        <v>46066.470138888886</v>
      </c>
      <c r="W2354" t="s">
        <v>1027</v>
      </c>
      <c r="X2354" t="s">
        <v>1028</v>
      </c>
      <c r="Y2354" t="str">
        <f>"0402354674"</f>
        <v>0402354674</v>
      </c>
      <c r="Z2354" t="s">
        <v>70</v>
      </c>
      <c r="AA2354" s="1">
        <v>46076</v>
      </c>
      <c r="AB2354" t="s">
        <v>2253</v>
      </c>
      <c r="AD2354" t="s">
        <v>168</v>
      </c>
      <c r="AE2354" t="s">
        <v>2254</v>
      </c>
      <c r="AF2354">
        <v>5041</v>
      </c>
      <c r="AG2354" t="s">
        <v>2252</v>
      </c>
      <c r="AI2354" t="s">
        <v>59</v>
      </c>
      <c r="AL2354" t="s">
        <v>4339</v>
      </c>
      <c r="AN2354" s="3">
        <v>46076.6</v>
      </c>
      <c r="AO2354" t="s">
        <v>1027</v>
      </c>
    </row>
    <row r="2355" spans="1:41" x14ac:dyDescent="0.3">
      <c r="A2355" t="s">
        <v>41</v>
      </c>
      <c r="B2355" t="s">
        <v>551</v>
      </c>
      <c r="C2355" t="s">
        <v>1547</v>
      </c>
      <c r="D2355" t="s">
        <v>246</v>
      </c>
      <c r="E2355" s="1">
        <v>46076</v>
      </c>
      <c r="F2355" t="s">
        <v>569</v>
      </c>
      <c r="G2355" t="s">
        <v>45</v>
      </c>
      <c r="H2355" s="2">
        <v>0.32291666666666669</v>
      </c>
      <c r="I2355" s="2">
        <v>0.64583333333333337</v>
      </c>
      <c r="J2355" t="s">
        <v>185</v>
      </c>
      <c r="L2355" t="s">
        <v>186</v>
      </c>
      <c r="M2355" t="s">
        <v>3035</v>
      </c>
      <c r="N2355" t="s">
        <v>3036</v>
      </c>
      <c r="O2355">
        <v>5951970</v>
      </c>
      <c r="Q2355" t="s">
        <v>1165</v>
      </c>
      <c r="R2355" t="s">
        <v>723</v>
      </c>
      <c r="S2355" t="s">
        <v>52</v>
      </c>
      <c r="U2355">
        <v>891489</v>
      </c>
      <c r="V2355" s="3">
        <v>46070.566666666666</v>
      </c>
      <c r="W2355" t="s">
        <v>3038</v>
      </c>
      <c r="X2355" t="s">
        <v>3039</v>
      </c>
      <c r="Y2355" t="str">
        <f>"0401493806"</f>
        <v>0401493806</v>
      </c>
      <c r="Z2355" t="s">
        <v>585</v>
      </c>
      <c r="AB2355" t="s">
        <v>559</v>
      </c>
      <c r="AD2355" t="s">
        <v>41</v>
      </c>
      <c r="AE2355" t="s">
        <v>560</v>
      </c>
      <c r="AF2355">
        <v>4131</v>
      </c>
      <c r="AG2355" t="s">
        <v>4886</v>
      </c>
      <c r="AI2355" t="s">
        <v>59</v>
      </c>
      <c r="AL2355" t="s">
        <v>4887</v>
      </c>
      <c r="AM2355" t="s">
        <v>4888</v>
      </c>
      <c r="AN2355" s="3">
        <v>46076.674305555556</v>
      </c>
      <c r="AO2355" t="s">
        <v>3038</v>
      </c>
    </row>
    <row r="2356" spans="1:41" x14ac:dyDescent="0.3">
      <c r="A2356" t="s">
        <v>41</v>
      </c>
      <c r="B2356" t="s">
        <v>426</v>
      </c>
      <c r="C2356" t="s">
        <v>43</v>
      </c>
      <c r="D2356" t="s">
        <v>246</v>
      </c>
      <c r="E2356" s="1">
        <v>46076</v>
      </c>
      <c r="F2356" t="s">
        <v>569</v>
      </c>
      <c r="G2356" t="s">
        <v>45</v>
      </c>
      <c r="H2356" s="2">
        <v>0.32291666666666669</v>
      </c>
      <c r="I2356" s="2">
        <v>0.71875</v>
      </c>
      <c r="J2356" t="s">
        <v>185</v>
      </c>
      <c r="K2356" t="s">
        <v>427</v>
      </c>
      <c r="L2356" t="s">
        <v>815</v>
      </c>
      <c r="M2356" t="s">
        <v>816</v>
      </c>
      <c r="N2356" t="s">
        <v>817</v>
      </c>
      <c r="O2356">
        <v>22501</v>
      </c>
      <c r="Q2356" t="s">
        <v>249</v>
      </c>
      <c r="R2356" t="s">
        <v>51</v>
      </c>
      <c r="S2356" t="s">
        <v>52</v>
      </c>
      <c r="U2356">
        <v>891510</v>
      </c>
      <c r="V2356" s="3">
        <v>46076.363194444442</v>
      </c>
      <c r="W2356" t="s">
        <v>818</v>
      </c>
      <c r="X2356" t="s">
        <v>819</v>
      </c>
      <c r="Y2356" t="str">
        <f>"0432588228"</f>
        <v>0432588228</v>
      </c>
      <c r="Z2356" t="s">
        <v>2257</v>
      </c>
      <c r="AB2356" t="s">
        <v>434</v>
      </c>
      <c r="AD2356" t="s">
        <v>41</v>
      </c>
      <c r="AE2356" t="s">
        <v>435</v>
      </c>
      <c r="AF2356">
        <v>4163</v>
      </c>
      <c r="AG2356" t="s">
        <v>249</v>
      </c>
      <c r="AI2356" t="s">
        <v>59</v>
      </c>
      <c r="AL2356" t="s">
        <v>249</v>
      </c>
      <c r="AN2356" s="3">
        <v>46076.756944444445</v>
      </c>
      <c r="AO2356" t="s">
        <v>818</v>
      </c>
    </row>
    <row r="2357" spans="1:41" x14ac:dyDescent="0.3">
      <c r="A2357" t="s">
        <v>168</v>
      </c>
      <c r="B2357" t="s">
        <v>326</v>
      </c>
      <c r="C2357" t="s">
        <v>43</v>
      </c>
      <c r="D2357" t="s">
        <v>127</v>
      </c>
      <c r="E2357" s="1">
        <v>46076</v>
      </c>
      <c r="F2357" t="s">
        <v>569</v>
      </c>
      <c r="G2357" t="s">
        <v>45</v>
      </c>
      <c r="H2357" s="2">
        <v>0.33333333333333331</v>
      </c>
      <c r="I2357" s="2">
        <v>0.5</v>
      </c>
      <c r="J2357" t="s">
        <v>46</v>
      </c>
      <c r="L2357" t="s">
        <v>47</v>
      </c>
      <c r="M2357" t="s">
        <v>420</v>
      </c>
      <c r="N2357" t="s">
        <v>421</v>
      </c>
      <c r="O2357">
        <v>21332</v>
      </c>
      <c r="Q2357" t="s">
        <v>676</v>
      </c>
      <c r="R2357" t="s">
        <v>314</v>
      </c>
      <c r="S2357" t="s">
        <v>52</v>
      </c>
      <c r="U2357">
        <v>891463</v>
      </c>
      <c r="V2357" s="3">
        <v>46076.320833333331</v>
      </c>
      <c r="W2357" t="s">
        <v>422</v>
      </c>
      <c r="X2357" t="s">
        <v>423</v>
      </c>
      <c r="Y2357" t="str">
        <f>"0481793381"</f>
        <v>0481793381</v>
      </c>
      <c r="Z2357" t="s">
        <v>70</v>
      </c>
      <c r="AA2357" s="1">
        <v>46076</v>
      </c>
      <c r="AB2357" t="s">
        <v>333</v>
      </c>
      <c r="AD2357" t="s">
        <v>168</v>
      </c>
      <c r="AE2357" t="s">
        <v>334</v>
      </c>
      <c r="AF2357">
        <v>5034</v>
      </c>
      <c r="AG2357" t="s">
        <v>4889</v>
      </c>
      <c r="AI2357" t="s">
        <v>59</v>
      </c>
      <c r="AL2357" t="s">
        <v>87</v>
      </c>
      <c r="AN2357" s="3">
        <v>46076.518055555556</v>
      </c>
      <c r="AO2357" t="s">
        <v>422</v>
      </c>
    </row>
    <row r="2358" spans="1:41" x14ac:dyDescent="0.3">
      <c r="A2358" t="s">
        <v>41</v>
      </c>
      <c r="B2358" t="s">
        <v>965</v>
      </c>
      <c r="C2358" t="s">
        <v>43</v>
      </c>
      <c r="D2358" t="s">
        <v>966</v>
      </c>
      <c r="E2358" s="1">
        <v>46076</v>
      </c>
      <c r="F2358" t="s">
        <v>569</v>
      </c>
      <c r="G2358" t="s">
        <v>45</v>
      </c>
      <c r="H2358" s="2">
        <v>0.33333333333333331</v>
      </c>
      <c r="I2358" s="2">
        <v>0.72916666666666663</v>
      </c>
      <c r="J2358" t="s">
        <v>46</v>
      </c>
      <c r="L2358" t="s">
        <v>298</v>
      </c>
      <c r="M2358" t="s">
        <v>1578</v>
      </c>
      <c r="N2358" t="s">
        <v>1579</v>
      </c>
      <c r="O2358">
        <v>5952061</v>
      </c>
      <c r="Q2358" t="s">
        <v>1580</v>
      </c>
      <c r="R2358" t="s">
        <v>51</v>
      </c>
      <c r="S2358" t="s">
        <v>52</v>
      </c>
      <c r="U2358">
        <v>891515</v>
      </c>
      <c r="V2358" s="3">
        <v>46071.365972222222</v>
      </c>
      <c r="W2358" t="s">
        <v>1581</v>
      </c>
      <c r="X2358" t="s">
        <v>1582</v>
      </c>
      <c r="Y2358" t="str">
        <f>"0401803081"</f>
        <v>0401803081</v>
      </c>
      <c r="Z2358" t="s">
        <v>1225</v>
      </c>
      <c r="AB2358" t="s">
        <v>972</v>
      </c>
      <c r="AD2358" t="s">
        <v>41</v>
      </c>
      <c r="AE2358" t="s">
        <v>973</v>
      </c>
      <c r="AF2358">
        <v>4068</v>
      </c>
      <c r="AG2358" t="s">
        <v>2507</v>
      </c>
      <c r="AI2358" t="s">
        <v>59</v>
      </c>
      <c r="AL2358" t="s">
        <v>2508</v>
      </c>
      <c r="AN2358" s="3">
        <v>46076.773611111108</v>
      </c>
      <c r="AO2358" t="s">
        <v>1581</v>
      </c>
    </row>
    <row r="2359" spans="1:41" x14ac:dyDescent="0.3">
      <c r="A2359" t="s">
        <v>61</v>
      </c>
      <c r="B2359" t="s">
        <v>655</v>
      </c>
      <c r="C2359" t="s">
        <v>43</v>
      </c>
      <c r="D2359" t="s">
        <v>656</v>
      </c>
      <c r="E2359" s="1">
        <v>46076</v>
      </c>
      <c r="F2359" t="s">
        <v>569</v>
      </c>
      <c r="G2359" t="s">
        <v>45</v>
      </c>
      <c r="H2359" s="2">
        <v>0.33333333333333331</v>
      </c>
      <c r="I2359" s="2">
        <v>0.99861111111111112</v>
      </c>
      <c r="J2359" t="s">
        <v>101</v>
      </c>
      <c r="L2359" t="s">
        <v>47</v>
      </c>
      <c r="M2359" t="s">
        <v>785</v>
      </c>
      <c r="N2359" t="s">
        <v>905</v>
      </c>
      <c r="O2359">
        <v>5950885</v>
      </c>
      <c r="Q2359" t="s">
        <v>665</v>
      </c>
      <c r="R2359" t="s">
        <v>67</v>
      </c>
      <c r="S2359" t="s">
        <v>52</v>
      </c>
      <c r="U2359">
        <v>891525</v>
      </c>
      <c r="V2359" s="3">
        <v>46042.432638888888</v>
      </c>
      <c r="W2359" t="s">
        <v>906</v>
      </c>
      <c r="X2359" t="s">
        <v>907</v>
      </c>
      <c r="Y2359" t="str">
        <f>"0421650139"</f>
        <v>0421650139</v>
      </c>
      <c r="Z2359" t="s">
        <v>4890</v>
      </c>
      <c r="AB2359" t="s">
        <v>662</v>
      </c>
      <c r="AC2359" t="s">
        <v>663</v>
      </c>
      <c r="AD2359" t="s">
        <v>61</v>
      </c>
      <c r="AE2359" t="s">
        <v>664</v>
      </c>
      <c r="AF2359">
        <v>2067</v>
      </c>
      <c r="AG2359" t="s">
        <v>665</v>
      </c>
      <c r="AI2359" t="s">
        <v>59</v>
      </c>
      <c r="AL2359" t="s">
        <v>4891</v>
      </c>
      <c r="AN2359" s="3">
        <v>46076.79791666667</v>
      </c>
      <c r="AO2359" t="s">
        <v>906</v>
      </c>
    </row>
    <row r="2360" spans="1:41" x14ac:dyDescent="0.3">
      <c r="A2360" t="s">
        <v>61</v>
      </c>
      <c r="B2360" t="s">
        <v>62</v>
      </c>
      <c r="C2360" t="s">
        <v>43</v>
      </c>
      <c r="D2360" t="s">
        <v>63</v>
      </c>
      <c r="E2360" s="1">
        <v>46076</v>
      </c>
      <c r="F2360" t="s">
        <v>569</v>
      </c>
      <c r="G2360" t="s">
        <v>45</v>
      </c>
      <c r="H2360" s="2">
        <v>0.33333333333333331</v>
      </c>
      <c r="I2360" s="2">
        <v>0.99861111111111112</v>
      </c>
      <c r="J2360" t="s">
        <v>185</v>
      </c>
      <c r="L2360" t="s">
        <v>186</v>
      </c>
      <c r="M2360" t="s">
        <v>1474</v>
      </c>
      <c r="N2360" t="s">
        <v>1475</v>
      </c>
      <c r="O2360">
        <v>22552</v>
      </c>
      <c r="Q2360" t="s">
        <v>66</v>
      </c>
      <c r="R2360" t="s">
        <v>67</v>
      </c>
      <c r="S2360" t="s">
        <v>52</v>
      </c>
      <c r="U2360">
        <v>891492</v>
      </c>
      <c r="V2360" s="3">
        <v>46069.605555555558</v>
      </c>
      <c r="W2360" t="s">
        <v>1476</v>
      </c>
      <c r="X2360" t="s">
        <v>1477</v>
      </c>
      <c r="Y2360" t="str">
        <f>"0421669341"</f>
        <v>0421669341</v>
      </c>
      <c r="Z2360" t="s">
        <v>1669</v>
      </c>
      <c r="AB2360" t="s">
        <v>71</v>
      </c>
      <c r="AD2360" t="s">
        <v>61</v>
      </c>
      <c r="AE2360" t="s">
        <v>72</v>
      </c>
      <c r="AF2360">
        <v>2747</v>
      </c>
      <c r="AG2360" t="s">
        <v>73</v>
      </c>
      <c r="AI2360" t="s">
        <v>59</v>
      </c>
      <c r="AL2360" t="s">
        <v>4892</v>
      </c>
      <c r="AN2360" s="3">
        <v>46076.714583333334</v>
      </c>
      <c r="AO2360" t="s">
        <v>1476</v>
      </c>
    </row>
    <row r="2361" spans="1:41" x14ac:dyDescent="0.3">
      <c r="A2361" t="s">
        <v>75</v>
      </c>
      <c r="B2361" t="s">
        <v>109</v>
      </c>
      <c r="C2361" t="s">
        <v>110</v>
      </c>
      <c r="D2361" t="s">
        <v>111</v>
      </c>
      <c r="E2361" s="1">
        <v>46076</v>
      </c>
      <c r="F2361" t="s">
        <v>569</v>
      </c>
      <c r="G2361" t="s">
        <v>45</v>
      </c>
      <c r="H2361" s="2">
        <v>0.33333333333333331</v>
      </c>
      <c r="I2361" s="2">
        <v>0.5</v>
      </c>
      <c r="J2361" t="s">
        <v>112</v>
      </c>
      <c r="K2361" t="s">
        <v>113</v>
      </c>
      <c r="L2361" t="s">
        <v>114</v>
      </c>
      <c r="M2361" t="s">
        <v>115</v>
      </c>
      <c r="N2361" t="s">
        <v>116</v>
      </c>
      <c r="O2361">
        <v>20749</v>
      </c>
      <c r="Q2361" t="s">
        <v>117</v>
      </c>
      <c r="R2361" t="s">
        <v>118</v>
      </c>
      <c r="S2361" t="s">
        <v>119</v>
      </c>
      <c r="T2361" t="s">
        <v>120</v>
      </c>
      <c r="U2361">
        <v>892168</v>
      </c>
      <c r="V2361" s="3">
        <v>46077.455555555556</v>
      </c>
      <c r="W2361" t="s">
        <v>121</v>
      </c>
      <c r="X2361" t="s">
        <v>122</v>
      </c>
      <c r="Y2361" t="str">
        <f>"0438543148"</f>
        <v>0438543148</v>
      </c>
      <c r="Z2361" t="s">
        <v>55</v>
      </c>
      <c r="AA2361" s="1">
        <v>46076</v>
      </c>
      <c r="AB2361" t="s">
        <v>124</v>
      </c>
      <c r="AD2361" t="s">
        <v>75</v>
      </c>
      <c r="AE2361" t="s">
        <v>125</v>
      </c>
      <c r="AF2361">
        <v>6017</v>
      </c>
      <c r="AG2361" t="s">
        <v>117</v>
      </c>
      <c r="AI2361" t="s">
        <v>59</v>
      </c>
      <c r="AN2361" s="3">
        <v>46077.455555555556</v>
      </c>
      <c r="AO2361" t="s">
        <v>118</v>
      </c>
    </row>
    <row r="2362" spans="1:41" x14ac:dyDescent="0.3">
      <c r="A2362" t="s">
        <v>61</v>
      </c>
      <c r="B2362" t="s">
        <v>753</v>
      </c>
      <c r="C2362" t="s">
        <v>216</v>
      </c>
      <c r="D2362" t="s">
        <v>754</v>
      </c>
      <c r="E2362" s="1">
        <v>46076</v>
      </c>
      <c r="F2362" t="s">
        <v>569</v>
      </c>
      <c r="G2362" t="s">
        <v>45</v>
      </c>
      <c r="H2362" s="2">
        <v>0.33333333333333331</v>
      </c>
      <c r="I2362" s="2">
        <v>0.72916666666666663</v>
      </c>
      <c r="J2362" t="s">
        <v>101</v>
      </c>
      <c r="L2362" t="s">
        <v>735</v>
      </c>
      <c r="M2362" t="s">
        <v>2762</v>
      </c>
      <c r="N2362" t="s">
        <v>2763</v>
      </c>
      <c r="O2362">
        <v>22330</v>
      </c>
      <c r="Q2362" t="s">
        <v>4893</v>
      </c>
      <c r="R2362" t="s">
        <v>132</v>
      </c>
      <c r="S2362" t="s">
        <v>52</v>
      </c>
      <c r="U2362">
        <v>891484</v>
      </c>
      <c r="V2362" s="3">
        <v>46073.597222222219</v>
      </c>
      <c r="W2362" t="s">
        <v>2764</v>
      </c>
      <c r="X2362" t="s">
        <v>2765</v>
      </c>
      <c r="Y2362" t="str">
        <f>"0420483284"</f>
        <v>0420483284</v>
      </c>
      <c r="Z2362" t="s">
        <v>70</v>
      </c>
      <c r="AA2362" s="1">
        <v>46076</v>
      </c>
      <c r="AB2362" t="s">
        <v>764</v>
      </c>
      <c r="AD2362" t="s">
        <v>61</v>
      </c>
      <c r="AE2362" t="s">
        <v>765</v>
      </c>
      <c r="AF2362">
        <v>2220</v>
      </c>
      <c r="AG2362" t="s">
        <v>3819</v>
      </c>
      <c r="AI2362" t="s">
        <v>59</v>
      </c>
      <c r="AL2362" t="s">
        <v>87</v>
      </c>
      <c r="AN2362" s="3">
        <v>46076.603472222225</v>
      </c>
      <c r="AO2362" t="s">
        <v>2764</v>
      </c>
    </row>
    <row r="2363" spans="1:41" x14ac:dyDescent="0.3">
      <c r="A2363" t="s">
        <v>168</v>
      </c>
      <c r="B2363" t="s">
        <v>607</v>
      </c>
      <c r="C2363" t="s">
        <v>267</v>
      </c>
      <c r="D2363" t="s">
        <v>268</v>
      </c>
      <c r="E2363" s="1">
        <v>46076</v>
      </c>
      <c r="F2363" t="s">
        <v>569</v>
      </c>
      <c r="G2363" t="s">
        <v>45</v>
      </c>
      <c r="H2363" s="2">
        <v>0.33333333333333331</v>
      </c>
      <c r="I2363" s="2">
        <v>0.6875</v>
      </c>
      <c r="J2363" t="s">
        <v>269</v>
      </c>
      <c r="K2363" t="s">
        <v>608</v>
      </c>
      <c r="L2363" t="s">
        <v>609</v>
      </c>
      <c r="M2363" t="s">
        <v>610</v>
      </c>
      <c r="N2363" t="s">
        <v>611</v>
      </c>
      <c r="O2363">
        <v>5952121</v>
      </c>
      <c r="P2363" t="s">
        <v>249</v>
      </c>
      <c r="Q2363" t="s">
        <v>612</v>
      </c>
      <c r="R2363" t="s">
        <v>613</v>
      </c>
      <c r="S2363" t="s">
        <v>52</v>
      </c>
      <c r="T2363" t="s">
        <v>252</v>
      </c>
      <c r="U2363">
        <v>892249</v>
      </c>
      <c r="V2363" s="3">
        <v>46083.564583333333</v>
      </c>
      <c r="W2363" t="s">
        <v>613</v>
      </c>
      <c r="X2363" t="s">
        <v>614</v>
      </c>
      <c r="Y2363" t="str">
        <f>"0412297150"</f>
        <v>0412297150</v>
      </c>
      <c r="Z2363" t="s">
        <v>123</v>
      </c>
      <c r="AA2363" s="1">
        <v>46097</v>
      </c>
      <c r="AB2363" t="s">
        <v>615</v>
      </c>
      <c r="AC2363" t="s">
        <v>616</v>
      </c>
      <c r="AD2363" t="s">
        <v>168</v>
      </c>
      <c r="AE2363" t="s">
        <v>617</v>
      </c>
      <c r="AF2363">
        <v>5290</v>
      </c>
      <c r="AG2363" t="s">
        <v>1539</v>
      </c>
      <c r="AI2363" t="s">
        <v>59</v>
      </c>
      <c r="AJ2363" t="str">
        <f>"0020171780"</f>
        <v>0020171780</v>
      </c>
      <c r="AN2363" s="3">
        <v>46083.564583333333</v>
      </c>
      <c r="AO2363" t="s">
        <v>613</v>
      </c>
    </row>
    <row r="2364" spans="1:41" x14ac:dyDescent="0.3">
      <c r="A2364" t="s">
        <v>61</v>
      </c>
      <c r="B2364" t="s">
        <v>62</v>
      </c>
      <c r="C2364" t="s">
        <v>43</v>
      </c>
      <c r="D2364" t="s">
        <v>63</v>
      </c>
      <c r="E2364" s="1">
        <v>46076</v>
      </c>
      <c r="F2364" t="s">
        <v>569</v>
      </c>
      <c r="G2364" t="s">
        <v>45</v>
      </c>
      <c r="H2364" s="2">
        <v>0.33333333333333331</v>
      </c>
      <c r="I2364" s="2">
        <v>0.99861111111111112</v>
      </c>
      <c r="J2364" t="s">
        <v>101</v>
      </c>
      <c r="L2364" t="s">
        <v>159</v>
      </c>
      <c r="M2364" t="s">
        <v>1765</v>
      </c>
      <c r="N2364" t="s">
        <v>1766</v>
      </c>
      <c r="O2364">
        <v>339</v>
      </c>
      <c r="Q2364" t="s">
        <v>66</v>
      </c>
      <c r="R2364" t="s">
        <v>67</v>
      </c>
      <c r="S2364" t="s">
        <v>52</v>
      </c>
      <c r="U2364">
        <v>891496</v>
      </c>
      <c r="V2364" s="3">
        <v>46069.605555555558</v>
      </c>
      <c r="W2364" t="s">
        <v>1768</v>
      </c>
      <c r="X2364" t="s">
        <v>1769</v>
      </c>
      <c r="Y2364" t="str">
        <f>"0419654987"</f>
        <v>0419654987</v>
      </c>
      <c r="Z2364" t="s">
        <v>1750</v>
      </c>
      <c r="AB2364" t="s">
        <v>71</v>
      </c>
      <c r="AD2364" t="s">
        <v>61</v>
      </c>
      <c r="AE2364" t="s">
        <v>72</v>
      </c>
      <c r="AF2364">
        <v>2747</v>
      </c>
      <c r="AG2364" t="s">
        <v>73</v>
      </c>
      <c r="AI2364" t="s">
        <v>59</v>
      </c>
      <c r="AL2364" t="s">
        <v>4892</v>
      </c>
      <c r="AN2364" s="3">
        <v>46076.724999999999</v>
      </c>
      <c r="AO2364" t="s">
        <v>1768</v>
      </c>
    </row>
    <row r="2365" spans="1:41" x14ac:dyDescent="0.3">
      <c r="A2365" t="s">
        <v>41</v>
      </c>
      <c r="B2365" t="s">
        <v>1546</v>
      </c>
      <c r="C2365" t="s">
        <v>1547</v>
      </c>
      <c r="D2365" t="s">
        <v>127</v>
      </c>
      <c r="E2365" s="1">
        <v>46076</v>
      </c>
      <c r="F2365" t="s">
        <v>569</v>
      </c>
      <c r="G2365" t="s">
        <v>45</v>
      </c>
      <c r="H2365" s="2">
        <v>0.34375</v>
      </c>
      <c r="I2365" s="2">
        <v>0.70833333333333337</v>
      </c>
      <c r="J2365" t="s">
        <v>464</v>
      </c>
      <c r="L2365" t="s">
        <v>464</v>
      </c>
      <c r="M2365" t="s">
        <v>465</v>
      </c>
      <c r="N2365" t="s">
        <v>466</v>
      </c>
      <c r="O2365">
        <v>401722</v>
      </c>
      <c r="Q2365" t="s">
        <v>1548</v>
      </c>
      <c r="R2365" t="s">
        <v>51</v>
      </c>
      <c r="S2365" t="s">
        <v>52</v>
      </c>
      <c r="U2365">
        <v>891511</v>
      </c>
      <c r="V2365" s="3">
        <v>46069.481944444444</v>
      </c>
      <c r="W2365" t="s">
        <v>468</v>
      </c>
      <c r="X2365" t="s">
        <v>469</v>
      </c>
      <c r="Y2365" t="str">
        <f>"0423030872"</f>
        <v>0423030872</v>
      </c>
      <c r="Z2365" t="s">
        <v>84</v>
      </c>
      <c r="AB2365" t="s">
        <v>1549</v>
      </c>
      <c r="AC2365" t="s">
        <v>1550</v>
      </c>
      <c r="AD2365" t="s">
        <v>41</v>
      </c>
      <c r="AE2365" t="s">
        <v>150</v>
      </c>
      <c r="AF2365">
        <v>4000</v>
      </c>
      <c r="AG2365" t="s">
        <v>1548</v>
      </c>
      <c r="AI2365" t="s">
        <v>59</v>
      </c>
      <c r="AL2365" t="s">
        <v>1551</v>
      </c>
      <c r="AN2365" s="3">
        <v>46076.759027777778</v>
      </c>
      <c r="AO2365" t="s">
        <v>468</v>
      </c>
    </row>
    <row r="2366" spans="1:41" x14ac:dyDescent="0.3">
      <c r="A2366" t="s">
        <v>168</v>
      </c>
      <c r="B2366" t="s">
        <v>847</v>
      </c>
      <c r="C2366" t="s">
        <v>848</v>
      </c>
      <c r="D2366" t="s">
        <v>268</v>
      </c>
      <c r="E2366" s="1">
        <v>46076</v>
      </c>
      <c r="F2366" t="s">
        <v>569</v>
      </c>
      <c r="G2366" t="s">
        <v>45</v>
      </c>
      <c r="H2366" s="2">
        <v>0.35416666666666669</v>
      </c>
      <c r="I2366" s="2">
        <v>0.70833333333333337</v>
      </c>
      <c r="J2366" t="s">
        <v>101</v>
      </c>
      <c r="K2366" t="s">
        <v>849</v>
      </c>
      <c r="L2366" t="s">
        <v>159</v>
      </c>
      <c r="M2366" t="s">
        <v>1377</v>
      </c>
      <c r="N2366" t="s">
        <v>1378</v>
      </c>
      <c r="O2366">
        <v>22414</v>
      </c>
      <c r="Q2366" t="s">
        <v>857</v>
      </c>
      <c r="R2366" t="s">
        <v>231</v>
      </c>
      <c r="S2366" t="s">
        <v>52</v>
      </c>
      <c r="U2366">
        <v>891495</v>
      </c>
      <c r="V2366" s="3">
        <v>46035.581250000003</v>
      </c>
      <c r="W2366" t="s">
        <v>1379</v>
      </c>
      <c r="X2366" t="s">
        <v>1380</v>
      </c>
      <c r="Y2366" t="str">
        <f>"0425653004"</f>
        <v>0425653004</v>
      </c>
      <c r="Z2366" t="s">
        <v>1225</v>
      </c>
      <c r="AB2366" t="s">
        <v>847</v>
      </c>
      <c r="AC2366" t="s">
        <v>855</v>
      </c>
      <c r="AD2366" t="s">
        <v>168</v>
      </c>
      <c r="AE2366" t="s">
        <v>856</v>
      </c>
      <c r="AF2366">
        <v>5112</v>
      </c>
      <c r="AG2366" t="s">
        <v>857</v>
      </c>
      <c r="AI2366" t="s">
        <v>59</v>
      </c>
      <c r="AL2366" t="s">
        <v>4358</v>
      </c>
      <c r="AN2366" s="3">
        <v>46076.720833333333</v>
      </c>
      <c r="AO2366" t="s">
        <v>1379</v>
      </c>
    </row>
    <row r="2367" spans="1:41" x14ac:dyDescent="0.3">
      <c r="A2367" t="s">
        <v>168</v>
      </c>
      <c r="B2367" t="s">
        <v>689</v>
      </c>
      <c r="C2367" t="s">
        <v>43</v>
      </c>
      <c r="D2367" t="s">
        <v>268</v>
      </c>
      <c r="E2367" s="1">
        <v>46076</v>
      </c>
      <c r="F2367" t="s">
        <v>569</v>
      </c>
      <c r="G2367" t="s">
        <v>45</v>
      </c>
      <c r="H2367" s="2">
        <v>0.35416666666666669</v>
      </c>
      <c r="I2367" s="2">
        <v>0.70833333333333337</v>
      </c>
      <c r="J2367" t="s">
        <v>101</v>
      </c>
      <c r="L2367" t="s">
        <v>159</v>
      </c>
      <c r="M2367" t="s">
        <v>690</v>
      </c>
      <c r="N2367" t="s">
        <v>691</v>
      </c>
      <c r="O2367">
        <v>5950774</v>
      </c>
      <c r="P2367" t="s">
        <v>249</v>
      </c>
      <c r="Q2367" t="s">
        <v>692</v>
      </c>
      <c r="R2367" t="s">
        <v>693</v>
      </c>
      <c r="S2367" t="s">
        <v>52</v>
      </c>
      <c r="T2367" t="s">
        <v>252</v>
      </c>
      <c r="U2367">
        <v>892204</v>
      </c>
      <c r="V2367" s="3">
        <v>46083.38958333333</v>
      </c>
      <c r="W2367" t="s">
        <v>693</v>
      </c>
      <c r="X2367" t="s">
        <v>694</v>
      </c>
      <c r="Y2367" t="str">
        <f>"0404019300"</f>
        <v>0404019300</v>
      </c>
      <c r="Z2367" t="s">
        <v>585</v>
      </c>
      <c r="AA2367" s="1">
        <v>46117</v>
      </c>
      <c r="AB2367" t="s">
        <v>695</v>
      </c>
      <c r="AD2367" t="s">
        <v>168</v>
      </c>
      <c r="AE2367" t="s">
        <v>696</v>
      </c>
      <c r="AF2367">
        <v>5606</v>
      </c>
      <c r="AG2367" t="s">
        <v>1585</v>
      </c>
      <c r="AI2367" t="s">
        <v>59</v>
      </c>
      <c r="AJ2367" t="str">
        <f>"0020188040"</f>
        <v>0020188040</v>
      </c>
      <c r="AN2367" s="3">
        <v>46083.38958333333</v>
      </c>
      <c r="AO2367" t="s">
        <v>693</v>
      </c>
    </row>
    <row r="2368" spans="1:41" x14ac:dyDescent="0.3">
      <c r="A2368" t="s">
        <v>168</v>
      </c>
      <c r="B2368" t="s">
        <v>847</v>
      </c>
      <c r="C2368" t="s">
        <v>848</v>
      </c>
      <c r="D2368" t="s">
        <v>268</v>
      </c>
      <c r="E2368" s="1">
        <v>46076</v>
      </c>
      <c r="F2368" t="s">
        <v>569</v>
      </c>
      <c r="G2368" t="s">
        <v>45</v>
      </c>
      <c r="H2368" s="2">
        <v>0.35416666666666669</v>
      </c>
      <c r="I2368" s="2">
        <v>0.70833333333333337</v>
      </c>
      <c r="J2368" t="s">
        <v>101</v>
      </c>
      <c r="K2368" t="s">
        <v>849</v>
      </c>
      <c r="L2368" t="s">
        <v>159</v>
      </c>
      <c r="M2368" t="s">
        <v>1552</v>
      </c>
      <c r="N2368" t="s">
        <v>1553</v>
      </c>
      <c r="O2368">
        <v>5951790</v>
      </c>
      <c r="Q2368" t="s">
        <v>4894</v>
      </c>
      <c r="R2368" t="s">
        <v>231</v>
      </c>
      <c r="S2368" t="s">
        <v>52</v>
      </c>
      <c r="U2368">
        <v>891493</v>
      </c>
      <c r="V2368" s="3">
        <v>46038.397222222222</v>
      </c>
      <c r="W2368" t="s">
        <v>1554</v>
      </c>
      <c r="X2368" t="s">
        <v>1555</v>
      </c>
      <c r="Y2368" t="str">
        <f>"0402115073"</f>
        <v>0402115073</v>
      </c>
      <c r="Z2368" t="s">
        <v>70</v>
      </c>
      <c r="AA2368" s="1">
        <v>46076</v>
      </c>
      <c r="AB2368" t="s">
        <v>847</v>
      </c>
      <c r="AC2368" t="s">
        <v>855</v>
      </c>
      <c r="AD2368" t="s">
        <v>168</v>
      </c>
      <c r="AE2368" t="s">
        <v>856</v>
      </c>
      <c r="AF2368">
        <v>5112</v>
      </c>
      <c r="AG2368" t="s">
        <v>857</v>
      </c>
      <c r="AI2368" t="s">
        <v>59</v>
      </c>
      <c r="AL2368" t="s">
        <v>4895</v>
      </c>
      <c r="AM2368" t="s">
        <v>3048</v>
      </c>
      <c r="AN2368" s="3">
        <v>46076.719444444447</v>
      </c>
      <c r="AO2368" t="s">
        <v>1554</v>
      </c>
    </row>
    <row r="2369" spans="1:41" x14ac:dyDescent="0.3">
      <c r="A2369" t="s">
        <v>41</v>
      </c>
      <c r="B2369" t="s">
        <v>1557</v>
      </c>
      <c r="C2369" t="s">
        <v>183</v>
      </c>
      <c r="D2369" t="s">
        <v>63</v>
      </c>
      <c r="E2369" s="1">
        <v>46076</v>
      </c>
      <c r="F2369" t="s">
        <v>569</v>
      </c>
      <c r="G2369" t="s">
        <v>45</v>
      </c>
      <c r="H2369" s="2">
        <v>0.35416666666666669</v>
      </c>
      <c r="I2369" s="2">
        <v>0.70833333333333337</v>
      </c>
      <c r="J2369" t="s">
        <v>185</v>
      </c>
      <c r="K2369" t="s">
        <v>678</v>
      </c>
      <c r="L2369" t="s">
        <v>186</v>
      </c>
      <c r="M2369" t="s">
        <v>1558</v>
      </c>
      <c r="N2369" t="s">
        <v>1055</v>
      </c>
      <c r="O2369">
        <v>5952442</v>
      </c>
      <c r="Q2369" t="s">
        <v>1564</v>
      </c>
      <c r="R2369" t="s">
        <v>51</v>
      </c>
      <c r="S2369" t="s">
        <v>52</v>
      </c>
      <c r="U2369">
        <v>891527</v>
      </c>
      <c r="V2369" s="3">
        <v>46071.359027777777</v>
      </c>
      <c r="W2369" t="s">
        <v>1560</v>
      </c>
      <c r="X2369" t="s">
        <v>1561</v>
      </c>
      <c r="Y2369" t="str">
        <f>"0459639482"</f>
        <v>0459639482</v>
      </c>
      <c r="Z2369" t="s">
        <v>123</v>
      </c>
      <c r="AA2369" s="1">
        <v>46076</v>
      </c>
      <c r="AB2369" t="s">
        <v>1562</v>
      </c>
      <c r="AD2369" t="s">
        <v>41</v>
      </c>
      <c r="AE2369" t="s">
        <v>1563</v>
      </c>
      <c r="AF2369">
        <v>4109</v>
      </c>
      <c r="AG2369" t="s">
        <v>1564</v>
      </c>
      <c r="AI2369" t="s">
        <v>59</v>
      </c>
      <c r="AL2369" t="s">
        <v>4896</v>
      </c>
      <c r="AN2369" s="3">
        <v>46076.804166666669</v>
      </c>
      <c r="AO2369" t="s">
        <v>1560</v>
      </c>
    </row>
    <row r="2370" spans="1:41" x14ac:dyDescent="0.3">
      <c r="A2370" t="s">
        <v>41</v>
      </c>
      <c r="B2370" t="s">
        <v>1849</v>
      </c>
      <c r="C2370" t="s">
        <v>1850</v>
      </c>
      <c r="E2370" s="1">
        <v>46076</v>
      </c>
      <c r="F2370" t="s">
        <v>569</v>
      </c>
      <c r="G2370" t="s">
        <v>45</v>
      </c>
      <c r="H2370" s="2">
        <v>0.35416666666666669</v>
      </c>
      <c r="I2370" s="2">
        <v>0.6875</v>
      </c>
      <c r="J2370" t="s">
        <v>1850</v>
      </c>
      <c r="L2370" t="s">
        <v>141</v>
      </c>
      <c r="M2370" t="s">
        <v>142</v>
      </c>
      <c r="N2370" t="s">
        <v>143</v>
      </c>
      <c r="O2370">
        <v>22649</v>
      </c>
      <c r="Q2370" t="s">
        <v>3169</v>
      </c>
      <c r="R2370" t="s">
        <v>51</v>
      </c>
      <c r="S2370" t="s">
        <v>52</v>
      </c>
      <c r="U2370">
        <v>891501</v>
      </c>
      <c r="V2370" s="3">
        <v>46064.368055555555</v>
      </c>
      <c r="W2370" t="s">
        <v>146</v>
      </c>
      <c r="X2370" t="s">
        <v>147</v>
      </c>
      <c r="Y2370" t="str">
        <f>"0407039143"</f>
        <v>0407039143</v>
      </c>
      <c r="Z2370" t="s">
        <v>84</v>
      </c>
      <c r="AB2370" t="s">
        <v>1852</v>
      </c>
      <c r="AD2370" t="s">
        <v>41</v>
      </c>
      <c r="AE2370" t="s">
        <v>1853</v>
      </c>
      <c r="AF2370">
        <v>4007</v>
      </c>
      <c r="AG2370" t="s">
        <v>3169</v>
      </c>
      <c r="AI2370" t="s">
        <v>59</v>
      </c>
      <c r="AL2370" t="s">
        <v>4897</v>
      </c>
      <c r="AN2370" s="3">
        <v>46076.73333333333</v>
      </c>
      <c r="AO2370" t="s">
        <v>146</v>
      </c>
    </row>
    <row r="2371" spans="1:41" x14ac:dyDescent="0.3">
      <c r="A2371" t="s">
        <v>168</v>
      </c>
      <c r="B2371" t="s">
        <v>225</v>
      </c>
      <c r="C2371" t="s">
        <v>202</v>
      </c>
      <c r="D2371" t="s">
        <v>227</v>
      </c>
      <c r="E2371" s="1">
        <v>46076</v>
      </c>
      <c r="F2371" t="s">
        <v>569</v>
      </c>
      <c r="G2371" t="s">
        <v>45</v>
      </c>
      <c r="H2371" s="2">
        <v>0.35416666666666669</v>
      </c>
      <c r="I2371" s="2">
        <v>0.64583333333333337</v>
      </c>
      <c r="J2371" t="s">
        <v>46</v>
      </c>
      <c r="K2371" t="s">
        <v>77</v>
      </c>
      <c r="L2371" t="s">
        <v>47</v>
      </c>
      <c r="M2371" t="s">
        <v>842</v>
      </c>
      <c r="N2371" t="s">
        <v>843</v>
      </c>
      <c r="O2371">
        <v>21274</v>
      </c>
      <c r="Q2371" t="s">
        <v>4898</v>
      </c>
      <c r="R2371" t="s">
        <v>314</v>
      </c>
      <c r="S2371" t="s">
        <v>52</v>
      </c>
      <c r="U2371">
        <v>891469</v>
      </c>
      <c r="V2371" s="3">
        <v>46076.246527777781</v>
      </c>
      <c r="W2371" t="s">
        <v>844</v>
      </c>
      <c r="X2371" t="s">
        <v>845</v>
      </c>
      <c r="Y2371" t="str">
        <f>"0402041367"</f>
        <v>0402041367</v>
      </c>
      <c r="Z2371" t="s">
        <v>70</v>
      </c>
      <c r="AA2371" s="1">
        <v>46076</v>
      </c>
      <c r="AB2371" t="s">
        <v>235</v>
      </c>
      <c r="AD2371" t="s">
        <v>168</v>
      </c>
      <c r="AE2371" t="s">
        <v>236</v>
      </c>
      <c r="AF2371">
        <v>5087</v>
      </c>
      <c r="AG2371" t="s">
        <v>4898</v>
      </c>
      <c r="AI2371" t="s">
        <v>59</v>
      </c>
      <c r="AL2371" t="s">
        <v>4899</v>
      </c>
      <c r="AN2371" s="3">
        <v>46076.534722222219</v>
      </c>
      <c r="AO2371" t="s">
        <v>844</v>
      </c>
    </row>
    <row r="2372" spans="1:41" x14ac:dyDescent="0.3">
      <c r="A2372" t="s">
        <v>61</v>
      </c>
      <c r="B2372" t="s">
        <v>655</v>
      </c>
      <c r="C2372" t="s">
        <v>43</v>
      </c>
      <c r="D2372" t="s">
        <v>656</v>
      </c>
      <c r="E2372" s="1">
        <v>46076</v>
      </c>
      <c r="F2372" t="s">
        <v>569</v>
      </c>
      <c r="G2372" t="s">
        <v>45</v>
      </c>
      <c r="H2372" s="2">
        <v>0.35416666666666669</v>
      </c>
      <c r="I2372" s="2">
        <v>0.70833333333333337</v>
      </c>
      <c r="J2372" t="s">
        <v>100</v>
      </c>
      <c r="L2372" t="s">
        <v>100</v>
      </c>
      <c r="M2372" t="s">
        <v>1566</v>
      </c>
      <c r="N2372" t="s">
        <v>1567</v>
      </c>
      <c r="O2372">
        <v>20900</v>
      </c>
      <c r="Q2372" t="s">
        <v>665</v>
      </c>
      <c r="R2372" t="s">
        <v>145</v>
      </c>
      <c r="S2372" t="s">
        <v>52</v>
      </c>
      <c r="U2372">
        <v>891480</v>
      </c>
      <c r="V2372" s="3">
        <v>46037.762499999997</v>
      </c>
      <c r="W2372" t="s">
        <v>1569</v>
      </c>
      <c r="X2372" t="s">
        <v>1570</v>
      </c>
      <c r="Y2372" t="str">
        <f>"0411393136"</f>
        <v>0411393136</v>
      </c>
      <c r="Z2372" t="s">
        <v>4900</v>
      </c>
      <c r="AB2372" t="s">
        <v>662</v>
      </c>
      <c r="AC2372" t="s">
        <v>663</v>
      </c>
      <c r="AD2372" t="s">
        <v>61</v>
      </c>
      <c r="AE2372" t="s">
        <v>664</v>
      </c>
      <c r="AF2372">
        <v>2067</v>
      </c>
      <c r="AG2372" t="s">
        <v>1571</v>
      </c>
      <c r="AI2372" t="s">
        <v>59</v>
      </c>
      <c r="AL2372" t="s">
        <v>4901</v>
      </c>
      <c r="AN2372" s="3">
        <v>46076.597222222219</v>
      </c>
      <c r="AO2372" t="s">
        <v>1569</v>
      </c>
    </row>
    <row r="2373" spans="1:41" x14ac:dyDescent="0.3">
      <c r="A2373" t="s">
        <v>61</v>
      </c>
      <c r="B2373" t="s">
        <v>1079</v>
      </c>
      <c r="C2373" t="s">
        <v>43</v>
      </c>
      <c r="D2373" t="s">
        <v>63</v>
      </c>
      <c r="E2373" s="1">
        <v>46076</v>
      </c>
      <c r="F2373" t="s">
        <v>569</v>
      </c>
      <c r="G2373" t="s">
        <v>45</v>
      </c>
      <c r="H2373" s="2">
        <v>0.35416666666666669</v>
      </c>
      <c r="I2373" s="2">
        <v>0.70833333333333337</v>
      </c>
      <c r="J2373" t="s">
        <v>46</v>
      </c>
      <c r="L2373" t="s">
        <v>47</v>
      </c>
      <c r="M2373" t="s">
        <v>91</v>
      </c>
      <c r="N2373" t="s">
        <v>92</v>
      </c>
      <c r="O2373">
        <v>5950650</v>
      </c>
      <c r="Q2373" t="s">
        <v>1082</v>
      </c>
      <c r="R2373" t="s">
        <v>67</v>
      </c>
      <c r="S2373" t="s">
        <v>52</v>
      </c>
      <c r="U2373">
        <v>891491</v>
      </c>
      <c r="V2373" s="3">
        <v>46071.626388888886</v>
      </c>
      <c r="W2373" t="s">
        <v>94</v>
      </c>
      <c r="X2373" t="s">
        <v>95</v>
      </c>
      <c r="Y2373" t="str">
        <f>"0493332534"</f>
        <v>0493332534</v>
      </c>
      <c r="Z2373" t="s">
        <v>123</v>
      </c>
      <c r="AB2373" t="s">
        <v>1085</v>
      </c>
      <c r="AD2373" t="s">
        <v>61</v>
      </c>
      <c r="AE2373" t="s">
        <v>1086</v>
      </c>
      <c r="AF2373">
        <v>2031</v>
      </c>
      <c r="AG2373" t="s">
        <v>1087</v>
      </c>
      <c r="AI2373" t="s">
        <v>59</v>
      </c>
      <c r="AL2373" t="s">
        <v>1088</v>
      </c>
      <c r="AN2373" s="3">
        <v>46076.709027777775</v>
      </c>
      <c r="AO2373" t="s">
        <v>94</v>
      </c>
    </row>
    <row r="2374" spans="1:41" x14ac:dyDescent="0.3">
      <c r="A2374" t="s">
        <v>168</v>
      </c>
      <c r="B2374" t="s">
        <v>847</v>
      </c>
      <c r="C2374" t="s">
        <v>848</v>
      </c>
      <c r="D2374" t="s">
        <v>268</v>
      </c>
      <c r="E2374" s="1">
        <v>46076</v>
      </c>
      <c r="F2374" t="s">
        <v>569</v>
      </c>
      <c r="G2374" t="s">
        <v>45</v>
      </c>
      <c r="H2374" s="2">
        <v>0.35416666666666669</v>
      </c>
      <c r="I2374" s="2">
        <v>0.70833333333333337</v>
      </c>
      <c r="J2374" t="s">
        <v>101</v>
      </c>
      <c r="K2374" t="s">
        <v>849</v>
      </c>
      <c r="L2374" t="s">
        <v>159</v>
      </c>
      <c r="M2374" t="s">
        <v>4354</v>
      </c>
      <c r="N2374" t="s">
        <v>4355</v>
      </c>
      <c r="O2374">
        <v>5951776</v>
      </c>
      <c r="Q2374" t="s">
        <v>857</v>
      </c>
      <c r="R2374" t="s">
        <v>231</v>
      </c>
      <c r="S2374" t="s">
        <v>52</v>
      </c>
      <c r="U2374">
        <v>891494</v>
      </c>
      <c r="V2374" s="3">
        <v>46035.581250000003</v>
      </c>
      <c r="W2374" t="s">
        <v>4356</v>
      </c>
      <c r="X2374" t="s">
        <v>4357</v>
      </c>
      <c r="Y2374" t="str">
        <f>"0433255461"</f>
        <v>0433255461</v>
      </c>
      <c r="Z2374" t="s">
        <v>1324</v>
      </c>
      <c r="AB2374" t="s">
        <v>847</v>
      </c>
      <c r="AC2374" t="s">
        <v>855</v>
      </c>
      <c r="AD2374" t="s">
        <v>168</v>
      </c>
      <c r="AE2374" t="s">
        <v>856</v>
      </c>
      <c r="AF2374">
        <v>5112</v>
      </c>
      <c r="AG2374" t="s">
        <v>857</v>
      </c>
      <c r="AI2374" t="s">
        <v>59</v>
      </c>
      <c r="AL2374" t="s">
        <v>4358</v>
      </c>
      <c r="AN2374" s="3">
        <v>46076.720138888886</v>
      </c>
      <c r="AO2374" t="s">
        <v>4356</v>
      </c>
    </row>
    <row r="2375" spans="1:41" x14ac:dyDescent="0.3">
      <c r="A2375" t="s">
        <v>874</v>
      </c>
      <c r="B2375" t="s">
        <v>875</v>
      </c>
      <c r="D2375" t="s">
        <v>388</v>
      </c>
      <c r="E2375" s="1">
        <v>46076</v>
      </c>
      <c r="F2375" t="s">
        <v>569</v>
      </c>
      <c r="G2375" t="s">
        <v>45</v>
      </c>
      <c r="H2375" s="2">
        <v>0.35416666666666669</v>
      </c>
      <c r="I2375" s="2">
        <v>0.70833333333333337</v>
      </c>
      <c r="J2375" t="s">
        <v>876</v>
      </c>
      <c r="L2375" t="s">
        <v>877</v>
      </c>
      <c r="M2375" t="s">
        <v>878</v>
      </c>
      <c r="N2375" t="s">
        <v>879</v>
      </c>
      <c r="O2375">
        <v>5951689</v>
      </c>
      <c r="P2375" t="s">
        <v>249</v>
      </c>
      <c r="Q2375" t="s">
        <v>880</v>
      </c>
      <c r="R2375" t="s">
        <v>392</v>
      </c>
      <c r="S2375" t="s">
        <v>52</v>
      </c>
      <c r="T2375" t="s">
        <v>252</v>
      </c>
      <c r="U2375">
        <v>892243</v>
      </c>
      <c r="V2375" s="3">
        <v>46083.556944444441</v>
      </c>
      <c r="W2375" t="s">
        <v>881</v>
      </c>
      <c r="X2375" t="s">
        <v>882</v>
      </c>
      <c r="Y2375" t="str">
        <f>"0474765680"</f>
        <v>0474765680</v>
      </c>
      <c r="Z2375" t="s">
        <v>585</v>
      </c>
      <c r="AA2375" s="1">
        <v>46110</v>
      </c>
      <c r="AB2375" t="s">
        <v>883</v>
      </c>
      <c r="AD2375" t="s">
        <v>397</v>
      </c>
      <c r="AE2375" t="s">
        <v>884</v>
      </c>
      <c r="AG2375" t="s">
        <v>880</v>
      </c>
      <c r="AI2375" t="s">
        <v>59</v>
      </c>
      <c r="AJ2375" t="str">
        <f>"0090000061"</f>
        <v>0090000061</v>
      </c>
      <c r="AN2375" s="3">
        <v>46083.556944444441</v>
      </c>
      <c r="AO2375" t="s">
        <v>392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AB078-4006-49F7-919B-C3F3293FE9D0}">
  <dimension ref="A1:G455"/>
  <sheetViews>
    <sheetView tabSelected="1" topLeftCell="A401" workbookViewId="0">
      <selection activeCell="G2" sqref="G2:G455"/>
    </sheetView>
  </sheetViews>
  <sheetFormatPr defaultRowHeight="14.4" x14ac:dyDescent="0.3"/>
  <sheetData>
    <row r="1" spans="1:7" x14ac:dyDescent="0.3">
      <c r="A1" t="str" cm="1">
        <f t="array" ref="A1:A170">_xlfn.UNIQUE('Current Booking Report'!B2:B2375)</f>
        <v>BRISBANE SOUTH PRIVATE HOSPITAL</v>
      </c>
    </row>
    <row r="2" spans="1:7" x14ac:dyDescent="0.3">
      <c r="A2" t="str">
        <v>NEPEAN PRIVATE HOSPITAL</v>
      </c>
      <c r="G2" cm="1">
        <f t="array" ref="G2:G455">_xlfn.UNIQUE('Current Booking Report'!O2:O2375)</f>
        <v>5951458</v>
      </c>
    </row>
    <row r="3" spans="1:7" x14ac:dyDescent="0.3">
      <c r="A3" t="str">
        <v>MOUNT HOSPITAL</v>
      </c>
      <c r="G3">
        <v>22580</v>
      </c>
    </row>
    <row r="4" spans="1:7" x14ac:dyDescent="0.3">
      <c r="A4" t="str">
        <v>ST VINCENTS PRIVATE SYDNEY HOSPITAL</v>
      </c>
      <c r="G4">
        <v>5950961</v>
      </c>
    </row>
    <row r="5" spans="1:7" x14ac:dyDescent="0.3">
      <c r="A5" t="str">
        <v>JOHNSON AND JOHNSON WA</v>
      </c>
      <c r="G5">
        <v>5950650</v>
      </c>
    </row>
    <row r="6" spans="1:7" x14ac:dyDescent="0.3">
      <c r="A6" t="str">
        <v>FOCUS EYE CENTRE</v>
      </c>
      <c r="G6">
        <v>27</v>
      </c>
    </row>
    <row r="7" spans="1:7" x14ac:dyDescent="0.3">
      <c r="A7" t="str">
        <v>BRISBANE GIRLS GRAMMAR SCHOOL</v>
      </c>
      <c r="G7">
        <v>20749</v>
      </c>
    </row>
    <row r="8" spans="1:7" x14ac:dyDescent="0.3">
      <c r="A8" t="str">
        <v>ST LUKES PRIVATE HOSPITAL</v>
      </c>
      <c r="G8">
        <v>21231</v>
      </c>
    </row>
    <row r="9" spans="1:7" x14ac:dyDescent="0.3">
      <c r="A9" t="str">
        <v>PARKVIEW DAY SURGERY</v>
      </c>
      <c r="G9">
        <v>22649</v>
      </c>
    </row>
    <row r="10" spans="1:7" x14ac:dyDescent="0.3">
      <c r="A10" t="str">
        <v>KAREENA PRIVATE HOSPITAL</v>
      </c>
      <c r="G10">
        <v>21936</v>
      </c>
    </row>
    <row r="11" spans="1:7" x14ac:dyDescent="0.3">
      <c r="A11" t="str">
        <v>OROMAX DAY SURGERY</v>
      </c>
      <c r="G11">
        <v>5952008</v>
      </c>
    </row>
    <row r="12" spans="1:7" x14ac:dyDescent="0.3">
      <c r="A12" t="str">
        <v>BURNSIDE STEPNEY</v>
      </c>
      <c r="G12">
        <v>300006</v>
      </c>
    </row>
    <row r="13" spans="1:7" x14ac:dyDescent="0.3">
      <c r="A13" t="str">
        <v>WINDSOR GARDENS DAY SURGERY</v>
      </c>
      <c r="G13">
        <v>21902</v>
      </c>
    </row>
    <row r="14" spans="1:7" x14ac:dyDescent="0.3">
      <c r="A14" t="str">
        <v>HERVEY BAY HOSPITAL</v>
      </c>
      <c r="G14">
        <v>5952397</v>
      </c>
    </row>
    <row r="15" spans="1:7" x14ac:dyDescent="0.3">
      <c r="A15" t="str">
        <v>MODBURY HOSPITAL</v>
      </c>
      <c r="G15">
        <v>21706</v>
      </c>
    </row>
    <row r="16" spans="1:7" x14ac:dyDescent="0.3">
      <c r="A16" t="str">
        <v>TENNYSON DAY CENTRE HOSPITAL</v>
      </c>
      <c r="G16">
        <v>32</v>
      </c>
    </row>
    <row r="17" spans="1:7" x14ac:dyDescent="0.3">
      <c r="A17" t="str">
        <v>CALVARY BETHLEHEM</v>
      </c>
      <c r="G17">
        <v>21017</v>
      </c>
    </row>
    <row r="18" spans="1:7" x14ac:dyDescent="0.3">
      <c r="A18" t="str">
        <v>VISTA DAY SURGERY</v>
      </c>
      <c r="G18">
        <v>22527</v>
      </c>
    </row>
    <row r="19" spans="1:7" x14ac:dyDescent="0.3">
      <c r="A19" t="str">
        <v>FLINDERS MEDICAL CENTRE</v>
      </c>
      <c r="G19">
        <v>20770</v>
      </c>
    </row>
    <row r="20" spans="1:7" x14ac:dyDescent="0.3">
      <c r="A20" t="str">
        <v>NORWEST PRIVATE HOSPITAL</v>
      </c>
      <c r="G20">
        <v>5950997</v>
      </c>
    </row>
    <row r="21" spans="1:7" x14ac:dyDescent="0.3">
      <c r="A21" t="str">
        <v>JOONDALUP HEALTH CAMPUS</v>
      </c>
      <c r="G21">
        <v>5951312</v>
      </c>
    </row>
    <row r="22" spans="1:7" x14ac:dyDescent="0.3">
      <c r="A22" t="str">
        <v>ST ANDREWS HOSPITAL</v>
      </c>
      <c r="G22">
        <v>5951416</v>
      </c>
    </row>
    <row r="23" spans="1:7" x14ac:dyDescent="0.3">
      <c r="A23" t="str">
        <v>NORTH WEST REGIONAL HOSPITAL</v>
      </c>
      <c r="G23">
        <v>5951986</v>
      </c>
    </row>
    <row r="24" spans="1:7" x14ac:dyDescent="0.3">
      <c r="A24" t="str">
        <v>FLINDERS PRIVATE HOSPITAL</v>
      </c>
      <c r="G24">
        <v>5952174</v>
      </c>
    </row>
    <row r="25" spans="1:7" x14ac:dyDescent="0.3">
      <c r="A25" t="str">
        <v>CALVARY ADELAIDE HOSPITAL</v>
      </c>
      <c r="G25">
        <v>22889</v>
      </c>
    </row>
    <row r="26" spans="1:7" x14ac:dyDescent="0.3">
      <c r="A26" t="str">
        <v>REDLAND HOSPITAL</v>
      </c>
      <c r="G26">
        <v>21236</v>
      </c>
    </row>
    <row r="27" spans="1:7" x14ac:dyDescent="0.3">
      <c r="A27" t="str">
        <v>EASTWOOD PRIVATE HOSPITAL</v>
      </c>
      <c r="G27">
        <v>5951711</v>
      </c>
    </row>
    <row r="28" spans="1:7" x14ac:dyDescent="0.3">
      <c r="A28" t="str">
        <v>JOHN FAWKNER PRIVATE HOSPITAL</v>
      </c>
      <c r="G28">
        <v>5951965</v>
      </c>
    </row>
    <row r="29" spans="1:7" x14ac:dyDescent="0.3">
      <c r="A29" t="str">
        <v>BRISBANE PRIVATE HOSPITAL</v>
      </c>
      <c r="G29">
        <v>5952088</v>
      </c>
    </row>
    <row r="30" spans="1:7" x14ac:dyDescent="0.3">
      <c r="A30" t="str">
        <v>MELBOURNE PRIVATE</v>
      </c>
      <c r="G30">
        <v>20698</v>
      </c>
    </row>
    <row r="31" spans="1:7" x14ac:dyDescent="0.3">
      <c r="A31" t="str">
        <v>NORTHERN BEACHES HOSPITAL</v>
      </c>
      <c r="G31">
        <v>21963</v>
      </c>
    </row>
    <row r="32" spans="1:7" x14ac:dyDescent="0.3">
      <c r="A32" t="str">
        <v>KNOX PRIVATE HOSPITAL</v>
      </c>
      <c r="G32">
        <v>5951661</v>
      </c>
    </row>
    <row r="33" spans="1:7" x14ac:dyDescent="0.3">
      <c r="A33" t="str">
        <v>LOGAN HOSPITAL</v>
      </c>
      <c r="G33">
        <v>21398</v>
      </c>
    </row>
    <row r="34" spans="1:7" x14ac:dyDescent="0.3">
      <c r="A34" t="str">
        <v>ROCKHAMPTON HOSPITAL</v>
      </c>
      <c r="G34">
        <v>228</v>
      </c>
    </row>
    <row r="35" spans="1:7" x14ac:dyDescent="0.3">
      <c r="A35" t="str">
        <v>MAITLAND HOSPITAL</v>
      </c>
      <c r="G35">
        <v>21332</v>
      </c>
    </row>
    <row r="36" spans="1:7" x14ac:dyDescent="0.3">
      <c r="A36" t="str">
        <v>KINGAROY HOSPITAL</v>
      </c>
      <c r="G36">
        <v>5950727</v>
      </c>
    </row>
    <row r="37" spans="1:7" x14ac:dyDescent="0.3">
      <c r="A37" t="str">
        <v>MOUNT GAMBIER HOSPITAL</v>
      </c>
      <c r="G37">
        <v>5951773</v>
      </c>
    </row>
    <row r="38" spans="1:7" x14ac:dyDescent="0.3">
      <c r="A38" t="str">
        <v>NEWCASTLE PRIVATE HOSPITAL</v>
      </c>
      <c r="G38">
        <v>22456</v>
      </c>
    </row>
    <row r="39" spans="1:7" x14ac:dyDescent="0.3">
      <c r="A39" t="str">
        <v>IPSWICH HOSPITAL</v>
      </c>
      <c r="G39">
        <v>5950719</v>
      </c>
    </row>
    <row r="40" spans="1:7" x14ac:dyDescent="0.3">
      <c r="A40" t="str">
        <v>CHATSWOOD PRIVATE HOSPITAL</v>
      </c>
      <c r="G40">
        <v>401722</v>
      </c>
    </row>
    <row r="41" spans="1:7" x14ac:dyDescent="0.3">
      <c r="A41" t="str">
        <v>PORT LINCOLN HOSPITAL</v>
      </c>
      <c r="G41">
        <v>5950662</v>
      </c>
    </row>
    <row r="42" spans="1:7" x14ac:dyDescent="0.3">
      <c r="A42" t="str">
        <v>ST JOHN OF GOD BERWICK</v>
      </c>
      <c r="G42">
        <v>22438</v>
      </c>
    </row>
    <row r="43" spans="1:7" x14ac:dyDescent="0.3">
      <c r="A43" t="str">
        <v>CHERMSIDE DAY HOSPITAL</v>
      </c>
      <c r="G43">
        <v>5951809</v>
      </c>
    </row>
    <row r="44" spans="1:7" x14ac:dyDescent="0.3">
      <c r="A44" t="str">
        <v>HURSTVILLE PRIVATE HOSPITAL</v>
      </c>
      <c r="G44">
        <v>21749</v>
      </c>
    </row>
    <row r="45" spans="1:7" x14ac:dyDescent="0.3">
      <c r="A45" t="str">
        <v>SYDNEY ADVENTIST HOSPITAL</v>
      </c>
      <c r="G45">
        <v>22014</v>
      </c>
    </row>
    <row r="46" spans="1:7" x14ac:dyDescent="0.3">
      <c r="A46" t="str">
        <v>ST JOHN OF GOD MT LAWLEY</v>
      </c>
      <c r="G46">
        <v>5951368</v>
      </c>
    </row>
    <row r="47" spans="1:7" x14ac:dyDescent="0.3">
      <c r="A47" t="str">
        <v>WINDSOR PRIVATE</v>
      </c>
      <c r="G47">
        <v>5951086</v>
      </c>
    </row>
    <row r="48" spans="1:7" x14ac:dyDescent="0.3">
      <c r="A48" t="str">
        <v>LYELL MCEWIN HOSPITAL</v>
      </c>
      <c r="G48">
        <v>20495</v>
      </c>
    </row>
    <row r="49" spans="1:7" x14ac:dyDescent="0.3">
      <c r="A49" t="str">
        <v>FOREST ROAD DAY SURGERY</v>
      </c>
      <c r="G49">
        <v>402297</v>
      </c>
    </row>
    <row r="50" spans="1:7" x14ac:dyDescent="0.3">
      <c r="A50" t="str">
        <v>STATEWIDE MENTAL HEALTH SERVICES ALCOHOL AND DRUG SERVICES NORTH WEST</v>
      </c>
      <c r="G50">
        <v>5952134</v>
      </c>
    </row>
    <row r="51" spans="1:7" x14ac:dyDescent="0.3">
      <c r="A51" t="str">
        <v>FORM AND FACE</v>
      </c>
      <c r="G51">
        <v>5950685</v>
      </c>
    </row>
    <row r="52" spans="1:7" x14ac:dyDescent="0.3">
      <c r="A52" t="str">
        <v>HOLLYWOOD PRIVATE HOSPITAL</v>
      </c>
      <c r="G52">
        <v>402477</v>
      </c>
    </row>
    <row r="53" spans="1:7" x14ac:dyDescent="0.3">
      <c r="A53" t="str">
        <v>RAMSAY SURGICAL CENTRE MIRANDA</v>
      </c>
      <c r="G53">
        <v>5951685</v>
      </c>
    </row>
    <row r="54" spans="1:7" x14ac:dyDescent="0.3">
      <c r="A54" t="str">
        <v>CALVARY CORYMBIA</v>
      </c>
      <c r="G54">
        <v>5951721</v>
      </c>
    </row>
    <row r="55" spans="1:7" x14ac:dyDescent="0.3">
      <c r="A55" t="str">
        <v>WESTSIDE PRIVATE HOSPITAL</v>
      </c>
      <c r="G55">
        <v>5952427</v>
      </c>
    </row>
    <row r="56" spans="1:7" x14ac:dyDescent="0.3">
      <c r="A56" t="str">
        <v>MODBURY HOSPITAL ISS</v>
      </c>
      <c r="G56">
        <v>80</v>
      </c>
    </row>
    <row r="57" spans="1:7" x14ac:dyDescent="0.3">
      <c r="A57" t="str">
        <v>CAMPBELLTOWN PRIVATE HOSPITAL</v>
      </c>
      <c r="G57">
        <v>5952121</v>
      </c>
    </row>
    <row r="58" spans="1:7" x14ac:dyDescent="0.3">
      <c r="A58" t="str">
        <v>WESTERN ADELAIDE PRIVATE HOSPITAL</v>
      </c>
      <c r="G58">
        <v>20720</v>
      </c>
    </row>
    <row r="59" spans="1:7" x14ac:dyDescent="0.3">
      <c r="A59" t="str">
        <v>WARRINGAL PRIVATE HOSPITAL</v>
      </c>
      <c r="G59">
        <v>402532</v>
      </c>
    </row>
    <row r="60" spans="1:7" x14ac:dyDescent="0.3">
      <c r="A60" t="str">
        <v>PRINCE OF WALES PRIVATE</v>
      </c>
      <c r="G60">
        <v>5950942</v>
      </c>
    </row>
    <row r="61" spans="1:7" x14ac:dyDescent="0.3">
      <c r="A61" t="str">
        <v>ST JOHN OF GOD SUBIACO EYE HOSPITAL</v>
      </c>
      <c r="G61">
        <v>21855</v>
      </c>
    </row>
    <row r="62" spans="1:7" x14ac:dyDescent="0.3">
      <c r="A62" t="str">
        <v>GLADSTONE HOSPITAL</v>
      </c>
      <c r="G62">
        <v>22959</v>
      </c>
    </row>
    <row r="63" spans="1:7" x14ac:dyDescent="0.3">
      <c r="A63" t="str">
        <v>BURNSIDE TOORAK</v>
      </c>
      <c r="G63">
        <v>5952440</v>
      </c>
    </row>
    <row r="64" spans="1:7" x14ac:dyDescent="0.3">
      <c r="A64" t="str">
        <v>STIRLING HOSPITAL</v>
      </c>
      <c r="G64">
        <v>5952071</v>
      </c>
    </row>
    <row r="65" spans="1:7" x14ac:dyDescent="0.3">
      <c r="A65" t="str">
        <v>GLENELG DAY SURGERY</v>
      </c>
      <c r="G65">
        <v>5950774</v>
      </c>
    </row>
    <row r="66" spans="1:7" x14ac:dyDescent="0.3">
      <c r="A66" t="str">
        <v>PINDARA PRIVATE HOSPITAL</v>
      </c>
      <c r="G66">
        <v>20947</v>
      </c>
    </row>
    <row r="67" spans="1:7" x14ac:dyDescent="0.3">
      <c r="A67" t="str">
        <v>GOLD COAST UNIVERSITY HOSPITAL</v>
      </c>
      <c r="G67">
        <v>5951199</v>
      </c>
    </row>
    <row r="68" spans="1:7" x14ac:dyDescent="0.3">
      <c r="A68" t="str">
        <v>ST VINCENTS PRIVATE FITZROY</v>
      </c>
      <c r="G68">
        <v>5952347</v>
      </c>
    </row>
    <row r="69" spans="1:7" x14ac:dyDescent="0.3">
      <c r="A69" t="str">
        <v>WESTMEAD PRIVATE HOSPITAL</v>
      </c>
      <c r="G69">
        <v>5952035</v>
      </c>
    </row>
    <row r="70" spans="1:7" x14ac:dyDescent="0.3">
      <c r="A70" t="str">
        <v>ST ANDREWS WAR MEMORIAL HOSPITAL</v>
      </c>
      <c r="G70">
        <v>5952096</v>
      </c>
    </row>
    <row r="71" spans="1:7" x14ac:dyDescent="0.3">
      <c r="A71" t="str">
        <v>BURRA HOSPITAL</v>
      </c>
      <c r="G71">
        <v>5951894</v>
      </c>
    </row>
    <row r="72" spans="1:7" x14ac:dyDescent="0.3">
      <c r="A72" t="str">
        <v>CABRINI MALVERN</v>
      </c>
      <c r="G72">
        <v>5951482</v>
      </c>
    </row>
    <row r="73" spans="1:7" x14ac:dyDescent="0.3">
      <c r="A73" t="str">
        <v>BELEURA PRIVATE HOSPITAL</v>
      </c>
      <c r="G73">
        <v>5952291</v>
      </c>
    </row>
    <row r="74" spans="1:7" x14ac:dyDescent="0.3">
      <c r="A74" t="str">
        <v>SOMERSET PRIVATE HOSPITAL</v>
      </c>
      <c r="G74">
        <v>5952331</v>
      </c>
    </row>
    <row r="75" spans="1:7" x14ac:dyDescent="0.3">
      <c r="A75" t="str">
        <v>EPWORTH EASTERN</v>
      </c>
      <c r="G75">
        <v>5951112</v>
      </c>
    </row>
    <row r="76" spans="1:7" x14ac:dyDescent="0.3">
      <c r="A76" t="str">
        <v>FRESHWATER DAY SURGERY</v>
      </c>
      <c r="G76">
        <v>5952334</v>
      </c>
    </row>
    <row r="77" spans="1:7" x14ac:dyDescent="0.3">
      <c r="A77" t="str">
        <v>MACKAY BASE HOSPITAL</v>
      </c>
      <c r="G77">
        <v>20875</v>
      </c>
    </row>
    <row r="78" spans="1:7" x14ac:dyDescent="0.3">
      <c r="A78" t="str">
        <v>MATER HOSPITAL NORTH SYDNEY</v>
      </c>
      <c r="G78">
        <v>5951855</v>
      </c>
    </row>
    <row r="79" spans="1:7" x14ac:dyDescent="0.3">
      <c r="A79" t="str">
        <v>BOLTON CLARKE MAINTENANCE</v>
      </c>
      <c r="G79">
        <v>22501</v>
      </c>
    </row>
    <row r="80" spans="1:7" x14ac:dyDescent="0.3">
      <c r="A80" t="str">
        <v>ROYAL VICTORIAN EYE AND EAR HOSPITAL</v>
      </c>
      <c r="G80">
        <v>20712</v>
      </c>
    </row>
    <row r="81" spans="1:7" x14ac:dyDescent="0.3">
      <c r="A81" t="str">
        <v>CENTRAL BRISBANE EYE CLINIC</v>
      </c>
      <c r="G81">
        <v>5950740</v>
      </c>
    </row>
    <row r="82" spans="1:7" x14ac:dyDescent="0.3">
      <c r="A82" t="str">
        <v>SUNNYBANK PRIVATE HOSPITAL BRISBANE</v>
      </c>
      <c r="G82">
        <v>22947</v>
      </c>
    </row>
    <row r="83" spans="1:7" x14ac:dyDescent="0.3">
      <c r="A83" t="str">
        <v>QUEEN ELIZABETH HOSPITAL</v>
      </c>
      <c r="G83">
        <v>21274</v>
      </c>
    </row>
    <row r="84" spans="1:7" x14ac:dyDescent="0.3">
      <c r="A84" t="str">
        <v>EPWORTH GEELONG</v>
      </c>
      <c r="G84">
        <v>5951814</v>
      </c>
    </row>
    <row r="85" spans="1:7" x14ac:dyDescent="0.3">
      <c r="A85" t="str">
        <v>MULGRAVE PRIVATE HOSPITAL</v>
      </c>
      <c r="G85">
        <v>5952375</v>
      </c>
    </row>
    <row r="86" spans="1:7" x14ac:dyDescent="0.3">
      <c r="A86" t="str">
        <v>EPWORTH FREEMASONS</v>
      </c>
      <c r="G86">
        <v>5951869</v>
      </c>
    </row>
    <row r="87" spans="1:7" x14ac:dyDescent="0.3">
      <c r="A87" t="str">
        <v>THE PRINCE CHARLES HOSPITAL</v>
      </c>
      <c r="G87">
        <v>5951689</v>
      </c>
    </row>
    <row r="88" spans="1:7" x14ac:dyDescent="0.3">
      <c r="A88" t="str">
        <v>CITY FERTILITY BRISBANE SOUTHSIDE</v>
      </c>
      <c r="G88">
        <v>5951205</v>
      </c>
    </row>
    <row r="89" spans="1:7" x14ac:dyDescent="0.3">
      <c r="A89" t="str">
        <v>LAKE VIEW PRIVATE HOSPITAL</v>
      </c>
      <c r="G89">
        <v>22938</v>
      </c>
    </row>
    <row r="90" spans="1:7" x14ac:dyDescent="0.3">
      <c r="A90" t="str">
        <v>ROBINA PUBLIC HOSPITAL</v>
      </c>
      <c r="G90">
        <v>5950885</v>
      </c>
    </row>
    <row r="91" spans="1:7" x14ac:dyDescent="0.3">
      <c r="A91" t="str">
        <v>PENINSULA PRIVATE</v>
      </c>
      <c r="G91">
        <v>5951931</v>
      </c>
    </row>
    <row r="92" spans="1:7" x14ac:dyDescent="0.3">
      <c r="A92" t="str">
        <v>SYDNEY DAY SURGERY PRINCE ALFRED</v>
      </c>
      <c r="G92">
        <v>5951405</v>
      </c>
    </row>
    <row r="93" spans="1:7" x14ac:dyDescent="0.3">
      <c r="A93" t="str">
        <v>EPWORTH RICHMOND</v>
      </c>
      <c r="G93">
        <v>5952462</v>
      </c>
    </row>
    <row r="94" spans="1:7" x14ac:dyDescent="0.3">
      <c r="A94" t="str">
        <v>EPWORTH HAWTHORN</v>
      </c>
      <c r="G94">
        <v>5950867</v>
      </c>
    </row>
    <row r="95" spans="1:7" x14ac:dyDescent="0.3">
      <c r="A95" t="str">
        <v>SYDNEY DAY SURGERY DARLINGHURST</v>
      </c>
      <c r="G95">
        <v>21975</v>
      </c>
    </row>
    <row r="96" spans="1:7" x14ac:dyDescent="0.3">
      <c r="A96" t="str">
        <v>SOUTHDERM SOUTHERN SUBURBS</v>
      </c>
      <c r="G96">
        <v>5952037</v>
      </c>
    </row>
    <row r="97" spans="1:7" x14ac:dyDescent="0.3">
      <c r="A97" t="str">
        <v>OUR GP COMPLEX ASCOT</v>
      </c>
      <c r="G97">
        <v>5952208</v>
      </c>
    </row>
    <row r="98" spans="1:7" x14ac:dyDescent="0.3">
      <c r="A98" t="str">
        <v>WEST LEEDERVILLE PRIVATE HOSPITAL</v>
      </c>
      <c r="G98">
        <v>5952467</v>
      </c>
    </row>
    <row r="99" spans="1:7" x14ac:dyDescent="0.3">
      <c r="A99" t="str">
        <v>GLENGARRY PRIVATE HOSPITAL</v>
      </c>
      <c r="G99">
        <v>5950948</v>
      </c>
    </row>
    <row r="100" spans="1:7" x14ac:dyDescent="0.3">
      <c r="A100" t="str">
        <v>NORTH SHORE PRIVATE</v>
      </c>
      <c r="G100">
        <v>21506</v>
      </c>
    </row>
    <row r="101" spans="1:7" x14ac:dyDescent="0.3">
      <c r="A101" t="str">
        <v>NORTH EASTERN COMMUNITY HOSPITAL</v>
      </c>
      <c r="G101">
        <v>5951207</v>
      </c>
    </row>
    <row r="102" spans="1:7" x14ac:dyDescent="0.3">
      <c r="A102" t="str">
        <v>CALVARY CENTRAL DISTRICTS PRIVATE HOSPITAL</v>
      </c>
      <c r="G102">
        <v>5952129</v>
      </c>
    </row>
    <row r="103" spans="1:7" x14ac:dyDescent="0.3">
      <c r="A103" t="str">
        <v>ASHFORD HOSPITAL</v>
      </c>
      <c r="G103">
        <v>22831</v>
      </c>
    </row>
    <row r="104" spans="1:7" x14ac:dyDescent="0.3">
      <c r="A104" t="str">
        <v>STRYKER</v>
      </c>
      <c r="G104">
        <v>22730</v>
      </c>
    </row>
    <row r="105" spans="1:7" x14ac:dyDescent="0.3">
      <c r="A105" t="str">
        <v>ST JOHN OF GOD SUBIACO</v>
      </c>
      <c r="G105">
        <v>5952456</v>
      </c>
    </row>
    <row r="106" spans="1:7" x14ac:dyDescent="0.3">
      <c r="A106" t="str">
        <v>ST JOHN OF GOD GEELONG</v>
      </c>
      <c r="G106">
        <v>5951110</v>
      </c>
    </row>
    <row r="107" spans="1:7" x14ac:dyDescent="0.3">
      <c r="A107" t="str">
        <v>THE WESLEY HOSPITAL</v>
      </c>
      <c r="G107">
        <v>5951333</v>
      </c>
    </row>
    <row r="108" spans="1:7" x14ac:dyDescent="0.3">
      <c r="A108" t="str">
        <v>KEMP RECRUITMENT</v>
      </c>
      <c r="G108">
        <v>5951519</v>
      </c>
    </row>
    <row r="109" spans="1:7" x14ac:dyDescent="0.3">
      <c r="A109" t="str">
        <v>PINE RIVERS PRIVATE HOSPITAL</v>
      </c>
      <c r="G109">
        <v>5950737</v>
      </c>
    </row>
    <row r="110" spans="1:7" x14ac:dyDescent="0.3">
      <c r="A110" t="str">
        <v>WYNDHAM CLINIC PRIVATE HOSPITAL</v>
      </c>
      <c r="G110">
        <v>5951604</v>
      </c>
    </row>
    <row r="111" spans="1:7" x14ac:dyDescent="0.3">
      <c r="A111" t="str">
        <v>SIR CHARLES GAIRDNER HOSPITAL</v>
      </c>
      <c r="G111">
        <v>5951966</v>
      </c>
    </row>
    <row r="112" spans="1:7" x14ac:dyDescent="0.3">
      <c r="A112" t="str">
        <v>LIONS EYE INSTITUTE NEDLANDS</v>
      </c>
      <c r="G112">
        <v>5951255</v>
      </c>
    </row>
    <row r="113" spans="1:7" x14ac:dyDescent="0.3">
      <c r="A113" t="str">
        <v>GATEWAY DAY HOSPITAL</v>
      </c>
      <c r="G113">
        <v>20963</v>
      </c>
    </row>
    <row r="114" spans="1:7" x14ac:dyDescent="0.3">
      <c r="A114" t="str">
        <v>HAMILTON HOUSE DAY SURGERY</v>
      </c>
      <c r="G114">
        <v>5952404</v>
      </c>
    </row>
    <row r="115" spans="1:7" x14ac:dyDescent="0.3">
      <c r="A115" t="str">
        <v>ADELAIDE ANAESTHETIC</v>
      </c>
      <c r="G115">
        <v>804</v>
      </c>
    </row>
    <row r="116" spans="1:7" x14ac:dyDescent="0.3">
      <c r="A116" t="str">
        <v>SUNDEW DAY SURGERY</v>
      </c>
      <c r="G116">
        <v>21727</v>
      </c>
    </row>
    <row r="117" spans="1:7" x14ac:dyDescent="0.3">
      <c r="A117" t="str">
        <v>HARLEY DAY SURGERY</v>
      </c>
      <c r="G117">
        <v>5950887</v>
      </c>
    </row>
    <row r="118" spans="1:7" x14ac:dyDescent="0.3">
      <c r="A118" t="str">
        <v>WAVERLEY PRIVATE</v>
      </c>
      <c r="G118">
        <v>5952419</v>
      </c>
    </row>
    <row r="119" spans="1:7" x14ac:dyDescent="0.3">
      <c r="A119" t="str">
        <v>THE AVENUE PRIVATE HOSPITAL</v>
      </c>
      <c r="G119">
        <v>5951585</v>
      </c>
    </row>
    <row r="120" spans="1:7" x14ac:dyDescent="0.3">
      <c r="A120" t="str">
        <v>DELMAR PRIVATE HOSPITAL</v>
      </c>
      <c r="G120">
        <v>21552</v>
      </c>
    </row>
    <row r="121" spans="1:7" x14ac:dyDescent="0.3">
      <c r="A121" t="str">
        <v>BRIGHTON DAY SURGERY</v>
      </c>
      <c r="G121">
        <v>5950894</v>
      </c>
    </row>
    <row r="122" spans="1:7" x14ac:dyDescent="0.3">
      <c r="A122" t="str">
        <v>GLENSIDE CAMPUS</v>
      </c>
      <c r="G122">
        <v>5951229</v>
      </c>
    </row>
    <row r="123" spans="1:7" x14ac:dyDescent="0.3">
      <c r="A123" t="str">
        <v>CALVARY RYDE</v>
      </c>
      <c r="G123">
        <v>13</v>
      </c>
    </row>
    <row r="124" spans="1:7" x14ac:dyDescent="0.3">
      <c r="A124" t="str">
        <v>SOUTHERN FLEURIEU HEALTH SERVICE</v>
      </c>
      <c r="G124">
        <v>5952460</v>
      </c>
    </row>
    <row r="125" spans="1:7" x14ac:dyDescent="0.3">
      <c r="A125" t="str">
        <v>CABOOLTURE HOSPITAL</v>
      </c>
      <c r="G125">
        <v>22168</v>
      </c>
    </row>
    <row r="126" spans="1:7" x14ac:dyDescent="0.3">
      <c r="A126" t="str">
        <v>GRIFFITH REHABILITATION HOSPITAL</v>
      </c>
      <c r="G126">
        <v>5952274</v>
      </c>
    </row>
    <row r="127" spans="1:7" x14ac:dyDescent="0.3">
      <c r="A127" t="str">
        <v>NEXT SMILE - ADELAIDE</v>
      </c>
      <c r="G127">
        <v>20171</v>
      </c>
    </row>
    <row r="128" spans="1:7" x14ac:dyDescent="0.3">
      <c r="A128" t="str">
        <v>GOLD COAST PRIVATE</v>
      </c>
      <c r="G128">
        <v>21235</v>
      </c>
    </row>
    <row r="129" spans="1:7" x14ac:dyDescent="0.3">
      <c r="A129" t="str">
        <v>BONDI JUNCTION PRIVATE HOSPITAL</v>
      </c>
      <c r="G129">
        <v>5951969</v>
      </c>
    </row>
    <row r="130" spans="1:7" x14ac:dyDescent="0.3">
      <c r="A130" t="str">
        <v>ST VINCENTS PRIVATE WERRIBEE</v>
      </c>
      <c r="G130">
        <v>21307</v>
      </c>
    </row>
    <row r="131" spans="1:7" x14ac:dyDescent="0.3">
      <c r="A131" t="str">
        <v>ST VINCENTS PRIVATE HOSPITAL EAST MELBOURNE</v>
      </c>
      <c r="G131">
        <v>21599</v>
      </c>
    </row>
    <row r="132" spans="1:7" x14ac:dyDescent="0.3">
      <c r="A132" t="str">
        <v>PERTH EYE HOSPITAL</v>
      </c>
      <c r="G132">
        <v>5950857</v>
      </c>
    </row>
    <row r="133" spans="1:7" x14ac:dyDescent="0.3">
      <c r="A133" t="str">
        <v>ADELAIDE DAY SURGERY</v>
      </c>
      <c r="G133">
        <v>5952329</v>
      </c>
    </row>
    <row r="134" spans="1:7" x14ac:dyDescent="0.3">
      <c r="A134" t="str">
        <v>WOLLONGONG PRIVATE HOSPITAL</v>
      </c>
      <c r="G134">
        <v>5952284</v>
      </c>
    </row>
    <row r="135" spans="1:7" x14ac:dyDescent="0.3">
      <c r="A135" t="str">
        <v>MURRAY BRIDGE SOLDIERS HOSPITAL</v>
      </c>
      <c r="G135">
        <v>5951105</v>
      </c>
    </row>
    <row r="136" spans="1:7" x14ac:dyDescent="0.3">
      <c r="A136" t="str">
        <v>THE GEORGE CENTRE</v>
      </c>
      <c r="G136">
        <v>5951043</v>
      </c>
    </row>
    <row r="137" spans="1:7" x14ac:dyDescent="0.3">
      <c r="A137" t="str">
        <v>ST GEORGE PRIVATE HOSPITAL</v>
      </c>
      <c r="G137">
        <v>5952100</v>
      </c>
    </row>
    <row r="138" spans="1:7" x14ac:dyDescent="0.3">
      <c r="A138" t="str">
        <v>CAMDEN SURGICAL HOSPITAL</v>
      </c>
      <c r="G138">
        <v>5952469</v>
      </c>
    </row>
    <row r="139" spans="1:7" x14ac:dyDescent="0.3">
      <c r="A139" t="str">
        <v>SOUTHERN SYDNEY PRIVATE HOSPITAL</v>
      </c>
      <c r="G139">
        <v>5950810</v>
      </c>
    </row>
    <row r="140" spans="1:7" x14ac:dyDescent="0.3">
      <c r="A140" t="str">
        <v>GLENELG COMMUNITY HOSPITAL</v>
      </c>
      <c r="G140">
        <v>5952187</v>
      </c>
    </row>
    <row r="141" spans="1:7" x14ac:dyDescent="0.3">
      <c r="A141" t="str">
        <v>THE LIFE HOUSE</v>
      </c>
      <c r="G141">
        <v>5952161</v>
      </c>
    </row>
    <row r="142" spans="1:7" x14ac:dyDescent="0.3">
      <c r="A142" t="str">
        <v>MCCOURT STREET DAY SURGERY</v>
      </c>
      <c r="G142">
        <v>21188</v>
      </c>
    </row>
    <row r="143" spans="1:7" x14ac:dyDescent="0.3">
      <c r="A143" t="str">
        <v>RIPLEY HEALTH SERVICE</v>
      </c>
      <c r="G143">
        <v>22295</v>
      </c>
    </row>
    <row r="144" spans="1:7" x14ac:dyDescent="0.3">
      <c r="A144" t="str">
        <v>MITCHAM PRIVATE HOSPITAL</v>
      </c>
      <c r="G144">
        <v>22278</v>
      </c>
    </row>
    <row r="145" spans="1:7" x14ac:dyDescent="0.3">
      <c r="A145" t="str">
        <v>CALVARY NORTH ADELAIDE HOSPITAL</v>
      </c>
      <c r="G145">
        <v>20185</v>
      </c>
    </row>
    <row r="146" spans="1:7" x14ac:dyDescent="0.3">
      <c r="A146" t="str">
        <v>THE SKIN HOSPITAL WESTMEAD</v>
      </c>
      <c r="G146">
        <v>20818</v>
      </c>
    </row>
    <row r="147" spans="1:7" x14ac:dyDescent="0.3">
      <c r="A147" t="str">
        <v>SUBIACO PRIVATE HOSPITAL</v>
      </c>
      <c r="G147">
        <v>5952465</v>
      </c>
    </row>
    <row r="148" spans="1:7" x14ac:dyDescent="0.3">
      <c r="A148" t="str">
        <v>MARIE STOPES PERTH</v>
      </c>
      <c r="G148">
        <v>5952403</v>
      </c>
    </row>
    <row r="149" spans="1:7" x14ac:dyDescent="0.3">
      <c r="A149" t="str">
        <v>PENINSULA PRIVATE HOSPITAL QLD</v>
      </c>
      <c r="G149">
        <v>22414</v>
      </c>
    </row>
    <row r="150" spans="1:7" x14ac:dyDescent="0.3">
      <c r="A150" t="str">
        <v>TANUNDA WAR MEMORIAL HOSPITAL</v>
      </c>
      <c r="G150">
        <v>22824</v>
      </c>
    </row>
    <row r="151" spans="1:7" x14ac:dyDescent="0.3">
      <c r="A151" t="str">
        <v>SUN DOCTORS SKIN CANCER CLINIC GLENUNGA</v>
      </c>
      <c r="G151">
        <v>758</v>
      </c>
    </row>
    <row r="152" spans="1:7" x14ac:dyDescent="0.3">
      <c r="A152" t="str">
        <v>ASLEEP DENTAL</v>
      </c>
      <c r="G152">
        <v>5952070</v>
      </c>
    </row>
    <row r="153" spans="1:7" x14ac:dyDescent="0.3">
      <c r="A153" t="str">
        <v>MONASH IVF KENT STREET</v>
      </c>
      <c r="G153">
        <v>5952321</v>
      </c>
    </row>
    <row r="154" spans="1:7" x14ac:dyDescent="0.3">
      <c r="A154" t="str">
        <v>MASADA PRIVATE HOSPITAL</v>
      </c>
      <c r="G154">
        <v>52</v>
      </c>
    </row>
    <row r="155" spans="1:7" x14ac:dyDescent="0.3">
      <c r="A155" t="str">
        <v>GAWLER HEALTH SERVICE</v>
      </c>
      <c r="G155">
        <v>21509</v>
      </c>
    </row>
    <row r="156" spans="1:7" x14ac:dyDescent="0.3">
      <c r="A156" t="str">
        <v>CAMBRIDGE DAY SURGERY</v>
      </c>
      <c r="G156">
        <v>5951468</v>
      </c>
    </row>
    <row r="157" spans="1:7" x14ac:dyDescent="0.3">
      <c r="A157" t="str">
        <v>OUR GP COMPLEX LOGAN</v>
      </c>
      <c r="G157">
        <v>22926</v>
      </c>
    </row>
    <row r="158" spans="1:7" x14ac:dyDescent="0.3">
      <c r="A158" t="str">
        <v>MEDITECH</v>
      </c>
      <c r="G158">
        <v>5951941</v>
      </c>
    </row>
    <row r="159" spans="1:7" x14ac:dyDescent="0.3">
      <c r="A159" t="str">
        <v>PACIFIC DAY SURGERY</v>
      </c>
      <c r="G159">
        <v>22756</v>
      </c>
    </row>
    <row r="160" spans="1:7" x14ac:dyDescent="0.3">
      <c r="A160" t="str">
        <v>EUDUNDA HOSPITAL</v>
      </c>
      <c r="G160">
        <v>22552</v>
      </c>
    </row>
    <row r="161" spans="1:7" x14ac:dyDescent="0.3">
      <c r="A161" t="str">
        <v>RIVERCITY PRIVATE HOSPITAL</v>
      </c>
      <c r="G161">
        <v>402353</v>
      </c>
    </row>
    <row r="162" spans="1:7" x14ac:dyDescent="0.3">
      <c r="A162" t="str">
        <v>ROYAL ADELAIDE HOSPITAL</v>
      </c>
      <c r="G162">
        <v>21218</v>
      </c>
    </row>
    <row r="163" spans="1:7" x14ac:dyDescent="0.3">
      <c r="A163" t="str">
        <v>REPROMED</v>
      </c>
      <c r="G163">
        <v>5950806</v>
      </c>
    </row>
    <row r="164" spans="1:7" x14ac:dyDescent="0.3">
      <c r="A164" t="str">
        <v>ALEXANDRIA SPECIALIST DAY HOSPITAL</v>
      </c>
      <c r="G164">
        <v>21662</v>
      </c>
    </row>
    <row r="165" spans="1:7" x14ac:dyDescent="0.3">
      <c r="A165" t="str">
        <v>WESTERN PRIVATE HOSPITAL</v>
      </c>
      <c r="G165">
        <v>5952290</v>
      </c>
    </row>
    <row r="166" spans="1:7" x14ac:dyDescent="0.3">
      <c r="A166" t="str">
        <v>OUR GP COMPLEX SPRING HILL</v>
      </c>
      <c r="G166">
        <v>5950709</v>
      </c>
    </row>
    <row r="167" spans="1:7" x14ac:dyDescent="0.3">
      <c r="A167" t="str">
        <v>ADELAIDE IMPLANT GROUP T/A NORWOOD DAY SURGERY</v>
      </c>
      <c r="G167">
        <v>5951852</v>
      </c>
    </row>
    <row r="168" spans="1:7" x14ac:dyDescent="0.3">
      <c r="A168" t="str">
        <v>ST VINCENTS PRIVATE KEW</v>
      </c>
      <c r="G168">
        <v>5952013</v>
      </c>
    </row>
    <row r="169" spans="1:7" x14ac:dyDescent="0.3">
      <c r="A169" t="str">
        <v>MEMORIAL HOSPITAL</v>
      </c>
      <c r="G169">
        <v>5952200</v>
      </c>
    </row>
    <row r="170" spans="1:7" x14ac:dyDescent="0.3">
      <c r="A170" t="str">
        <v>NORTHERN PRIVATE HOSPITAL</v>
      </c>
      <c r="G170">
        <v>5951790</v>
      </c>
    </row>
    <row r="171" spans="1:7" x14ac:dyDescent="0.3">
      <c r="G171">
        <v>5952442</v>
      </c>
    </row>
    <row r="172" spans="1:7" x14ac:dyDescent="0.3">
      <c r="G172">
        <v>20900</v>
      </c>
    </row>
    <row r="173" spans="1:7" x14ac:dyDescent="0.3">
      <c r="G173">
        <v>5951937</v>
      </c>
    </row>
    <row r="174" spans="1:7" x14ac:dyDescent="0.3">
      <c r="G174">
        <v>5952061</v>
      </c>
    </row>
    <row r="175" spans="1:7" x14ac:dyDescent="0.3">
      <c r="G175">
        <v>22701</v>
      </c>
    </row>
    <row r="176" spans="1:7" x14ac:dyDescent="0.3">
      <c r="G176">
        <v>5951372</v>
      </c>
    </row>
    <row r="177" spans="7:7" x14ac:dyDescent="0.3">
      <c r="G177">
        <v>5952018</v>
      </c>
    </row>
    <row r="178" spans="7:7" x14ac:dyDescent="0.3">
      <c r="G178">
        <v>22896</v>
      </c>
    </row>
    <row r="179" spans="7:7" x14ac:dyDescent="0.3">
      <c r="G179">
        <v>5952211</v>
      </c>
    </row>
    <row r="180" spans="7:7" x14ac:dyDescent="0.3">
      <c r="G180">
        <v>22952</v>
      </c>
    </row>
    <row r="181" spans="7:7" x14ac:dyDescent="0.3">
      <c r="G181">
        <v>5952325</v>
      </c>
    </row>
    <row r="182" spans="7:7" x14ac:dyDescent="0.3">
      <c r="G182">
        <v>5951065</v>
      </c>
    </row>
    <row r="183" spans="7:7" x14ac:dyDescent="0.3">
      <c r="G183">
        <v>20581</v>
      </c>
    </row>
    <row r="184" spans="7:7" x14ac:dyDescent="0.3">
      <c r="G184">
        <v>22268</v>
      </c>
    </row>
    <row r="185" spans="7:7" x14ac:dyDescent="0.3">
      <c r="G185">
        <v>5951069</v>
      </c>
    </row>
    <row r="186" spans="7:7" x14ac:dyDescent="0.3">
      <c r="G186">
        <v>20292</v>
      </c>
    </row>
    <row r="187" spans="7:7" x14ac:dyDescent="0.3">
      <c r="G187">
        <v>5952413</v>
      </c>
    </row>
    <row r="188" spans="7:7" x14ac:dyDescent="0.3">
      <c r="G188">
        <v>5952411</v>
      </c>
    </row>
    <row r="189" spans="7:7" x14ac:dyDescent="0.3">
      <c r="G189">
        <v>5952401</v>
      </c>
    </row>
    <row r="190" spans="7:7" x14ac:dyDescent="0.3">
      <c r="G190">
        <v>20760</v>
      </c>
    </row>
    <row r="191" spans="7:7" x14ac:dyDescent="0.3">
      <c r="G191">
        <v>20486</v>
      </c>
    </row>
    <row r="192" spans="7:7" x14ac:dyDescent="0.3">
      <c r="G192">
        <v>339</v>
      </c>
    </row>
    <row r="193" spans="7:7" x14ac:dyDescent="0.3">
      <c r="G193">
        <v>5952428</v>
      </c>
    </row>
    <row r="194" spans="7:7" x14ac:dyDescent="0.3">
      <c r="G194">
        <v>5952420</v>
      </c>
    </row>
    <row r="195" spans="7:7" x14ac:dyDescent="0.3">
      <c r="G195">
        <v>5951239</v>
      </c>
    </row>
    <row r="196" spans="7:7" x14ac:dyDescent="0.3">
      <c r="G196">
        <v>5950668</v>
      </c>
    </row>
    <row r="197" spans="7:7" x14ac:dyDescent="0.3">
      <c r="G197">
        <v>22771</v>
      </c>
    </row>
    <row r="198" spans="7:7" x14ac:dyDescent="0.3">
      <c r="G198">
        <v>5951390</v>
      </c>
    </row>
    <row r="199" spans="7:7" x14ac:dyDescent="0.3">
      <c r="G199">
        <v>5951238</v>
      </c>
    </row>
    <row r="200" spans="7:7" x14ac:dyDescent="0.3">
      <c r="G200">
        <v>5950929</v>
      </c>
    </row>
    <row r="201" spans="7:7" x14ac:dyDescent="0.3">
      <c r="G201">
        <v>22247</v>
      </c>
    </row>
    <row r="202" spans="7:7" x14ac:dyDescent="0.3">
      <c r="G202">
        <v>21717</v>
      </c>
    </row>
    <row r="203" spans="7:7" x14ac:dyDescent="0.3">
      <c r="G203">
        <v>22978</v>
      </c>
    </row>
    <row r="204" spans="7:7" x14ac:dyDescent="0.3">
      <c r="G204">
        <v>21051</v>
      </c>
    </row>
    <row r="205" spans="7:7" x14ac:dyDescent="0.3">
      <c r="G205">
        <v>5952367</v>
      </c>
    </row>
    <row r="206" spans="7:7" x14ac:dyDescent="0.3">
      <c r="G206">
        <v>5951775</v>
      </c>
    </row>
    <row r="207" spans="7:7" x14ac:dyDescent="0.3">
      <c r="G207">
        <v>21784</v>
      </c>
    </row>
    <row r="208" spans="7:7" x14ac:dyDescent="0.3">
      <c r="G208">
        <v>21455</v>
      </c>
    </row>
    <row r="209" spans="7:7" x14ac:dyDescent="0.3">
      <c r="G209">
        <v>5951825</v>
      </c>
    </row>
    <row r="210" spans="7:7" x14ac:dyDescent="0.3">
      <c r="G210">
        <v>5951653</v>
      </c>
    </row>
    <row r="211" spans="7:7" x14ac:dyDescent="0.3">
      <c r="G211">
        <v>22123</v>
      </c>
    </row>
    <row r="212" spans="7:7" x14ac:dyDescent="0.3">
      <c r="G212">
        <v>5951104</v>
      </c>
    </row>
    <row r="213" spans="7:7" x14ac:dyDescent="0.3">
      <c r="G213">
        <v>22911</v>
      </c>
    </row>
    <row r="214" spans="7:7" x14ac:dyDescent="0.3">
      <c r="G214">
        <v>22383</v>
      </c>
    </row>
    <row r="215" spans="7:7" x14ac:dyDescent="0.3">
      <c r="G215">
        <v>21297</v>
      </c>
    </row>
    <row r="216" spans="7:7" x14ac:dyDescent="0.3">
      <c r="G216">
        <v>5952393</v>
      </c>
    </row>
    <row r="217" spans="7:7" x14ac:dyDescent="0.3">
      <c r="G217">
        <v>5952317</v>
      </c>
    </row>
    <row r="218" spans="7:7" x14ac:dyDescent="0.3">
      <c r="G218">
        <v>5952314</v>
      </c>
    </row>
    <row r="219" spans="7:7" x14ac:dyDescent="0.3">
      <c r="G219">
        <v>5952316</v>
      </c>
    </row>
    <row r="220" spans="7:7" x14ac:dyDescent="0.3">
      <c r="G220">
        <v>22243</v>
      </c>
    </row>
    <row r="221" spans="7:7" x14ac:dyDescent="0.3">
      <c r="G221">
        <v>5952455</v>
      </c>
    </row>
    <row r="222" spans="7:7" x14ac:dyDescent="0.3">
      <c r="G222">
        <v>5951002</v>
      </c>
    </row>
    <row r="223" spans="7:7" x14ac:dyDescent="0.3">
      <c r="G223">
        <v>5951890</v>
      </c>
    </row>
    <row r="224" spans="7:7" x14ac:dyDescent="0.3">
      <c r="G224">
        <v>5952410</v>
      </c>
    </row>
    <row r="225" spans="7:7" x14ac:dyDescent="0.3">
      <c r="G225">
        <v>5951614</v>
      </c>
    </row>
    <row r="226" spans="7:7" x14ac:dyDescent="0.3">
      <c r="G226">
        <v>5952104</v>
      </c>
    </row>
    <row r="227" spans="7:7" x14ac:dyDescent="0.3">
      <c r="G227">
        <v>5951992</v>
      </c>
    </row>
    <row r="228" spans="7:7" x14ac:dyDescent="0.3">
      <c r="G228">
        <v>402502</v>
      </c>
    </row>
    <row r="229" spans="7:7" x14ac:dyDescent="0.3">
      <c r="G229">
        <v>22702</v>
      </c>
    </row>
    <row r="230" spans="7:7" x14ac:dyDescent="0.3">
      <c r="G230">
        <v>21150</v>
      </c>
    </row>
    <row r="231" spans="7:7" x14ac:dyDescent="0.3">
      <c r="G231">
        <v>21021</v>
      </c>
    </row>
    <row r="232" spans="7:7" x14ac:dyDescent="0.3">
      <c r="G232">
        <v>207</v>
      </c>
    </row>
    <row r="233" spans="7:7" x14ac:dyDescent="0.3">
      <c r="G233">
        <v>5950992</v>
      </c>
    </row>
    <row r="234" spans="7:7" x14ac:dyDescent="0.3">
      <c r="G234">
        <v>402527</v>
      </c>
    </row>
    <row r="235" spans="7:7" x14ac:dyDescent="0.3">
      <c r="G235">
        <v>5952103</v>
      </c>
    </row>
    <row r="236" spans="7:7" x14ac:dyDescent="0.3">
      <c r="G236">
        <v>5951884</v>
      </c>
    </row>
    <row r="237" spans="7:7" x14ac:dyDescent="0.3">
      <c r="G237">
        <v>21033</v>
      </c>
    </row>
    <row r="238" spans="7:7" x14ac:dyDescent="0.3">
      <c r="G238">
        <v>5951197</v>
      </c>
    </row>
    <row r="239" spans="7:7" x14ac:dyDescent="0.3">
      <c r="G239">
        <v>5952171</v>
      </c>
    </row>
    <row r="240" spans="7:7" x14ac:dyDescent="0.3">
      <c r="G240">
        <v>22870</v>
      </c>
    </row>
    <row r="241" spans="7:7" x14ac:dyDescent="0.3">
      <c r="G241">
        <v>22543</v>
      </c>
    </row>
    <row r="242" spans="7:7" x14ac:dyDescent="0.3">
      <c r="G242">
        <v>5952223</v>
      </c>
    </row>
    <row r="243" spans="7:7" x14ac:dyDescent="0.3">
      <c r="G243">
        <v>5950669</v>
      </c>
    </row>
    <row r="244" spans="7:7" x14ac:dyDescent="0.3">
      <c r="G244">
        <v>22748</v>
      </c>
    </row>
    <row r="245" spans="7:7" x14ac:dyDescent="0.3">
      <c r="G245">
        <v>20162</v>
      </c>
    </row>
    <row r="246" spans="7:7" x14ac:dyDescent="0.3">
      <c r="G246">
        <v>5951984</v>
      </c>
    </row>
    <row r="247" spans="7:7" x14ac:dyDescent="0.3">
      <c r="G247">
        <v>5951792</v>
      </c>
    </row>
    <row r="248" spans="7:7" x14ac:dyDescent="0.3">
      <c r="G248">
        <v>21957</v>
      </c>
    </row>
    <row r="249" spans="7:7" x14ac:dyDescent="0.3">
      <c r="G249">
        <v>5952443</v>
      </c>
    </row>
    <row r="250" spans="7:7" x14ac:dyDescent="0.3">
      <c r="G250">
        <v>5952011</v>
      </c>
    </row>
    <row r="251" spans="7:7" x14ac:dyDescent="0.3">
      <c r="G251">
        <v>5950670</v>
      </c>
    </row>
    <row r="252" spans="7:7" x14ac:dyDescent="0.3">
      <c r="G252">
        <v>21018</v>
      </c>
    </row>
    <row r="253" spans="7:7" x14ac:dyDescent="0.3">
      <c r="G253">
        <v>5950886</v>
      </c>
    </row>
    <row r="254" spans="7:7" x14ac:dyDescent="0.3">
      <c r="G254">
        <v>5950965</v>
      </c>
    </row>
    <row r="255" spans="7:7" x14ac:dyDescent="0.3">
      <c r="G255">
        <v>5951464</v>
      </c>
    </row>
    <row r="256" spans="7:7" x14ac:dyDescent="0.3">
      <c r="G256">
        <v>22336</v>
      </c>
    </row>
    <row r="257" spans="7:7" x14ac:dyDescent="0.3">
      <c r="G257">
        <v>5951060</v>
      </c>
    </row>
    <row r="258" spans="7:7" x14ac:dyDescent="0.3">
      <c r="G258">
        <v>5952154</v>
      </c>
    </row>
    <row r="259" spans="7:7" x14ac:dyDescent="0.3">
      <c r="G259">
        <v>5952415</v>
      </c>
    </row>
    <row r="260" spans="7:7" x14ac:dyDescent="0.3">
      <c r="G260">
        <v>20763</v>
      </c>
    </row>
    <row r="261" spans="7:7" x14ac:dyDescent="0.3">
      <c r="G261">
        <v>5952239</v>
      </c>
    </row>
    <row r="262" spans="7:7" x14ac:dyDescent="0.3">
      <c r="G262">
        <v>5951072</v>
      </c>
    </row>
    <row r="263" spans="7:7" x14ac:dyDescent="0.3">
      <c r="G263">
        <v>21966</v>
      </c>
    </row>
    <row r="264" spans="7:7" x14ac:dyDescent="0.3">
      <c r="G264">
        <v>5952336</v>
      </c>
    </row>
    <row r="265" spans="7:7" x14ac:dyDescent="0.3">
      <c r="G265">
        <v>20620</v>
      </c>
    </row>
    <row r="266" spans="7:7" x14ac:dyDescent="0.3">
      <c r="G266">
        <v>5951046</v>
      </c>
    </row>
    <row r="267" spans="7:7" x14ac:dyDescent="0.3">
      <c r="G267">
        <v>22373</v>
      </c>
    </row>
    <row r="268" spans="7:7" x14ac:dyDescent="0.3">
      <c r="G268">
        <v>5952229</v>
      </c>
    </row>
    <row r="269" spans="7:7" x14ac:dyDescent="0.3">
      <c r="G269">
        <v>5950752</v>
      </c>
    </row>
    <row r="270" spans="7:7" x14ac:dyDescent="0.3">
      <c r="G270">
        <v>474</v>
      </c>
    </row>
    <row r="271" spans="7:7" x14ac:dyDescent="0.3">
      <c r="G271">
        <v>5952463</v>
      </c>
    </row>
    <row r="272" spans="7:7" x14ac:dyDescent="0.3">
      <c r="G272">
        <v>22897</v>
      </c>
    </row>
    <row r="273" spans="7:7" x14ac:dyDescent="0.3">
      <c r="G273">
        <v>5952287</v>
      </c>
    </row>
    <row r="274" spans="7:7" x14ac:dyDescent="0.3">
      <c r="G274">
        <v>5951132</v>
      </c>
    </row>
    <row r="275" spans="7:7" x14ac:dyDescent="0.3">
      <c r="G275">
        <v>5952058</v>
      </c>
    </row>
    <row r="276" spans="7:7" x14ac:dyDescent="0.3">
      <c r="G276">
        <v>22682</v>
      </c>
    </row>
    <row r="277" spans="7:7" x14ac:dyDescent="0.3">
      <c r="G277">
        <v>5952360</v>
      </c>
    </row>
    <row r="278" spans="7:7" x14ac:dyDescent="0.3">
      <c r="G278">
        <v>5951854</v>
      </c>
    </row>
    <row r="279" spans="7:7" x14ac:dyDescent="0.3">
      <c r="G279">
        <v>5951034</v>
      </c>
    </row>
    <row r="280" spans="7:7" x14ac:dyDescent="0.3">
      <c r="G280">
        <v>22974</v>
      </c>
    </row>
    <row r="281" spans="7:7" x14ac:dyDescent="0.3">
      <c r="G281">
        <v>5952430</v>
      </c>
    </row>
    <row r="282" spans="7:7" x14ac:dyDescent="0.3">
      <c r="G282">
        <v>402519</v>
      </c>
    </row>
    <row r="283" spans="7:7" x14ac:dyDescent="0.3">
      <c r="G283">
        <v>718</v>
      </c>
    </row>
    <row r="284" spans="7:7" x14ac:dyDescent="0.3">
      <c r="G284">
        <v>22802</v>
      </c>
    </row>
    <row r="285" spans="7:7" x14ac:dyDescent="0.3">
      <c r="G285">
        <v>5952318</v>
      </c>
    </row>
    <row r="286" spans="7:7" x14ac:dyDescent="0.3">
      <c r="G286">
        <v>5951768</v>
      </c>
    </row>
    <row r="287" spans="7:7" x14ac:dyDescent="0.3">
      <c r="G287">
        <v>5952196</v>
      </c>
    </row>
    <row r="288" spans="7:7" x14ac:dyDescent="0.3">
      <c r="G288">
        <v>22687</v>
      </c>
    </row>
    <row r="289" spans="7:7" x14ac:dyDescent="0.3">
      <c r="G289">
        <v>22027</v>
      </c>
    </row>
    <row r="290" spans="7:7" x14ac:dyDescent="0.3">
      <c r="G290">
        <v>5952149</v>
      </c>
    </row>
    <row r="291" spans="7:7" x14ac:dyDescent="0.3">
      <c r="G291">
        <v>5950873</v>
      </c>
    </row>
    <row r="292" spans="7:7" x14ac:dyDescent="0.3">
      <c r="G292">
        <v>20844</v>
      </c>
    </row>
    <row r="293" spans="7:7" x14ac:dyDescent="0.3">
      <c r="G293">
        <v>22330</v>
      </c>
    </row>
    <row r="294" spans="7:7" x14ac:dyDescent="0.3">
      <c r="G294">
        <v>20874</v>
      </c>
    </row>
    <row r="295" spans="7:7" x14ac:dyDescent="0.3">
      <c r="G295">
        <v>5950828</v>
      </c>
    </row>
    <row r="296" spans="7:7" x14ac:dyDescent="0.3">
      <c r="G296">
        <v>5952327</v>
      </c>
    </row>
    <row r="297" spans="7:7" x14ac:dyDescent="0.3">
      <c r="G297">
        <v>21869</v>
      </c>
    </row>
    <row r="298" spans="7:7" x14ac:dyDescent="0.3">
      <c r="G298">
        <v>5952445</v>
      </c>
    </row>
    <row r="299" spans="7:7" x14ac:dyDescent="0.3">
      <c r="G299">
        <v>22933</v>
      </c>
    </row>
    <row r="300" spans="7:7" x14ac:dyDescent="0.3">
      <c r="G300">
        <v>445</v>
      </c>
    </row>
    <row r="301" spans="7:7" x14ac:dyDescent="0.3">
      <c r="G301">
        <v>21476</v>
      </c>
    </row>
    <row r="302" spans="7:7" x14ac:dyDescent="0.3">
      <c r="G302">
        <v>5950817</v>
      </c>
    </row>
    <row r="303" spans="7:7" x14ac:dyDescent="0.3">
      <c r="G303">
        <v>5951099</v>
      </c>
    </row>
    <row r="304" spans="7:7" x14ac:dyDescent="0.3">
      <c r="G304">
        <v>5952286</v>
      </c>
    </row>
    <row r="305" spans="7:7" x14ac:dyDescent="0.3">
      <c r="G305">
        <v>22004</v>
      </c>
    </row>
    <row r="306" spans="7:7" x14ac:dyDescent="0.3">
      <c r="G306">
        <v>22668</v>
      </c>
    </row>
    <row r="307" spans="7:7" x14ac:dyDescent="0.3">
      <c r="G307">
        <v>5951538</v>
      </c>
    </row>
    <row r="308" spans="7:7" x14ac:dyDescent="0.3">
      <c r="G308">
        <v>5952343</v>
      </c>
    </row>
    <row r="309" spans="7:7" x14ac:dyDescent="0.3">
      <c r="G309">
        <v>5952135</v>
      </c>
    </row>
    <row r="310" spans="7:7" x14ac:dyDescent="0.3">
      <c r="G310">
        <v>5950763</v>
      </c>
    </row>
    <row r="311" spans="7:7" x14ac:dyDescent="0.3">
      <c r="G311">
        <v>5950726</v>
      </c>
    </row>
    <row r="312" spans="7:7" x14ac:dyDescent="0.3">
      <c r="G312">
        <v>5952289</v>
      </c>
    </row>
    <row r="313" spans="7:7" x14ac:dyDescent="0.3">
      <c r="G313">
        <v>400791</v>
      </c>
    </row>
    <row r="314" spans="7:7" x14ac:dyDescent="0.3">
      <c r="G314">
        <v>5952215</v>
      </c>
    </row>
    <row r="315" spans="7:7" x14ac:dyDescent="0.3">
      <c r="G315">
        <v>5951300</v>
      </c>
    </row>
    <row r="316" spans="7:7" x14ac:dyDescent="0.3">
      <c r="G316">
        <v>5952076</v>
      </c>
    </row>
    <row r="317" spans="7:7" x14ac:dyDescent="0.3">
      <c r="G317">
        <v>21135</v>
      </c>
    </row>
    <row r="318" spans="7:7" x14ac:dyDescent="0.3">
      <c r="G318">
        <v>5951970</v>
      </c>
    </row>
    <row r="319" spans="7:7" x14ac:dyDescent="0.3">
      <c r="G319">
        <v>22723</v>
      </c>
    </row>
    <row r="320" spans="7:7" x14ac:dyDescent="0.3">
      <c r="G320">
        <v>5950854</v>
      </c>
    </row>
    <row r="321" spans="7:7" x14ac:dyDescent="0.3">
      <c r="G321">
        <v>336</v>
      </c>
    </row>
    <row r="322" spans="7:7" x14ac:dyDescent="0.3">
      <c r="G322">
        <v>5951971</v>
      </c>
    </row>
    <row r="323" spans="7:7" x14ac:dyDescent="0.3">
      <c r="G323">
        <v>20613</v>
      </c>
    </row>
    <row r="324" spans="7:7" x14ac:dyDescent="0.3">
      <c r="G324">
        <v>5951805</v>
      </c>
    </row>
    <row r="325" spans="7:7" x14ac:dyDescent="0.3">
      <c r="G325">
        <v>5952470</v>
      </c>
    </row>
    <row r="326" spans="7:7" x14ac:dyDescent="0.3">
      <c r="G326">
        <v>5951715</v>
      </c>
    </row>
    <row r="327" spans="7:7" x14ac:dyDescent="0.3">
      <c r="G327">
        <v>21451</v>
      </c>
    </row>
    <row r="328" spans="7:7" x14ac:dyDescent="0.3">
      <c r="G328">
        <v>5950775</v>
      </c>
    </row>
    <row r="329" spans="7:7" x14ac:dyDescent="0.3">
      <c r="G329">
        <v>5952198</v>
      </c>
    </row>
    <row r="330" spans="7:7" x14ac:dyDescent="0.3">
      <c r="G330">
        <v>22818</v>
      </c>
    </row>
    <row r="331" spans="7:7" x14ac:dyDescent="0.3">
      <c r="G331">
        <v>5951914</v>
      </c>
    </row>
    <row r="332" spans="7:7" x14ac:dyDescent="0.3">
      <c r="G332">
        <v>5952474</v>
      </c>
    </row>
    <row r="333" spans="7:7" x14ac:dyDescent="0.3">
      <c r="G333">
        <v>5952424</v>
      </c>
    </row>
    <row r="334" spans="7:7" x14ac:dyDescent="0.3">
      <c r="G334">
        <v>22273</v>
      </c>
    </row>
    <row r="335" spans="7:7" x14ac:dyDescent="0.3">
      <c r="G335">
        <v>5952266</v>
      </c>
    </row>
    <row r="336" spans="7:7" x14ac:dyDescent="0.3">
      <c r="G336">
        <v>5952206</v>
      </c>
    </row>
    <row r="337" spans="7:7" x14ac:dyDescent="0.3">
      <c r="G337">
        <v>22549</v>
      </c>
    </row>
    <row r="338" spans="7:7" x14ac:dyDescent="0.3">
      <c r="G338">
        <v>5951652</v>
      </c>
    </row>
    <row r="339" spans="7:7" x14ac:dyDescent="0.3">
      <c r="G339">
        <v>5952255</v>
      </c>
    </row>
    <row r="340" spans="7:7" x14ac:dyDescent="0.3">
      <c r="G340">
        <v>21354</v>
      </c>
    </row>
    <row r="341" spans="7:7" x14ac:dyDescent="0.3">
      <c r="G341">
        <v>22571</v>
      </c>
    </row>
    <row r="342" spans="7:7" x14ac:dyDescent="0.3">
      <c r="G342">
        <v>22370</v>
      </c>
    </row>
    <row r="343" spans="7:7" x14ac:dyDescent="0.3">
      <c r="G343">
        <v>5951764</v>
      </c>
    </row>
    <row r="344" spans="7:7" x14ac:dyDescent="0.3">
      <c r="G344">
        <v>95</v>
      </c>
    </row>
    <row r="345" spans="7:7" x14ac:dyDescent="0.3">
      <c r="G345">
        <v>22015</v>
      </c>
    </row>
    <row r="346" spans="7:7" x14ac:dyDescent="0.3">
      <c r="G346">
        <v>5952315</v>
      </c>
    </row>
    <row r="347" spans="7:7" x14ac:dyDescent="0.3">
      <c r="G347">
        <v>5952207</v>
      </c>
    </row>
    <row r="348" spans="7:7" x14ac:dyDescent="0.3">
      <c r="G348">
        <v>5952387</v>
      </c>
    </row>
    <row r="349" spans="7:7" x14ac:dyDescent="0.3">
      <c r="G349">
        <v>5951267</v>
      </c>
    </row>
    <row r="350" spans="7:7" x14ac:dyDescent="0.3">
      <c r="G350">
        <v>5950897</v>
      </c>
    </row>
    <row r="351" spans="7:7" x14ac:dyDescent="0.3">
      <c r="G351">
        <v>21081</v>
      </c>
    </row>
    <row r="352" spans="7:7" x14ac:dyDescent="0.3">
      <c r="G352">
        <v>5951373</v>
      </c>
    </row>
    <row r="353" spans="7:7" x14ac:dyDescent="0.3">
      <c r="G353">
        <v>5951754</v>
      </c>
    </row>
    <row r="354" spans="7:7" x14ac:dyDescent="0.3">
      <c r="G354">
        <v>5952416</v>
      </c>
    </row>
    <row r="355" spans="7:7" x14ac:dyDescent="0.3">
      <c r="G355">
        <v>5951171</v>
      </c>
    </row>
    <row r="356" spans="7:7" x14ac:dyDescent="0.3">
      <c r="G356">
        <v>5952132</v>
      </c>
    </row>
    <row r="357" spans="7:7" x14ac:dyDescent="0.3">
      <c r="G357">
        <v>22052</v>
      </c>
    </row>
    <row r="358" spans="7:7" x14ac:dyDescent="0.3">
      <c r="G358">
        <v>5952298</v>
      </c>
    </row>
    <row r="359" spans="7:7" x14ac:dyDescent="0.3">
      <c r="G359">
        <v>5951127</v>
      </c>
    </row>
    <row r="360" spans="7:7" x14ac:dyDescent="0.3">
      <c r="G360">
        <v>21429</v>
      </c>
    </row>
    <row r="361" spans="7:7" x14ac:dyDescent="0.3">
      <c r="G361">
        <v>21075</v>
      </c>
    </row>
    <row r="362" spans="7:7" x14ac:dyDescent="0.3">
      <c r="G362">
        <v>5952461</v>
      </c>
    </row>
    <row r="363" spans="7:7" x14ac:dyDescent="0.3">
      <c r="G363">
        <v>5952151</v>
      </c>
    </row>
    <row r="364" spans="7:7" x14ac:dyDescent="0.3">
      <c r="G364">
        <v>21038</v>
      </c>
    </row>
    <row r="365" spans="7:7" x14ac:dyDescent="0.3">
      <c r="G365">
        <v>5951148</v>
      </c>
    </row>
    <row r="366" spans="7:7" x14ac:dyDescent="0.3">
      <c r="G366">
        <v>5951913</v>
      </c>
    </row>
    <row r="367" spans="7:7" x14ac:dyDescent="0.3">
      <c r="G367">
        <v>21178</v>
      </c>
    </row>
    <row r="368" spans="7:7" x14ac:dyDescent="0.3">
      <c r="G368">
        <v>5952374</v>
      </c>
    </row>
    <row r="369" spans="7:7" x14ac:dyDescent="0.3">
      <c r="G369">
        <v>5952081</v>
      </c>
    </row>
    <row r="370" spans="7:7" x14ac:dyDescent="0.3">
      <c r="G370">
        <v>5951675</v>
      </c>
    </row>
    <row r="371" spans="7:7" x14ac:dyDescent="0.3">
      <c r="G371">
        <v>5952110</v>
      </c>
    </row>
    <row r="372" spans="7:7" x14ac:dyDescent="0.3">
      <c r="G372">
        <v>20565</v>
      </c>
    </row>
    <row r="373" spans="7:7" x14ac:dyDescent="0.3">
      <c r="G373">
        <v>5951318</v>
      </c>
    </row>
    <row r="374" spans="7:7" x14ac:dyDescent="0.3">
      <c r="G374">
        <v>5951740</v>
      </c>
    </row>
    <row r="375" spans="7:7" x14ac:dyDescent="0.3">
      <c r="G375">
        <v>5952085</v>
      </c>
    </row>
    <row r="376" spans="7:7" x14ac:dyDescent="0.3">
      <c r="G376">
        <v>5950847</v>
      </c>
    </row>
    <row r="377" spans="7:7" x14ac:dyDescent="0.3">
      <c r="G377">
        <v>5952466</v>
      </c>
    </row>
    <row r="378" spans="7:7" x14ac:dyDescent="0.3">
      <c r="G378">
        <v>5950673</v>
      </c>
    </row>
    <row r="379" spans="7:7" x14ac:dyDescent="0.3">
      <c r="G379">
        <v>21177</v>
      </c>
    </row>
    <row r="380" spans="7:7" x14ac:dyDescent="0.3">
      <c r="G380">
        <v>5951260</v>
      </c>
    </row>
    <row r="381" spans="7:7" x14ac:dyDescent="0.3">
      <c r="G381">
        <v>5952482</v>
      </c>
    </row>
    <row r="382" spans="7:7" x14ac:dyDescent="0.3">
      <c r="G382">
        <v>5951273</v>
      </c>
    </row>
    <row r="383" spans="7:7" x14ac:dyDescent="0.3">
      <c r="G383">
        <v>5951666</v>
      </c>
    </row>
    <row r="384" spans="7:7" x14ac:dyDescent="0.3">
      <c r="G384">
        <v>5951354</v>
      </c>
    </row>
    <row r="385" spans="7:7" x14ac:dyDescent="0.3">
      <c r="G385">
        <v>22503</v>
      </c>
    </row>
    <row r="386" spans="7:7" x14ac:dyDescent="0.3">
      <c r="G386">
        <v>5951993</v>
      </c>
    </row>
    <row r="387" spans="7:7" x14ac:dyDescent="0.3">
      <c r="G387">
        <v>20391</v>
      </c>
    </row>
    <row r="388" spans="7:7" x14ac:dyDescent="0.3">
      <c r="G388">
        <v>20445</v>
      </c>
    </row>
    <row r="389" spans="7:7" x14ac:dyDescent="0.3">
      <c r="G389">
        <v>22010</v>
      </c>
    </row>
    <row r="390" spans="7:7" x14ac:dyDescent="0.3">
      <c r="G390">
        <v>5952447</v>
      </c>
    </row>
    <row r="391" spans="7:7" x14ac:dyDescent="0.3">
      <c r="G391">
        <v>5952158</v>
      </c>
    </row>
    <row r="392" spans="7:7" x14ac:dyDescent="0.3">
      <c r="G392">
        <v>5952254</v>
      </c>
    </row>
    <row r="393" spans="7:7" x14ac:dyDescent="0.3">
      <c r="G393">
        <v>5951048</v>
      </c>
    </row>
    <row r="394" spans="7:7" x14ac:dyDescent="0.3">
      <c r="G394">
        <v>5952448</v>
      </c>
    </row>
    <row r="395" spans="7:7" x14ac:dyDescent="0.3">
      <c r="G395">
        <v>5951973</v>
      </c>
    </row>
    <row r="396" spans="7:7" x14ac:dyDescent="0.3">
      <c r="G396">
        <v>22091</v>
      </c>
    </row>
    <row r="397" spans="7:7" x14ac:dyDescent="0.3">
      <c r="G397">
        <v>5952019</v>
      </c>
    </row>
    <row r="398" spans="7:7" x14ac:dyDescent="0.3">
      <c r="G398">
        <v>5951466</v>
      </c>
    </row>
    <row r="399" spans="7:7" x14ac:dyDescent="0.3">
      <c r="G399">
        <v>5952337</v>
      </c>
    </row>
    <row r="400" spans="7:7" x14ac:dyDescent="0.3">
      <c r="G400">
        <v>22792</v>
      </c>
    </row>
    <row r="401" spans="7:7" x14ac:dyDescent="0.3">
      <c r="G401">
        <v>5951859</v>
      </c>
    </row>
    <row r="402" spans="7:7" x14ac:dyDescent="0.3">
      <c r="G402">
        <v>22404</v>
      </c>
    </row>
    <row r="403" spans="7:7" x14ac:dyDescent="0.3">
      <c r="G403">
        <v>5951530</v>
      </c>
    </row>
    <row r="404" spans="7:7" x14ac:dyDescent="0.3">
      <c r="G404">
        <v>585</v>
      </c>
    </row>
    <row r="405" spans="7:7" x14ac:dyDescent="0.3">
      <c r="G405">
        <v>5952237</v>
      </c>
    </row>
    <row r="406" spans="7:7" x14ac:dyDescent="0.3">
      <c r="G406">
        <v>21928</v>
      </c>
    </row>
    <row r="407" spans="7:7" x14ac:dyDescent="0.3">
      <c r="G407">
        <v>21085</v>
      </c>
    </row>
    <row r="408" spans="7:7" x14ac:dyDescent="0.3">
      <c r="G408">
        <v>5952299</v>
      </c>
    </row>
    <row r="409" spans="7:7" x14ac:dyDescent="0.3">
      <c r="G409">
        <v>5950802</v>
      </c>
    </row>
    <row r="410" spans="7:7" x14ac:dyDescent="0.3">
      <c r="G410">
        <v>5952296</v>
      </c>
    </row>
    <row r="411" spans="7:7" x14ac:dyDescent="0.3">
      <c r="G411">
        <v>5950918</v>
      </c>
    </row>
    <row r="412" spans="7:7" x14ac:dyDescent="0.3">
      <c r="G412">
        <v>22890</v>
      </c>
    </row>
    <row r="413" spans="7:7" x14ac:dyDescent="0.3">
      <c r="G413">
        <v>5952303</v>
      </c>
    </row>
    <row r="414" spans="7:7" x14ac:dyDescent="0.3">
      <c r="G414">
        <v>21985</v>
      </c>
    </row>
    <row r="415" spans="7:7" x14ac:dyDescent="0.3">
      <c r="G415">
        <v>22063</v>
      </c>
    </row>
    <row r="416" spans="7:7" x14ac:dyDescent="0.3">
      <c r="G416">
        <v>161</v>
      </c>
    </row>
    <row r="417" spans="7:7" x14ac:dyDescent="0.3">
      <c r="G417">
        <v>5952115</v>
      </c>
    </row>
    <row r="418" spans="7:7" x14ac:dyDescent="0.3">
      <c r="G418">
        <v>21716</v>
      </c>
    </row>
    <row r="419" spans="7:7" x14ac:dyDescent="0.3">
      <c r="G419">
        <v>5951844</v>
      </c>
    </row>
    <row r="420" spans="7:7" x14ac:dyDescent="0.3">
      <c r="G420">
        <v>5952422</v>
      </c>
    </row>
    <row r="421" spans="7:7" x14ac:dyDescent="0.3">
      <c r="G421">
        <v>20405</v>
      </c>
    </row>
    <row r="422" spans="7:7" x14ac:dyDescent="0.3">
      <c r="G422">
        <v>5951826</v>
      </c>
    </row>
    <row r="423" spans="7:7" x14ac:dyDescent="0.3">
      <c r="G423">
        <v>5950689</v>
      </c>
    </row>
    <row r="424" spans="7:7" x14ac:dyDescent="0.3">
      <c r="G424">
        <v>5950744</v>
      </c>
    </row>
    <row r="425" spans="7:7" x14ac:dyDescent="0.3">
      <c r="G425">
        <v>5952125</v>
      </c>
    </row>
    <row r="426" spans="7:7" x14ac:dyDescent="0.3">
      <c r="G426">
        <v>20437</v>
      </c>
    </row>
    <row r="427" spans="7:7" x14ac:dyDescent="0.3">
      <c r="G427">
        <v>5951776</v>
      </c>
    </row>
    <row r="428" spans="7:7" x14ac:dyDescent="0.3">
      <c r="G428">
        <v>5952477</v>
      </c>
    </row>
    <row r="429" spans="7:7" x14ac:dyDescent="0.3">
      <c r="G429">
        <v>368</v>
      </c>
    </row>
    <row r="430" spans="7:7" x14ac:dyDescent="0.3">
      <c r="G430">
        <v>5952473</v>
      </c>
    </row>
    <row r="431" spans="7:7" x14ac:dyDescent="0.3">
      <c r="G431">
        <v>5952194</v>
      </c>
    </row>
    <row r="432" spans="7:7" x14ac:dyDescent="0.3">
      <c r="G432">
        <v>5952235</v>
      </c>
    </row>
    <row r="433" spans="7:7" x14ac:dyDescent="0.3">
      <c r="G433">
        <v>402158</v>
      </c>
    </row>
    <row r="434" spans="7:7" x14ac:dyDescent="0.3">
      <c r="G434">
        <v>22642</v>
      </c>
    </row>
    <row r="435" spans="7:7" x14ac:dyDescent="0.3">
      <c r="G435">
        <v>21160</v>
      </c>
    </row>
    <row r="436" spans="7:7" x14ac:dyDescent="0.3">
      <c r="G436">
        <v>22791</v>
      </c>
    </row>
    <row r="437" spans="7:7" x14ac:dyDescent="0.3">
      <c r="G437">
        <v>5952216</v>
      </c>
    </row>
    <row r="438" spans="7:7" x14ac:dyDescent="0.3">
      <c r="G438">
        <v>22262</v>
      </c>
    </row>
    <row r="439" spans="7:7" x14ac:dyDescent="0.3">
      <c r="G439">
        <v>5952190</v>
      </c>
    </row>
    <row r="440" spans="7:7" x14ac:dyDescent="0.3">
      <c r="G440">
        <v>22661</v>
      </c>
    </row>
    <row r="441" spans="7:7" x14ac:dyDescent="0.3">
      <c r="G441">
        <v>22536</v>
      </c>
    </row>
    <row r="442" spans="7:7" x14ac:dyDescent="0.3">
      <c r="G442">
        <v>11878</v>
      </c>
    </row>
    <row r="443" spans="7:7" x14ac:dyDescent="0.3">
      <c r="G443">
        <v>5952361</v>
      </c>
    </row>
    <row r="444" spans="7:7" x14ac:dyDescent="0.3">
      <c r="G444">
        <v>642</v>
      </c>
    </row>
    <row r="445" spans="7:7" x14ac:dyDescent="0.3">
      <c r="G445">
        <v>21788</v>
      </c>
    </row>
    <row r="446" spans="7:7" x14ac:dyDescent="0.3">
      <c r="G446">
        <v>21298</v>
      </c>
    </row>
    <row r="447" spans="7:7" x14ac:dyDescent="0.3">
      <c r="G447">
        <v>21295</v>
      </c>
    </row>
    <row r="448" spans="7:7" x14ac:dyDescent="0.3">
      <c r="G448">
        <v>5951789</v>
      </c>
    </row>
    <row r="449" spans="7:7" x14ac:dyDescent="0.3">
      <c r="G449">
        <v>21777</v>
      </c>
    </row>
    <row r="450" spans="7:7" x14ac:dyDescent="0.3">
      <c r="G450">
        <v>5952260</v>
      </c>
    </row>
    <row r="451" spans="7:7" x14ac:dyDescent="0.3">
      <c r="G451">
        <v>21006</v>
      </c>
    </row>
    <row r="452" spans="7:7" x14ac:dyDescent="0.3">
      <c r="G452">
        <v>5951074</v>
      </c>
    </row>
    <row r="453" spans="7:7" x14ac:dyDescent="0.3">
      <c r="G453">
        <v>22502</v>
      </c>
    </row>
    <row r="454" spans="7:7" x14ac:dyDescent="0.3">
      <c r="G454">
        <v>5952421</v>
      </c>
    </row>
    <row r="455" spans="7:7" x14ac:dyDescent="0.3">
      <c r="G455">
        <v>400688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Current Booking Report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Santos</dc:creator>
  <cp:lastModifiedBy>John Santos</cp:lastModifiedBy>
  <dcterms:created xsi:type="dcterms:W3CDTF">2026-03-23T02:37:26Z</dcterms:created>
  <dcterms:modified xsi:type="dcterms:W3CDTF">2026-03-23T02:49:47Z</dcterms:modified>
</cp:coreProperties>
</file>